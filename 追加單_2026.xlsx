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0" yWindow="525" windowWidth="27735" windowHeight="10575"/>
  </bookViews>
  <sheets>
    <sheet name="Sheet1" sheetId="1" r:id="rId1"/>
    <sheet name="工作表1" sheetId="2" r:id="rId2"/>
  </sheets>
  <definedNames>
    <definedName name="_xlnm._FilterDatabase" localSheetId="0" hidden="1">Sheet1!$A$1:$BH$1615</definedName>
  </definedNames>
  <calcPr calcId="145621"/>
</workbook>
</file>

<file path=xl/calcChain.xml><?xml version="1.0" encoding="utf-8"?>
<calcChain xmlns="http://schemas.openxmlformats.org/spreadsheetml/2006/main">
  <c r="BH1615" i="1" l="1"/>
  <c r="BH1614" i="1"/>
  <c r="BH1613" i="1"/>
  <c r="BH1612" i="1"/>
  <c r="BH1611" i="1"/>
  <c r="BH1610" i="1"/>
  <c r="BH1609" i="1"/>
  <c r="BH1608" i="1"/>
  <c r="BH1607" i="1"/>
  <c r="BH1606" i="1"/>
  <c r="BH1605" i="1"/>
  <c r="BH1604" i="1"/>
  <c r="BH1603" i="1"/>
  <c r="BH1602" i="1"/>
  <c r="BH1601" i="1"/>
  <c r="BH1600" i="1"/>
  <c r="BH1599" i="1"/>
  <c r="BH1598" i="1"/>
  <c r="BH1597" i="1"/>
  <c r="BH1596" i="1"/>
  <c r="BH1595" i="1"/>
  <c r="BH1594" i="1"/>
  <c r="BH1593" i="1"/>
  <c r="BH1592" i="1"/>
  <c r="BH1591" i="1"/>
  <c r="BH1590" i="1"/>
  <c r="BH1589" i="1"/>
  <c r="BH1588" i="1"/>
  <c r="BH1587" i="1"/>
  <c r="BH1586" i="1"/>
  <c r="BH1585" i="1"/>
  <c r="BH1584" i="1"/>
  <c r="BH1583" i="1"/>
  <c r="BH1582" i="1"/>
  <c r="BH1581" i="1"/>
  <c r="BH1580" i="1"/>
  <c r="BH1579" i="1"/>
  <c r="BH1578" i="1"/>
  <c r="BH1577" i="1"/>
  <c r="BH1576" i="1"/>
  <c r="BH1575" i="1"/>
  <c r="BH1574" i="1"/>
  <c r="BH1573" i="1"/>
  <c r="BH1572" i="1"/>
  <c r="BH1571" i="1"/>
  <c r="BH1570" i="1"/>
  <c r="BH1569" i="1"/>
  <c r="BH1568" i="1"/>
  <c r="BH1567" i="1"/>
  <c r="BH1566" i="1"/>
  <c r="BH1565" i="1"/>
  <c r="BH1564" i="1"/>
  <c r="BH1563" i="1"/>
  <c r="BH1562" i="1"/>
  <c r="BH1561" i="1"/>
  <c r="BH1560" i="1"/>
  <c r="BH1559" i="1"/>
  <c r="BH1558" i="1"/>
  <c r="BH1557" i="1"/>
  <c r="BH1556" i="1"/>
  <c r="BH1555" i="1"/>
  <c r="BH1554" i="1"/>
  <c r="BH1553" i="1"/>
  <c r="BH1552" i="1"/>
  <c r="BH1551" i="1"/>
  <c r="BH1550" i="1"/>
  <c r="BH1549" i="1"/>
  <c r="BH1548" i="1"/>
  <c r="BH1547" i="1"/>
  <c r="BH1546" i="1"/>
  <c r="BH1545" i="1"/>
  <c r="BH1544" i="1"/>
  <c r="BH1543" i="1"/>
  <c r="BH1542" i="1"/>
  <c r="BH1541" i="1"/>
  <c r="BH1540" i="1"/>
  <c r="BH1539" i="1"/>
  <c r="BH1538" i="1"/>
  <c r="BH1537" i="1"/>
  <c r="BH1536" i="1"/>
  <c r="BH1535" i="1"/>
  <c r="BH1534" i="1"/>
  <c r="BH1533" i="1"/>
  <c r="BH1532" i="1"/>
  <c r="BH1531" i="1"/>
  <c r="BH1530" i="1"/>
  <c r="BH1529" i="1"/>
  <c r="BH1528" i="1"/>
  <c r="BH1527" i="1"/>
  <c r="BH1526" i="1"/>
  <c r="BH1525" i="1"/>
  <c r="BH1524" i="1"/>
  <c r="BH1523" i="1"/>
  <c r="BH1522" i="1"/>
  <c r="BH1521" i="1"/>
  <c r="BH1520" i="1"/>
  <c r="BH1519" i="1"/>
  <c r="BH1518" i="1"/>
  <c r="BH1517" i="1"/>
  <c r="BH1516" i="1"/>
  <c r="BH1515" i="1"/>
  <c r="BH1514" i="1"/>
  <c r="BH1513" i="1"/>
  <c r="BH1512" i="1"/>
  <c r="BH1511" i="1"/>
  <c r="BH1510" i="1"/>
  <c r="BH1509" i="1"/>
  <c r="BH1508" i="1"/>
  <c r="BH1507" i="1"/>
  <c r="BH1506" i="1"/>
  <c r="BH1505" i="1"/>
  <c r="BH1504" i="1"/>
  <c r="BH1503" i="1"/>
  <c r="BH1502" i="1"/>
  <c r="BH1501" i="1"/>
  <c r="BH1500" i="1"/>
  <c r="BH1499" i="1"/>
  <c r="BH1498" i="1"/>
  <c r="BH1497" i="1"/>
  <c r="BH1496" i="1"/>
  <c r="BH1495" i="1"/>
  <c r="BH1494" i="1"/>
  <c r="BH1493" i="1"/>
  <c r="BH1492" i="1"/>
  <c r="BH1491" i="1"/>
  <c r="BH1490" i="1"/>
  <c r="BH1489" i="1"/>
  <c r="BH1488" i="1"/>
  <c r="BH1487" i="1"/>
  <c r="BH1486" i="1"/>
  <c r="BH1485" i="1"/>
  <c r="BH1484" i="1"/>
  <c r="BH1483" i="1"/>
  <c r="BH1482" i="1"/>
  <c r="BH1481" i="1"/>
  <c r="BH1480" i="1"/>
  <c r="BH1479" i="1"/>
  <c r="BH1478" i="1"/>
  <c r="BH1477" i="1"/>
  <c r="BH1476" i="1"/>
  <c r="BH1475" i="1"/>
  <c r="BH1474" i="1"/>
  <c r="BH1473" i="1"/>
  <c r="BH1472" i="1"/>
  <c r="BH1471" i="1"/>
  <c r="BH1470" i="1"/>
  <c r="BH1469" i="1"/>
  <c r="BH1468" i="1"/>
  <c r="BH1467" i="1"/>
  <c r="BH1466" i="1"/>
  <c r="BH1465" i="1"/>
  <c r="BH1464" i="1"/>
  <c r="BH1463" i="1"/>
  <c r="BH1462" i="1"/>
  <c r="BH1461" i="1"/>
  <c r="BH1460" i="1"/>
  <c r="BH1459" i="1"/>
  <c r="BH1458" i="1"/>
  <c r="BH1457" i="1"/>
  <c r="BH1456" i="1"/>
  <c r="BH1455" i="1"/>
  <c r="BH1454" i="1"/>
  <c r="BH1453" i="1"/>
  <c r="BH1452" i="1"/>
  <c r="BH1451" i="1"/>
  <c r="BH1450" i="1"/>
  <c r="BH1449" i="1"/>
  <c r="BH1448" i="1"/>
  <c r="BH1447" i="1"/>
  <c r="BH1446" i="1"/>
  <c r="BH1445" i="1"/>
  <c r="BH1444" i="1"/>
  <c r="BH1443" i="1"/>
  <c r="BH1442" i="1"/>
  <c r="BH1441" i="1"/>
  <c r="BH1440" i="1"/>
  <c r="BH1439" i="1"/>
  <c r="BH1438" i="1"/>
  <c r="BH1437" i="1"/>
  <c r="BH1436" i="1"/>
  <c r="BH1435" i="1"/>
  <c r="BH1434" i="1"/>
  <c r="BH1433" i="1"/>
  <c r="BH1432" i="1"/>
  <c r="BH1431" i="1"/>
  <c r="BH1430" i="1"/>
  <c r="BH1429" i="1"/>
  <c r="BH1428" i="1"/>
  <c r="BH1427" i="1"/>
  <c r="BH1426" i="1"/>
  <c r="BH1425" i="1"/>
  <c r="BH1424" i="1"/>
  <c r="BH1423" i="1"/>
  <c r="BH1422" i="1"/>
  <c r="BH1421" i="1"/>
  <c r="BH1420" i="1"/>
  <c r="BH1419" i="1"/>
  <c r="BH1418" i="1"/>
  <c r="BH1417" i="1"/>
  <c r="BH1416" i="1"/>
  <c r="BH1415" i="1"/>
  <c r="BH1414" i="1"/>
  <c r="BH1413" i="1"/>
  <c r="BH1412" i="1"/>
  <c r="BH1411" i="1"/>
  <c r="BH1410" i="1"/>
  <c r="BH1409" i="1"/>
  <c r="BH1408" i="1"/>
  <c r="BH1407" i="1"/>
  <c r="BH1406" i="1"/>
  <c r="BH1405" i="1"/>
  <c r="BH1404" i="1"/>
  <c r="BH1403" i="1"/>
  <c r="BH1402" i="1"/>
  <c r="BH1401" i="1"/>
  <c r="BH1400" i="1"/>
  <c r="BH1399" i="1"/>
  <c r="BH1398" i="1"/>
  <c r="BH1397" i="1"/>
  <c r="BH1396" i="1"/>
  <c r="BH1395" i="1"/>
  <c r="BH1394" i="1"/>
  <c r="BH1393" i="1"/>
  <c r="BH1392" i="1"/>
  <c r="BH1391" i="1"/>
  <c r="BH1390" i="1"/>
  <c r="BH1389" i="1"/>
  <c r="BH1388" i="1"/>
  <c r="BH1387" i="1"/>
  <c r="BH1386" i="1"/>
  <c r="BH1385" i="1"/>
  <c r="BH1384" i="1"/>
  <c r="BH1383" i="1"/>
  <c r="BH1382" i="1"/>
  <c r="BH1381" i="1"/>
  <c r="BH1380" i="1"/>
  <c r="BH1379" i="1"/>
  <c r="BH1378" i="1"/>
  <c r="BH1377" i="1"/>
  <c r="BH1376" i="1"/>
  <c r="BH1375" i="1"/>
  <c r="BH1374" i="1"/>
  <c r="BH1373" i="1"/>
  <c r="BH1372" i="1"/>
  <c r="BH1371" i="1"/>
  <c r="BH1370" i="1"/>
  <c r="BH1369" i="1"/>
  <c r="BH1368" i="1"/>
  <c r="BH1367" i="1"/>
  <c r="BH1366" i="1"/>
  <c r="BH1365" i="1"/>
  <c r="BH1364" i="1"/>
  <c r="BH1363" i="1"/>
  <c r="BH1362" i="1"/>
  <c r="BH1361" i="1"/>
  <c r="BH1360" i="1"/>
  <c r="BH1359" i="1"/>
  <c r="BH1358" i="1"/>
  <c r="BH1357" i="1"/>
  <c r="BH1356" i="1"/>
  <c r="BH1355" i="1"/>
  <c r="BH1354" i="1"/>
  <c r="BH1353" i="1"/>
  <c r="BH1352" i="1"/>
  <c r="BH1351" i="1"/>
  <c r="BH1350" i="1"/>
  <c r="BH1349" i="1"/>
  <c r="BH1348" i="1"/>
  <c r="BH1347" i="1"/>
  <c r="BH1346" i="1"/>
  <c r="BH1345" i="1"/>
  <c r="BH1344" i="1"/>
  <c r="BH1343" i="1"/>
  <c r="BH1342" i="1"/>
  <c r="BH1341" i="1"/>
  <c r="BH1340" i="1"/>
  <c r="BH1339" i="1"/>
  <c r="BH1338" i="1"/>
  <c r="BH1337" i="1"/>
  <c r="BH1336" i="1"/>
  <c r="BH1335" i="1"/>
  <c r="BH1334" i="1"/>
  <c r="BH1333" i="1"/>
  <c r="BH1332" i="1"/>
  <c r="BH1331" i="1"/>
  <c r="BH1330" i="1"/>
  <c r="BH1329" i="1"/>
  <c r="BH1328" i="1"/>
  <c r="BH1327" i="1"/>
  <c r="BH1326" i="1"/>
  <c r="BH1325" i="1"/>
  <c r="BH1324" i="1"/>
  <c r="BH1323" i="1"/>
  <c r="BH1322" i="1"/>
  <c r="BH1321" i="1"/>
  <c r="BH1320" i="1"/>
  <c r="BH1319" i="1"/>
  <c r="BH1318" i="1"/>
  <c r="BH1317" i="1"/>
  <c r="BH1316" i="1"/>
  <c r="BH1315" i="1"/>
  <c r="BH1314" i="1"/>
  <c r="BH1313" i="1"/>
  <c r="BH1312" i="1"/>
  <c r="BH1311" i="1"/>
  <c r="BH1310" i="1"/>
  <c r="BH1309" i="1"/>
  <c r="BH1308" i="1"/>
  <c r="BH1307" i="1"/>
  <c r="BH1306" i="1"/>
  <c r="BH1305" i="1"/>
  <c r="BH1304" i="1"/>
  <c r="BH1303" i="1"/>
  <c r="BH1302" i="1"/>
  <c r="BH1301" i="1"/>
  <c r="BH1300" i="1"/>
  <c r="BH1299" i="1"/>
  <c r="BH1298" i="1"/>
  <c r="BH1297" i="1"/>
  <c r="BH1296" i="1"/>
  <c r="BH1295" i="1"/>
  <c r="BH1294" i="1"/>
  <c r="BH1293" i="1"/>
  <c r="BH1292" i="1"/>
  <c r="BH1291" i="1"/>
  <c r="BH1290" i="1"/>
  <c r="BH1289" i="1"/>
  <c r="BH1288" i="1"/>
  <c r="BH1287" i="1"/>
  <c r="BH1286" i="1"/>
  <c r="BH1285" i="1"/>
  <c r="BH1284" i="1"/>
  <c r="BH1283" i="1"/>
  <c r="BH1282" i="1"/>
  <c r="BH1281" i="1"/>
  <c r="BH1280" i="1"/>
  <c r="BH1279" i="1"/>
  <c r="BH1278" i="1"/>
  <c r="BH1277" i="1"/>
  <c r="BH1276" i="1"/>
  <c r="BH1275" i="1"/>
  <c r="BH1274" i="1"/>
  <c r="BH1273" i="1"/>
  <c r="BH1272" i="1"/>
  <c r="BH1271" i="1"/>
  <c r="BH1270" i="1"/>
  <c r="BH1269" i="1"/>
  <c r="BH1268" i="1"/>
  <c r="BH1267" i="1"/>
  <c r="BH1266" i="1"/>
  <c r="BH1265" i="1"/>
  <c r="BH1264" i="1"/>
  <c r="BH1263" i="1"/>
  <c r="BH1262" i="1"/>
  <c r="BH1261" i="1"/>
  <c r="BH1260" i="1"/>
  <c r="BH1259" i="1"/>
  <c r="BH1258" i="1"/>
  <c r="BH1257" i="1"/>
  <c r="BH1256" i="1"/>
  <c r="BH1255" i="1"/>
  <c r="BH1254" i="1"/>
  <c r="BH1253" i="1"/>
  <c r="BH1252" i="1"/>
  <c r="BH1251" i="1"/>
  <c r="BH1250" i="1"/>
  <c r="BH1249" i="1"/>
  <c r="BH1248" i="1"/>
  <c r="BH1247" i="1"/>
  <c r="BH1246" i="1"/>
  <c r="BH1245" i="1"/>
  <c r="BH1244" i="1"/>
  <c r="BH1243" i="1"/>
  <c r="BH1242" i="1"/>
  <c r="BH1241" i="1"/>
  <c r="BH1240" i="1"/>
  <c r="BH1239" i="1"/>
  <c r="BH1238" i="1"/>
  <c r="BH1237" i="1"/>
  <c r="BH1236" i="1"/>
  <c r="BH1235" i="1"/>
  <c r="BH1234" i="1"/>
  <c r="BH1233" i="1"/>
  <c r="BH1232" i="1"/>
  <c r="BH1231" i="1"/>
  <c r="BH1230" i="1"/>
  <c r="BH1229" i="1"/>
  <c r="BH1228" i="1"/>
  <c r="BH1227" i="1"/>
  <c r="BH1226" i="1"/>
  <c r="BH1225" i="1"/>
  <c r="BH1224" i="1"/>
  <c r="BH1223" i="1"/>
  <c r="BH1222" i="1"/>
  <c r="BH1221" i="1"/>
  <c r="BH1220" i="1"/>
  <c r="BH1219" i="1"/>
  <c r="BH1218" i="1"/>
  <c r="BH1217" i="1"/>
  <c r="BH1216" i="1"/>
  <c r="BH1215" i="1"/>
  <c r="BH1214" i="1"/>
  <c r="BH1213" i="1"/>
  <c r="BH1212" i="1"/>
  <c r="BH1211" i="1"/>
  <c r="BH1210" i="1"/>
  <c r="BH1209" i="1"/>
  <c r="BH1208" i="1"/>
  <c r="BH1207" i="1"/>
  <c r="BH1206" i="1"/>
  <c r="BH1205" i="1"/>
  <c r="BH1204" i="1"/>
  <c r="BH1203" i="1"/>
  <c r="BH1202" i="1"/>
  <c r="BH1201" i="1"/>
  <c r="BH1200" i="1"/>
  <c r="BH1199" i="1"/>
  <c r="BH1198" i="1"/>
  <c r="BH1197" i="1"/>
  <c r="BH1196" i="1"/>
  <c r="BH1195" i="1"/>
  <c r="BH1194" i="1"/>
  <c r="BH1193" i="1"/>
  <c r="BH1192" i="1"/>
  <c r="BH1191" i="1"/>
  <c r="BH1190" i="1"/>
  <c r="BH1189" i="1"/>
  <c r="BH1188" i="1"/>
  <c r="BH1187" i="1"/>
  <c r="BH1186" i="1"/>
  <c r="BH1185" i="1"/>
  <c r="BH1184" i="1"/>
  <c r="BH1183" i="1"/>
  <c r="BH1182" i="1"/>
  <c r="BH1181" i="1"/>
  <c r="BH1180" i="1"/>
  <c r="BH1179" i="1"/>
  <c r="BH1178" i="1"/>
  <c r="BH1177" i="1"/>
  <c r="BH1176" i="1"/>
  <c r="BH1175" i="1"/>
  <c r="BH1174" i="1"/>
  <c r="BH1173" i="1"/>
  <c r="BH1172" i="1"/>
  <c r="BH1171" i="1"/>
  <c r="BH1170" i="1"/>
  <c r="BH1169" i="1"/>
  <c r="BH1168" i="1"/>
  <c r="BH1167" i="1"/>
  <c r="BH1166" i="1"/>
  <c r="BH1165" i="1"/>
  <c r="BH1164" i="1"/>
  <c r="BH1163" i="1"/>
  <c r="BH1162" i="1"/>
  <c r="BH1161" i="1"/>
  <c r="BH1160" i="1"/>
  <c r="BH1159" i="1"/>
  <c r="BH1158" i="1"/>
  <c r="BH1157" i="1"/>
  <c r="BH1156" i="1"/>
  <c r="BH1155" i="1"/>
  <c r="BH1154" i="1"/>
  <c r="BH1153" i="1"/>
  <c r="BH1152" i="1"/>
  <c r="BH1151" i="1"/>
  <c r="BH1150" i="1"/>
  <c r="BH1149" i="1"/>
  <c r="BH1148" i="1"/>
  <c r="BH1147" i="1"/>
  <c r="BH1146" i="1"/>
  <c r="BH1145" i="1"/>
  <c r="BH1144" i="1"/>
  <c r="BH1143" i="1"/>
  <c r="BH1142" i="1"/>
  <c r="BH1141" i="1"/>
  <c r="BH1140" i="1"/>
  <c r="BH1139" i="1"/>
  <c r="BH1138" i="1"/>
  <c r="BH1137" i="1"/>
  <c r="BH1136" i="1"/>
  <c r="BH1135" i="1"/>
  <c r="BH1134" i="1"/>
  <c r="BH1133" i="1"/>
  <c r="BH1132" i="1"/>
  <c r="BH1131" i="1"/>
  <c r="BH1130" i="1"/>
  <c r="BH1129" i="1"/>
  <c r="BH1128" i="1"/>
  <c r="BH1127" i="1"/>
  <c r="BH1126" i="1"/>
  <c r="BH1125" i="1"/>
  <c r="BH1124" i="1"/>
  <c r="BH1123" i="1"/>
  <c r="BH1122" i="1"/>
  <c r="BH1121" i="1"/>
  <c r="BH1120" i="1"/>
  <c r="BH1119" i="1"/>
  <c r="BH1118" i="1"/>
  <c r="BH1117" i="1"/>
  <c r="BH1116" i="1"/>
  <c r="BH1115" i="1"/>
  <c r="BH1114" i="1"/>
  <c r="BH1113" i="1"/>
  <c r="BH1112" i="1"/>
  <c r="BH1111" i="1"/>
  <c r="BH1110" i="1"/>
  <c r="BH1109" i="1"/>
  <c r="BH1108" i="1"/>
  <c r="BH1107" i="1"/>
  <c r="BH1106" i="1"/>
  <c r="BH1105" i="1"/>
  <c r="BH1104" i="1"/>
  <c r="BH1103" i="1"/>
  <c r="BH1102" i="1"/>
  <c r="BH1101" i="1"/>
  <c r="BH1100" i="1"/>
  <c r="BH1099" i="1"/>
  <c r="BH1098" i="1"/>
  <c r="BH1097" i="1"/>
  <c r="BH1096" i="1"/>
  <c r="BH1095" i="1"/>
  <c r="BH1094" i="1"/>
  <c r="BH1093" i="1"/>
  <c r="BH1092" i="1"/>
  <c r="BH1091" i="1"/>
  <c r="BH1090" i="1"/>
  <c r="BH1089" i="1"/>
  <c r="BH1088" i="1"/>
  <c r="BH1087" i="1"/>
  <c r="BH1086" i="1"/>
  <c r="BH1085" i="1"/>
  <c r="BH1084" i="1"/>
  <c r="BH1083" i="1"/>
  <c r="BH1082" i="1"/>
  <c r="BH1081" i="1"/>
  <c r="BH1080" i="1"/>
  <c r="BH1079" i="1"/>
  <c r="BH1078" i="1"/>
  <c r="BH1077" i="1"/>
  <c r="BH1076" i="1"/>
  <c r="BH1075" i="1"/>
  <c r="BH1074" i="1"/>
  <c r="BH1073" i="1"/>
  <c r="BH1072" i="1"/>
  <c r="BH1071" i="1"/>
  <c r="BH1070" i="1"/>
  <c r="BH1069" i="1"/>
  <c r="BH1068" i="1"/>
  <c r="BH1067" i="1"/>
  <c r="BH1066" i="1"/>
  <c r="BH1065" i="1"/>
  <c r="BH1064" i="1"/>
  <c r="BH1063" i="1"/>
  <c r="BH1062" i="1"/>
  <c r="BH1061" i="1"/>
  <c r="BH1060" i="1"/>
  <c r="BH1059" i="1"/>
  <c r="BH1058" i="1"/>
  <c r="BH1057" i="1"/>
  <c r="BH1056" i="1"/>
  <c r="BH1055" i="1"/>
  <c r="BH1054" i="1"/>
  <c r="BH1053" i="1"/>
  <c r="BH1052" i="1"/>
  <c r="BH1051" i="1"/>
  <c r="BH1050" i="1"/>
  <c r="BH1049" i="1"/>
  <c r="BH1048" i="1"/>
  <c r="BH1047" i="1"/>
  <c r="BH1046" i="1"/>
  <c r="BH1045" i="1"/>
  <c r="BH1044" i="1"/>
  <c r="BH1043" i="1"/>
  <c r="BH1042" i="1"/>
  <c r="BH1041" i="1"/>
  <c r="BH1040" i="1"/>
  <c r="BH1039" i="1"/>
  <c r="BH1038" i="1"/>
  <c r="BH1037" i="1"/>
  <c r="BH1036" i="1"/>
  <c r="BH1035" i="1"/>
  <c r="BH1034" i="1"/>
  <c r="BH1033" i="1"/>
  <c r="BH1032" i="1"/>
  <c r="BH1031" i="1"/>
  <c r="BH1030" i="1"/>
  <c r="BH1029" i="1"/>
  <c r="BH1028" i="1"/>
  <c r="BH1027" i="1"/>
  <c r="BH1026" i="1"/>
  <c r="BH1025" i="1"/>
  <c r="BH1024" i="1"/>
  <c r="BH1023" i="1"/>
  <c r="BH1022" i="1"/>
  <c r="BH1021" i="1"/>
  <c r="BH1020" i="1"/>
  <c r="BH1019" i="1"/>
  <c r="BH1018" i="1"/>
  <c r="BH1017" i="1"/>
  <c r="BH1016" i="1"/>
  <c r="BH1015" i="1"/>
  <c r="BH1014" i="1"/>
  <c r="BH1013" i="1"/>
  <c r="BH1012" i="1"/>
  <c r="BH1011" i="1"/>
  <c r="BH1010" i="1"/>
  <c r="BH1009" i="1"/>
  <c r="BH1008" i="1"/>
  <c r="BH1007" i="1"/>
  <c r="BH1006" i="1"/>
  <c r="BH1005" i="1"/>
  <c r="BH1004" i="1"/>
  <c r="BH1003" i="1"/>
  <c r="BH1002" i="1"/>
  <c r="BH1001" i="1"/>
  <c r="BH1000" i="1"/>
  <c r="BH999" i="1"/>
  <c r="BH998" i="1"/>
  <c r="BH997" i="1"/>
  <c r="BH996" i="1"/>
  <c r="BH995" i="1"/>
  <c r="BH994" i="1"/>
  <c r="BH993" i="1"/>
  <c r="BH992" i="1"/>
  <c r="BH991" i="1"/>
  <c r="BH990" i="1"/>
  <c r="BH989" i="1"/>
  <c r="BH988" i="1"/>
  <c r="BH987" i="1"/>
  <c r="BH986" i="1"/>
  <c r="BH985" i="1"/>
  <c r="BH984" i="1"/>
  <c r="BH983" i="1"/>
  <c r="BH982" i="1"/>
  <c r="BH981" i="1"/>
  <c r="BH980" i="1"/>
  <c r="BH979" i="1"/>
  <c r="BH978" i="1"/>
  <c r="BH977" i="1"/>
  <c r="BH976" i="1"/>
  <c r="BH975" i="1"/>
  <c r="BH974" i="1"/>
  <c r="BH973" i="1"/>
  <c r="BH972" i="1"/>
  <c r="BH971" i="1"/>
  <c r="BH970" i="1"/>
  <c r="BH969" i="1"/>
  <c r="BH968" i="1"/>
  <c r="BH967" i="1"/>
  <c r="BH966" i="1"/>
  <c r="BH965" i="1"/>
  <c r="BH964" i="1"/>
  <c r="BH963" i="1"/>
  <c r="BH962" i="1"/>
  <c r="BH961" i="1"/>
  <c r="BH960" i="1"/>
  <c r="BH959" i="1"/>
  <c r="BH958" i="1"/>
  <c r="BH957" i="1"/>
  <c r="BH956" i="1"/>
  <c r="BH955" i="1"/>
  <c r="BH954" i="1"/>
  <c r="BH953" i="1"/>
  <c r="BH952" i="1"/>
  <c r="BH951" i="1"/>
  <c r="BH950" i="1"/>
  <c r="BH949" i="1"/>
  <c r="BH948" i="1"/>
  <c r="BH947" i="1"/>
  <c r="BH946" i="1"/>
  <c r="BH945" i="1"/>
  <c r="BH944" i="1"/>
  <c r="BH943" i="1"/>
  <c r="BH942" i="1"/>
  <c r="BH941" i="1"/>
  <c r="BH940" i="1"/>
  <c r="BH939" i="1"/>
  <c r="BH938" i="1"/>
  <c r="BH937" i="1"/>
  <c r="BH936" i="1"/>
  <c r="BH935" i="1"/>
  <c r="BH934" i="1"/>
  <c r="BH933" i="1"/>
  <c r="BH932" i="1"/>
  <c r="BH931" i="1"/>
  <c r="BH930" i="1"/>
  <c r="BH929" i="1"/>
  <c r="BH928" i="1"/>
  <c r="BH927" i="1"/>
  <c r="BH926" i="1"/>
  <c r="BH925" i="1"/>
  <c r="BH924" i="1"/>
  <c r="BH923" i="1"/>
  <c r="BH922" i="1"/>
  <c r="BH921" i="1"/>
  <c r="BH920" i="1"/>
  <c r="BH919" i="1"/>
  <c r="BH918" i="1"/>
  <c r="BH917" i="1"/>
  <c r="BH916" i="1"/>
  <c r="BH915" i="1"/>
  <c r="BH914" i="1"/>
  <c r="BH913" i="1"/>
  <c r="BH912" i="1"/>
  <c r="BH911" i="1"/>
  <c r="BH910" i="1"/>
  <c r="BH909" i="1"/>
  <c r="BH908" i="1"/>
  <c r="BH907" i="1"/>
  <c r="BH906" i="1"/>
  <c r="BH905" i="1"/>
  <c r="BH904" i="1"/>
  <c r="BH903" i="1"/>
  <c r="BH902" i="1"/>
  <c r="BH901" i="1"/>
  <c r="BH900" i="1"/>
  <c r="BH899" i="1"/>
  <c r="BH898" i="1"/>
  <c r="BH897" i="1"/>
  <c r="BH896" i="1"/>
  <c r="BH895" i="1"/>
  <c r="BH894" i="1"/>
  <c r="BH893" i="1"/>
  <c r="BH892" i="1"/>
  <c r="BH891" i="1"/>
  <c r="BH890" i="1"/>
  <c r="BH889" i="1"/>
  <c r="BH888" i="1"/>
  <c r="BH887" i="1"/>
  <c r="BH886" i="1"/>
  <c r="BH885" i="1"/>
  <c r="BH884" i="1"/>
  <c r="BH883" i="1"/>
  <c r="BH882" i="1"/>
  <c r="BH881" i="1"/>
  <c r="BH880" i="1"/>
  <c r="BH879" i="1"/>
  <c r="BH878" i="1"/>
  <c r="BH877" i="1"/>
  <c r="BH876" i="1"/>
  <c r="BH875" i="1"/>
  <c r="BH874" i="1"/>
  <c r="BH873" i="1"/>
  <c r="BH872" i="1"/>
  <c r="BH871" i="1"/>
  <c r="BH870" i="1"/>
  <c r="BH869" i="1"/>
  <c r="BH868" i="1"/>
  <c r="BH867" i="1"/>
  <c r="BH866" i="1"/>
  <c r="BH865" i="1"/>
  <c r="BH864" i="1"/>
  <c r="BH863" i="1"/>
  <c r="BH862" i="1"/>
  <c r="BH861" i="1"/>
  <c r="BH860" i="1"/>
  <c r="BH859" i="1"/>
  <c r="BH858" i="1"/>
  <c r="BH857" i="1"/>
  <c r="BH856" i="1"/>
  <c r="BH855" i="1"/>
  <c r="BH854" i="1"/>
  <c r="BH853" i="1"/>
  <c r="BH852" i="1"/>
  <c r="BH851" i="1"/>
  <c r="BH850" i="1"/>
  <c r="BH849" i="1"/>
  <c r="BH848" i="1"/>
  <c r="BH847" i="1"/>
  <c r="BH846" i="1"/>
  <c r="BH845" i="1"/>
  <c r="BH844" i="1"/>
  <c r="BH843" i="1"/>
  <c r="BH842" i="1"/>
  <c r="BH841" i="1"/>
  <c r="BH840" i="1"/>
  <c r="BH839" i="1"/>
  <c r="BH838" i="1"/>
  <c r="BH837" i="1"/>
  <c r="BH836" i="1"/>
  <c r="BH835" i="1"/>
  <c r="BH834" i="1"/>
  <c r="BH833" i="1"/>
  <c r="BH832" i="1"/>
  <c r="BH831" i="1"/>
  <c r="BH830" i="1"/>
  <c r="BH829" i="1"/>
  <c r="BH828" i="1"/>
  <c r="BH827" i="1"/>
  <c r="BH826" i="1"/>
  <c r="BH825" i="1"/>
  <c r="BH824" i="1"/>
  <c r="BH823" i="1"/>
  <c r="BH822" i="1"/>
  <c r="BH821" i="1"/>
  <c r="BH820" i="1"/>
  <c r="BH819" i="1"/>
  <c r="BH818" i="1"/>
  <c r="BH817" i="1"/>
  <c r="BH816" i="1"/>
  <c r="BH815" i="1"/>
  <c r="BH814" i="1"/>
  <c r="BH813" i="1"/>
  <c r="BH812" i="1"/>
  <c r="BH811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6" i="1"/>
  <c r="BH785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60" i="1"/>
  <c r="BH759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4" i="1"/>
  <c r="BH733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8" i="1"/>
  <c r="BH707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2" i="1"/>
  <c r="BH681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6" i="1"/>
  <c r="BH655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30" i="1"/>
  <c r="BH629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2" i="1"/>
  <c r="BH551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6" i="1"/>
  <c r="BH525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500" i="1"/>
  <c r="BH499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4" i="1"/>
  <c r="BH473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8" i="1"/>
  <c r="BH447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2" i="1"/>
  <c r="BH421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H3" i="1"/>
  <c r="BH2" i="1"/>
</calcChain>
</file>

<file path=xl/sharedStrings.xml><?xml version="1.0" encoding="utf-8"?>
<sst xmlns="http://schemas.openxmlformats.org/spreadsheetml/2006/main" count="61705" uniqueCount="4510">
  <si>
    <t>商品內部圖片</t>
  </si>
  <si>
    <t>廠商編號</t>
  </si>
  <si>
    <t>商品編號</t>
  </si>
  <si>
    <t>款號</t>
  </si>
  <si>
    <t>採購流水號</t>
  </si>
  <si>
    <t>單據日期</t>
  </si>
  <si>
    <t>採購貨號</t>
  </si>
  <si>
    <t>尺寸</t>
  </si>
  <si>
    <t>顏色</t>
  </si>
  <si>
    <t>顏色名稱</t>
  </si>
  <si>
    <t>是否主色</t>
  </si>
  <si>
    <t>商品名稱</t>
  </si>
  <si>
    <t>年度</t>
  </si>
  <si>
    <t>季節</t>
  </si>
  <si>
    <t>商品週數</t>
  </si>
  <si>
    <t>週數日期</t>
  </si>
  <si>
    <t>續賣週數</t>
  </si>
  <si>
    <t>最新上架日期</t>
  </si>
  <si>
    <t>預定到貨日</t>
  </si>
  <si>
    <t>品牌</t>
  </si>
  <si>
    <t>商品大分類</t>
  </si>
  <si>
    <t>商品中分類</t>
  </si>
  <si>
    <t>台幣_售價</t>
  </si>
  <si>
    <t>美金_售價</t>
  </si>
  <si>
    <t>馬幣_售價</t>
  </si>
  <si>
    <t>越南盾_售價</t>
  </si>
  <si>
    <t>總售價台幣</t>
  </si>
  <si>
    <t>重量(克)</t>
  </si>
  <si>
    <t>採購單號</t>
  </si>
  <si>
    <t>採購類別</t>
  </si>
  <si>
    <t>色數</t>
  </si>
  <si>
    <t>MY_1(官網)頭單</t>
  </si>
  <si>
    <t>MY_A(門市)頭單</t>
  </si>
  <si>
    <t>MY_Z(ZALORA)頭單</t>
  </si>
  <si>
    <t>TW_1(官網)頭單</t>
  </si>
  <si>
    <t>TW_A(門市)頭單</t>
  </si>
  <si>
    <t>數量</t>
  </si>
  <si>
    <t>總頭單量加總</t>
  </si>
  <si>
    <t>一驗數量</t>
  </si>
  <si>
    <t>二驗數量</t>
  </si>
  <si>
    <t>總驗數量</t>
  </si>
  <si>
    <t>是否結單</t>
  </si>
  <si>
    <t>結單日期</t>
  </si>
  <si>
    <t>MY_A(門市)級別</t>
  </si>
  <si>
    <t>MY_1(官網)級別</t>
  </si>
  <si>
    <t>TW_A(門市)級別</t>
  </si>
  <si>
    <t>TW_1(官網)級別</t>
  </si>
  <si>
    <t>特別要求</t>
  </si>
  <si>
    <t>是否企劃款</t>
  </si>
  <si>
    <t>備註</t>
  </si>
  <si>
    <t>商品成分</t>
  </si>
  <si>
    <t>彈性</t>
  </si>
  <si>
    <t>版型</t>
  </si>
  <si>
    <t>厚度</t>
  </si>
  <si>
    <t>觸感</t>
  </si>
  <si>
    <t>商品條碼</t>
  </si>
  <si>
    <t>小白單編號</t>
  </si>
  <si>
    <t>領標</t>
  </si>
  <si>
    <t>品項</t>
  </si>
  <si>
    <t>https://airsblobstage.blob.core.windows.net/photo/purchasephoto/SH3626QT.webp</t>
  </si>
  <si>
    <t>SH</t>
  </si>
  <si>
    <t>2541826022</t>
  </si>
  <si>
    <t>SH3626QT</t>
  </si>
  <si>
    <t>252-3626QT</t>
  </si>
  <si>
    <t>20260105</t>
  </si>
  <si>
    <t>3626QT</t>
  </si>
  <si>
    <t>F</t>
  </si>
  <si>
    <t>006</t>
  </si>
  <si>
    <t>杏</t>
  </si>
  <si>
    <t>N</t>
  </si>
  <si>
    <t>水手領排扣長袖針織外套</t>
  </si>
  <si>
    <t>26</t>
  </si>
  <si>
    <t>冬</t>
  </si>
  <si>
    <t>W2</t>
  </si>
  <si>
    <t>2026-01-05</t>
  </si>
  <si>
    <t>20260119</t>
  </si>
  <si>
    <t>OL</t>
  </si>
  <si>
    <t>外套</t>
  </si>
  <si>
    <t>寬鬆外套</t>
  </si>
  <si>
    <t>Outlet追加單</t>
  </si>
  <si>
    <t>Y</t>
  </si>
  <si>
    <t>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</si>
  <si>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3號袋、襯紙</t>
  </si>
  <si>
    <t>主紗:亞克力纖維50%尼龍27%聚酯纖維13%
尺寸:F</t>
  </si>
  <si>
    <t>2541826022006004</t>
  </si>
  <si>
    <t>R260105021</t>
  </si>
  <si>
    <t>B</t>
  </si>
  <si>
    <t>毛織</t>
  </si>
  <si>
    <t>996</t>
  </si>
  <si>
    <t>淺藍</t>
  </si>
  <si>
    <t>2541826022996004</t>
  </si>
  <si>
    <t>https://airsblobstage.blob.core.windows.net/photo/purchasephoto/SH188 1QT.webp</t>
  </si>
  <si>
    <t>2611821026</t>
  </si>
  <si>
    <t>SH188-1QT</t>
  </si>
  <si>
    <t>252-188-1QT</t>
  </si>
  <si>
    <t>20260304</t>
  </si>
  <si>
    <t>188-1QT</t>
  </si>
  <si>
    <t>002</t>
  </si>
  <si>
    <t>白</t>
  </si>
  <si>
    <t>長袖襯衫</t>
  </si>
  <si>
    <t>春</t>
  </si>
  <si>
    <t>W10</t>
  </si>
  <si>
    <t>2026-03-02</t>
  </si>
  <si>
    <t>20260318</t>
  </si>
  <si>
    <t>上衣</t>
  </si>
  <si>
    <t>20260312</t>
  </si>
  <si>
    <t>2號袋、襯紙、領標*2、洗標*2、成分標*2</t>
  </si>
  <si>
    <t>表布:棉100%
外件表布:嫘縈50%聚酯纖維28%尼龍22%
尺寸:F</t>
  </si>
  <si>
    <t>2611821026002004</t>
  </si>
  <si>
    <t>R260304086</t>
  </si>
  <si>
    <t>平織</t>
  </si>
  <si>
    <t>003</t>
  </si>
  <si>
    <t>藍</t>
  </si>
  <si>
    <t>2611821026003004</t>
  </si>
  <si>
    <t>https://airsblobstage.blob.core.windows.net/photo/purchasephoto/SH60037QT.webp</t>
  </si>
  <si>
    <t>2611834002</t>
  </si>
  <si>
    <t>SH60037QT</t>
  </si>
  <si>
    <t>252-60037QT</t>
  </si>
  <si>
    <t>60037QT</t>
  </si>
  <si>
    <t>S</t>
  </si>
  <si>
    <t>001</t>
  </si>
  <si>
    <t>黑</t>
  </si>
  <si>
    <t>側開衩短褲裙</t>
  </si>
  <si>
    <t>褲裙</t>
  </si>
  <si>
    <t>短褲</t>
  </si>
  <si>
    <t>20260320</t>
  </si>
  <si>
    <t>2號袋、襯紙</t>
  </si>
  <si>
    <t>表布:聚酯纖維96%彈性纖維4%
裡布:聚酯纖維100%
尺寸:S.M.L</t>
  </si>
  <si>
    <t>2611834002001001</t>
  </si>
  <si>
    <t>R260304087</t>
  </si>
  <si>
    <t>M</t>
  </si>
  <si>
    <t>2611834002001002</t>
  </si>
  <si>
    <t>L</t>
  </si>
  <si>
    <t>2611834002001003</t>
  </si>
  <si>
    <t>210</t>
  </si>
  <si>
    <t>深灰</t>
  </si>
  <si>
    <t>2611834002210001</t>
  </si>
  <si>
    <t>2611834002210002</t>
  </si>
  <si>
    <t>2611834002210003</t>
  </si>
  <si>
    <t>2611822011</t>
  </si>
  <si>
    <t>SH2581QT</t>
  </si>
  <si>
    <t>252-2581QT</t>
  </si>
  <si>
    <t>20260311</t>
  </si>
  <si>
    <t>2581QT</t>
  </si>
  <si>
    <t>長裙</t>
  </si>
  <si>
    <t>20260325</t>
  </si>
  <si>
    <t>裙子</t>
  </si>
  <si>
    <t>表布:嫘縈50%聚酯纖維45%彈性纖維5%
尺寸:S.M.L</t>
  </si>
  <si>
    <t>2611822011001001</t>
  </si>
  <si>
    <t>R260311036</t>
  </si>
  <si>
    <t>針織</t>
  </si>
  <si>
    <t>2611822011001002</t>
  </si>
  <si>
    <t>2611822011001003</t>
  </si>
  <si>
    <t>2611822011210001</t>
  </si>
  <si>
    <t>2611822011210002</t>
  </si>
  <si>
    <t>2611822011210003</t>
  </si>
  <si>
    <t>https://airsblobstage.blob.core.windows.net/photo/purchasephoto/SH0192QT.webp</t>
  </si>
  <si>
    <t>2611829017</t>
  </si>
  <si>
    <t>SH0192QT</t>
  </si>
  <si>
    <t>252-0192QT</t>
  </si>
  <si>
    <t>20260317</t>
  </si>
  <si>
    <t>0192QT</t>
  </si>
  <si>
    <t>010</t>
  </si>
  <si>
    <t>深藍</t>
  </si>
  <si>
    <t>圓領愛心刺繡短袖排扣開襟麻花針織衫</t>
  </si>
  <si>
    <t>20260331</t>
  </si>
  <si>
    <t>短袖針織</t>
  </si>
  <si>
    <t>20260408</t>
  </si>
  <si>
    <t>主紗:尼龍42%聚酯纖維30%亞克力纖維22%羊毛6%
尺寸:F</t>
  </si>
  <si>
    <t>2611829017010004</t>
  </si>
  <si>
    <t>R260317057</t>
  </si>
  <si>
    <t>035</t>
  </si>
  <si>
    <t>淺灰</t>
  </si>
  <si>
    <t>2611829017035004</t>
  </si>
  <si>
    <t>20260413</t>
  </si>
  <si>
    <t>20260427</t>
  </si>
  <si>
    <t>20260506</t>
  </si>
  <si>
    <t>R260413004</t>
  </si>
  <si>
    <t>20260415</t>
  </si>
  <si>
    <t>20260429</t>
  </si>
  <si>
    <t>R260415087</t>
  </si>
  <si>
    <t>20260422</t>
  </si>
  <si>
    <t>R260422052</t>
  </si>
  <si>
    <t>20260513</t>
  </si>
  <si>
    <t>20260520</t>
  </si>
  <si>
    <t>R260429070</t>
  </si>
  <si>
    <t>R260506055</t>
  </si>
  <si>
    <t>20260511</t>
  </si>
  <si>
    <t>R260511013</t>
  </si>
  <si>
    <t>R260511014</t>
  </si>
  <si>
    <t>20260605</t>
  </si>
  <si>
    <t>R260521002</t>
  </si>
  <si>
    <t>https://airsblobstage.blob.core.windows.net/photo/purchasephoto/SH2507QT.webp</t>
  </si>
  <si>
    <t>2621829010</t>
  </si>
  <si>
    <t>SH2507QT</t>
  </si>
  <si>
    <t>252-2507QT</t>
  </si>
  <si>
    <t>20260526</t>
  </si>
  <si>
    <t>2507QT</t>
  </si>
  <si>
    <t>夏</t>
  </si>
  <si>
    <t>W23</t>
  </si>
  <si>
    <t>2026-06-01</t>
  </si>
  <si>
    <t>20260609</t>
  </si>
  <si>
    <t>長袖針織</t>
  </si>
  <si>
    <t>OUTLET
靜衣仿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</si>
  <si>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主紗:嫘縈81%尼龍19%
尺寸:F</t>
  </si>
  <si>
    <t>2621829010001004</t>
  </si>
  <si>
    <t>R260526094</t>
  </si>
  <si>
    <t>2621829010002004</t>
  </si>
  <si>
    <t>2621829010003004</t>
  </si>
  <si>
    <t>https://airsblobstage.blob.core.windows.net/photo/purchasephoto/SH2510QT.webp</t>
  </si>
  <si>
    <t>2621821067</t>
  </si>
  <si>
    <t>SH2510QT</t>
  </si>
  <si>
    <t>252-2510QT</t>
  </si>
  <si>
    <t>2510QT</t>
  </si>
  <si>
    <t>017</t>
  </si>
  <si>
    <t>咖啡</t>
  </si>
  <si>
    <t>短版挖肩上衣</t>
  </si>
  <si>
    <t>OUTLET
小熊衣櫃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</si>
  <si>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2號袋、襯紙、胸殼</t>
  </si>
  <si>
    <t>表布:嫘縈93%彈性纖維7%
罩杯內層材質:聚酯纖維100%
尺寸:F</t>
  </si>
  <si>
    <t>2621821067017004</t>
  </si>
  <si>
    <t>R260526095</t>
  </si>
  <si>
    <t>20260603</t>
  </si>
  <si>
    <t>20260617</t>
  </si>
  <si>
    <t>R260603090</t>
  </si>
  <si>
    <t>https://airsblobstage.blob.core.windows.net/photo/purchasephoto/EB19336Q.webp</t>
  </si>
  <si>
    <t>EB</t>
  </si>
  <si>
    <t>2541821081</t>
  </si>
  <si>
    <t>EB19336Q</t>
  </si>
  <si>
    <t>83-19336Q</t>
  </si>
  <si>
    <t>20251231</t>
  </si>
  <si>
    <t>19336Q</t>
  </si>
  <si>
    <t>不對稱領拼接透紗抓皺內刷毛長袖短版BRA TOP</t>
  </si>
  <si>
    <t>W1</t>
  </si>
  <si>
    <t>2025-12-29</t>
  </si>
  <si>
    <t>2025-12-29 09:00:00</t>
  </si>
  <si>
    <t>20260114</t>
  </si>
  <si>
    <t>長袖合身上衣</t>
  </si>
  <si>
    <t>追加單</t>
  </si>
  <si>
    <t>20260129</t>
  </si>
  <si>
    <t>A</t>
  </si>
  <si>
    <t>含1.3公分可拆一體式胸棉、內層磨毛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</si>
  <si>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表布:嫘縈92%彈性纖維8%
配布:尼龍90%彈性纖維10%
罩杯裡層材質:聚酯纖維100%
尺寸:S.M.L</t>
  </si>
  <si>
    <t>4</t>
  </si>
  <si>
    <t>2</t>
  </si>
  <si>
    <t>3</t>
  </si>
  <si>
    <t>2541821081001001</t>
  </si>
  <si>
    <t>R251231010</t>
  </si>
  <si>
    <t>2541821081001002</t>
  </si>
  <si>
    <t>2541821081001003</t>
  </si>
  <si>
    <t>2541821081002001</t>
  </si>
  <si>
    <t>2541821081002002</t>
  </si>
  <si>
    <t>https://airsblobstage.blob.core.windows.net/photo/purchasephoto/EB19467.webp</t>
  </si>
  <si>
    <t>2540129032</t>
  </si>
  <si>
    <t>EB19467</t>
  </si>
  <si>
    <t>83-19467</t>
  </si>
  <si>
    <t>19467</t>
  </si>
  <si>
    <t>假兩件領口鏤空交叉綁帶長袖短版針織衫</t>
  </si>
  <si>
    <t>AS</t>
  </si>
  <si>
    <t>長袖合身針織</t>
  </si>
  <si>
    <t>20260122</t>
  </si>
  <si>
    <t>C</t>
  </si>
  <si>
    <t>2號袋 襯紙</t>
  </si>
  <si>
    <t>外件主紗:尼龍100%
內件主紗:嫘縈49.3% 尼龍27.7% 聚酯纖維23%
尺寸:S M</t>
  </si>
  <si>
    <t>1</t>
  </si>
  <si>
    <t>2540129032002001</t>
  </si>
  <si>
    <t>R251231013</t>
  </si>
  <si>
    <t>2540129032002002</t>
  </si>
  <si>
    <t>https://airsblobstage.blob.core.windows.net/photo/purchasephoto/EB19467F.webp</t>
  </si>
  <si>
    <t>2540829028</t>
  </si>
  <si>
    <t>EB19467F</t>
  </si>
  <si>
    <t>83-19467F</t>
  </si>
  <si>
    <t>19467F</t>
  </si>
  <si>
    <t>XL</t>
  </si>
  <si>
    <t>A PLUS</t>
  </si>
  <si>
    <t>假兩件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</si>
  <si>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主紗:尼龍100%配紗:嫘縈49.3%尼龍27.7%聚酯纖維23%
尺寸:XL.2XL</t>
  </si>
  <si>
    <t>2540829028002005</t>
  </si>
  <si>
    <t>R251231014</t>
  </si>
  <si>
    <t>E</t>
  </si>
  <si>
    <t>2XL</t>
  </si>
  <si>
    <t>2540829028002006</t>
  </si>
  <si>
    <t>https://airsblobstage.blob.core.windows.net/photo/purchasephoto/GE90936A.webp</t>
  </si>
  <si>
    <t>GE</t>
  </si>
  <si>
    <t>2540721029</t>
  </si>
  <si>
    <t>GE90936A</t>
  </si>
  <si>
    <t>122-90936A</t>
  </si>
  <si>
    <t>90936A</t>
  </si>
  <si>
    <t>180</t>
  </si>
  <si>
    <t>酒紅</t>
  </si>
  <si>
    <t>一字領雙細肩帶側抓皺長袖短版BRA TOP</t>
  </si>
  <si>
    <t>CA</t>
  </si>
  <si>
    <t>長袖短版合身上衣</t>
  </si>
  <si>
    <t xml:space="preserve">GE90936A、GE90939A兩款同料、含可拆胸棉1.3CM
洗滌注意事項：
※ 首次洗滌時，深色／飽和色系布料較易釋出多餘的固色劑，屬正常現象。
※ 建議深色衣物於首次穿著前先行單獨下水清洗，有助釋出多餘染劑，減少移染或掉色風險。
※ 請與淺色衣物分開洗滌，避免互相染色或產生移染情形。
※ 穿搭時亦建議避免與淺色配件、包款、飾品一同使用，以降低因摩擦或潮濕造成染色的可能性。
</t>
  </si>
  <si>
    <t>2號袋、小紙板、胸殼</t>
  </si>
  <si>
    <t>表布:嫘縈38%棉28.5%亞克力纖維28.5%彈性纖維5%
裡布:聚酯纖維100%
罩杯裡層材質:聚酯纖維100%
尺寸:S、M、L</t>
  </si>
  <si>
    <t>2540721029180001</t>
  </si>
  <si>
    <t>R251231022</t>
  </si>
  <si>
    <t>2540721029180002</t>
  </si>
  <si>
    <t>2540721029180003</t>
  </si>
  <si>
    <t>https://airsblobstage.blob.core.windows.net/photo/purchasephoto/GT8992Q.webp</t>
  </si>
  <si>
    <t>GT</t>
  </si>
  <si>
    <t>2541829077</t>
  </si>
  <si>
    <t>GT8992Q</t>
  </si>
  <si>
    <t>131-8992Q</t>
  </si>
  <si>
    <t>8992Q</t>
  </si>
  <si>
    <t>2 WAY大圓領蝴蝶結緹花圖案長袖寬版仿貂毛毛衣</t>
  </si>
  <si>
    <t>長袖寬鬆針織</t>
  </si>
  <si>
    <t>兩穿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</si>
  <si>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主紗:100%尼龍
配紗:嫘縈48%聚酯纖維30%尼龍22%
尺寸S.M</t>
  </si>
  <si>
    <t>5</t>
  </si>
  <si>
    <t>2541829077002001</t>
  </si>
  <si>
    <t>R251231027</t>
  </si>
  <si>
    <t>2541829077002002</t>
  </si>
  <si>
    <t>https://airsblobstage.blob.core.windows.net/photo/purchasephoto/XY62588.webp</t>
  </si>
  <si>
    <t>XY</t>
  </si>
  <si>
    <t>2540122008</t>
  </si>
  <si>
    <t>XY62588</t>
  </si>
  <si>
    <t>297-62588</t>
  </si>
  <si>
    <t>62588</t>
  </si>
  <si>
    <t>挺版百褶皮質短裙</t>
  </si>
  <si>
    <t>短裙</t>
  </si>
  <si>
    <t>褲裡 
洗滌注意：
1.深淺色皮革請分開放置，以避免造成互相移染。
2.穿著時，請留意避免與配件包包等他物接觸摩擦。
3.皮製品請勿下水洗滌，建議可用軟布輕輕擦拭，也可沾取少量清水擦拭後陰乾。</t>
  </si>
  <si>
    <t>表層:PU100% 
裡層:聚酯纖維100%
裡布:聚酯纖維100%
尺寸:S M L</t>
  </si>
  <si>
    <t>2540122008001001</t>
  </si>
  <si>
    <t>R251231032</t>
  </si>
  <si>
    <t>2540122008001002</t>
  </si>
  <si>
    <t>2540122008001003</t>
  </si>
  <si>
    <t>https://airsblobstage.blob.core.windows.net/photo/purchasephoto/XY6883QF.webp</t>
  </si>
  <si>
    <t>2540829018</t>
  </si>
  <si>
    <t>XY6883QF</t>
  </si>
  <si>
    <t>297-6883QF</t>
  </si>
  <si>
    <t>6883QF</t>
  </si>
  <si>
    <t xml:space="preserve"> 圓領挖肩綁帶袖仿貂毛短版毛衣</t>
  </si>
  <si>
    <t>主紗:尼龍100%
尺寸:.XL.2XL</t>
  </si>
  <si>
    <t>2540829018002005</t>
  </si>
  <si>
    <t>R251231040</t>
  </si>
  <si>
    <t>2540829018002006</t>
  </si>
  <si>
    <t>https://airsblobstage.blob.core.windows.net/photo/purchasephoto/WX0813Q.webp</t>
  </si>
  <si>
    <t>WX</t>
  </si>
  <si>
    <t>2541822006</t>
  </si>
  <si>
    <t>WX0813Q</t>
  </si>
  <si>
    <t>337-0813Q</t>
  </si>
  <si>
    <t>0813Q</t>
  </si>
  <si>
    <t>【奶霜柔暖】側打褶鬆緊直筒針織長裙</t>
  </si>
  <si>
    <t>20260130</t>
  </si>
  <si>
    <t>奶霜企劃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</si>
  <si>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主紗:嫘縈45%尼龍30%聚酯纖維25%
配紗:尼龍100%
尺寸:S.M</t>
  </si>
  <si>
    <t>2541822006002001</t>
  </si>
  <si>
    <t>R251231042</t>
  </si>
  <si>
    <t>2541822006002002</t>
  </si>
  <si>
    <t>https://airsblobstage.blob.core.windows.net/photo/purchasephoto/WX0814Q.webp</t>
  </si>
  <si>
    <t>2541829079</t>
  </si>
  <si>
    <t>WX0814Q</t>
  </si>
  <si>
    <t>337-0814Q</t>
  </si>
  <si>
    <t>0814Q</t>
  </si>
  <si>
    <t>【奶霜柔暖】V領長袖短版排扣開襟針織衫</t>
  </si>
  <si>
    <t>2541829079002001</t>
  </si>
  <si>
    <t>R251231043</t>
  </si>
  <si>
    <t>2541829079002002</t>
  </si>
  <si>
    <t>https://airsblobstage.blob.core.windows.net/photo/purchasephoto/WX0818A.webp</t>
  </si>
  <si>
    <t>2540721026</t>
  </si>
  <si>
    <t>WX0818A</t>
  </si>
  <si>
    <t>337-0818A</t>
  </si>
  <si>
    <t>0818A</t>
  </si>
  <si>
    <t>【奶霜柔暖】圓領長袖仿貂毛內裡短版針織衫</t>
  </si>
  <si>
    <t>長袖短版合身針織</t>
  </si>
  <si>
    <t xml:space="preserve">WX0818A WX0911A同料
奶霜企劃
洗滌注意事項：
※ 首次洗滌時，深色／飽和色系布料較易釋出多餘的固色劑，屬正常現象。
※ 建議深色衣物於首次穿著前先行單獨下水清洗，有助釋出多餘染劑，減少移染或掉色風險。
※ 請與淺色衣物分開洗滌，避免互相染色或產生移染情形。
※ 穿搭時亦建議避免與淺色配件、包款、飾品一同使用，以降低因摩擦或潮濕造成染色的可能性。
</t>
  </si>
  <si>
    <t>2號袋、小紙板</t>
  </si>
  <si>
    <t>主紗:嫘縈45%聚酯纖維25%尼龍30%
配紗:尼龍100%
尺寸:S、M</t>
  </si>
  <si>
    <t>2540721026002001</t>
  </si>
  <si>
    <t>R251231044</t>
  </si>
  <si>
    <t>2540721026002002</t>
  </si>
  <si>
    <t>https://airsblobstage.blob.core.windows.net/photo/purchasephoto/EB19477Q.webp</t>
  </si>
  <si>
    <t>2541823014</t>
  </si>
  <si>
    <t>EB19477Q</t>
  </si>
  <si>
    <t>83-19477Q</t>
  </si>
  <si>
    <t>20260102</t>
  </si>
  <si>
    <t>19477Q</t>
  </si>
  <si>
    <t>S+</t>
  </si>
  <si>
    <t>【AIR空氣棉零重力】完美腰線DNA雙扣喇叭長褲</t>
  </si>
  <si>
    <t>2026-01-05 09:00:00</t>
  </si>
  <si>
    <t>20260116</t>
  </si>
  <si>
    <t>褲子</t>
  </si>
  <si>
    <t>長褲</t>
  </si>
  <si>
    <t>20260123</t>
  </si>
  <si>
    <t>空氣層DNA企劃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</si>
  <si>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2號袋、襯紙、A02-B釦</t>
  </si>
  <si>
    <t>表布:嫘縈55%聚酯纖維40%彈性纖維5%
尺寸S.S+.M.M+.L</t>
  </si>
  <si>
    <t>2541823014035017</t>
  </si>
  <si>
    <t>R260102007</t>
  </si>
  <si>
    <t>2541823014035001</t>
  </si>
  <si>
    <t>M+</t>
  </si>
  <si>
    <t>2541823014035018</t>
  </si>
  <si>
    <t>2541823014035002</t>
  </si>
  <si>
    <t>2541823014035003</t>
  </si>
  <si>
    <t>https://airsblobstage.blob.core.windows.net/photo/purchasephoto/EB19517Q.webp</t>
  </si>
  <si>
    <t>2541823013</t>
  </si>
  <si>
    <t>EB19517Q</t>
  </si>
  <si>
    <t>83-19517Q</t>
  </si>
  <si>
    <t>19517Q</t>
  </si>
  <si>
    <t>【AIR空氣棉零重力】完美腰線DNA雙扣直筒寬褲</t>
  </si>
  <si>
    <t>表布:嫘縈55%聚酯纖維40%彈性纖維5%
尺寸:S.S+.M.M+.L</t>
  </si>
  <si>
    <t>2541823013001017</t>
  </si>
  <si>
    <t>R260102008</t>
  </si>
  <si>
    <t>2541823013001001</t>
  </si>
  <si>
    <t>2541823013001018</t>
  </si>
  <si>
    <t>2541823013001002</t>
  </si>
  <si>
    <t>2541823013001003</t>
  </si>
  <si>
    <t>https://airsblobstage.blob.core.windows.net/photo/purchasephoto/GT9011A.webp</t>
  </si>
  <si>
    <t>2540729025</t>
  </si>
  <si>
    <t>GT9011A</t>
  </si>
  <si>
    <t>131-9011A</t>
  </si>
  <si>
    <t>9011A</t>
  </si>
  <si>
    <t>V領金屬珠扣長袖短版仿貂毛針織開襟衫</t>
  </si>
  <si>
    <t>長袖短版針織</t>
  </si>
  <si>
    <t xml:space="preserve">洗滌注意事項：
※ 首次洗滌時，深色／飽和色系布料較易釋出多餘的固色劑，屬正常現象。
※ 建議深色衣物於首次穿著前先行單獨下水清洗，有助釋出多餘染劑，減少移染或掉色風險。
※ 請與淺色衣物分開洗滌，避免互相染色或產生移染情形。
※ 穿搭時亦建議避免與淺色配件、包款、飾品一同使用，以降低因摩擦或潮濕造成染色的可能性。
</t>
  </si>
  <si>
    <t>2號袋、備扣袋、小紙板</t>
  </si>
  <si>
    <t>主紗:尼龍100%
尺寸:S、M</t>
  </si>
  <si>
    <t>2540729025002001</t>
  </si>
  <si>
    <t>R260102012</t>
  </si>
  <si>
    <t>2540729025002002</t>
  </si>
  <si>
    <t>015</t>
  </si>
  <si>
    <t>粉紅</t>
  </si>
  <si>
    <t>2540729025015001</t>
  </si>
  <si>
    <t>2540729025015002</t>
  </si>
  <si>
    <t>https://airsblobstage.blob.core.windows.net/photo/purchasephoto/GT9021Q.webp</t>
  </si>
  <si>
    <t>2541822007</t>
  </si>
  <si>
    <t>GT9021Q</t>
  </si>
  <si>
    <t>131-9021Q</t>
  </si>
  <si>
    <t>9021Q</t>
  </si>
  <si>
    <t>簡約皮質A字短裙</t>
  </si>
  <si>
    <t>內裡有褲裡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</si>
  <si>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表層:PU100%
裡層:聚酯纖維100%
裡布:聚酯纖維100%
尺寸:S.M.L</t>
  </si>
  <si>
    <t>2541822007001001</t>
  </si>
  <si>
    <t>R260102013</t>
  </si>
  <si>
    <t>2541822007001002</t>
  </si>
  <si>
    <t>2541822007001003</t>
  </si>
  <si>
    <t>https://airsblobstage.blob.core.windows.net/photo/purchasephoto/GT9043.webp</t>
  </si>
  <si>
    <t>2540129039</t>
  </si>
  <si>
    <t>GT9043P</t>
  </si>
  <si>
    <t>131-9043P</t>
  </si>
  <si>
    <t>9043P</t>
  </si>
  <si>
    <t>【Lyra &amp; Toby】Toby狗狗輪廓線緹花圓領長袖長版毛衣</t>
  </si>
  <si>
    <t>IP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</si>
  <si>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3號袋 襯紙 F34-IP吊牌+吊粒</t>
  </si>
  <si>
    <t>主紗:聚酯纖維57%亞克力纖維26% 尼龍14%彈性纖維3%
配紗:嫘縈50% PBT30% 尼龍20%
尺寸:F</t>
  </si>
  <si>
    <t>2540129039002004</t>
  </si>
  <si>
    <t>R260102014</t>
  </si>
  <si>
    <t>https://airsblobstage.blob.core.windows.net/photo/purchasephoto/XY6902P.webp</t>
  </si>
  <si>
    <t>2540129038</t>
  </si>
  <si>
    <t>XY6902P</t>
  </si>
  <si>
    <t>297-6902P</t>
  </si>
  <si>
    <t>6902P</t>
  </si>
  <si>
    <t>【Lyra &amp; Toby】緹花圖案撞色線條滾邊V領長袖毛衣(附條紋綁帶)</t>
  </si>
  <si>
    <t xml:space="preserve">3號袋 襯紙 F34-IP吊牌+吊粒 </t>
  </si>
  <si>
    <t>主紗:聚酯纖維72% 亞克力纖維24%彈性纖維4%
配紗:亞克力纖維100%
尺寸:S M</t>
  </si>
  <si>
    <t>2540129038015001</t>
  </si>
  <si>
    <t>R260102016</t>
  </si>
  <si>
    <t>2540129038015002</t>
  </si>
  <si>
    <t>2540129038996001</t>
  </si>
  <si>
    <t>2540129038996002</t>
  </si>
  <si>
    <t>https://airsblobstage.blob.core.windows.net/photo/purchasephoto/XY6907P.webp</t>
  </si>
  <si>
    <t>2540129041</t>
  </si>
  <si>
    <t>XY6907P</t>
  </si>
  <si>
    <t>297-6907P</t>
  </si>
  <si>
    <t>6907P</t>
  </si>
  <si>
    <t>【Lyra &amp; Toby】刺繡文字圖案圓領長袖短版毛衣</t>
  </si>
  <si>
    <t>2號袋 襯紙 F34-IP吊牌+吊粒</t>
  </si>
  <si>
    <t>主紗:聚酯纖維100%
尺寸:S M</t>
  </si>
  <si>
    <t>2540129041002001</t>
  </si>
  <si>
    <t>R260102017</t>
  </si>
  <si>
    <t>2540129041002002</t>
  </si>
  <si>
    <t>https://airsblobstage.blob.core.windows.net/photo/purchasephoto/BF2224A.webp</t>
  </si>
  <si>
    <t>BF</t>
  </si>
  <si>
    <t>2540729027</t>
  </si>
  <si>
    <t>BF2224A</t>
  </si>
  <si>
    <t>44-2224A</t>
  </si>
  <si>
    <t>2224A</t>
  </si>
  <si>
    <t>深V領細條紋長袖寬版毛衣</t>
  </si>
  <si>
    <t>20260115</t>
  </si>
  <si>
    <t>洗滌注意事項：
※ 首次洗滌時，深色／飽和色系布料較易釋出多餘的固色劑，屬正常現象。
※ 建議深色衣物於首次穿著前先行單獨下水清洗，有助釋出多餘染劑，減少移染或掉色風險。
※ 請與淺色衣物分開洗滌，避免互相染色或產生移染情形。
※ 穿搭時亦建議避免與淺色配件、包款、飾品一同使用，以降低因摩擦或潮濕造成染色的可能性。</t>
  </si>
  <si>
    <t>3號袋、白紙板</t>
  </si>
  <si>
    <t>主紗:亞克力纖維52% 尼龍28% 聚酯纖維20%
尺寸:S、M</t>
  </si>
  <si>
    <t>2540729027017001</t>
  </si>
  <si>
    <t>R260102018</t>
  </si>
  <si>
    <t>2540729027017002</t>
  </si>
  <si>
    <t>https://airsblobstage.blob.core.windows.net/photo/purchasephoto/AF12462.webp</t>
  </si>
  <si>
    <t>AF</t>
  </si>
  <si>
    <t>2540121093</t>
  </si>
  <si>
    <t>AF12462</t>
  </si>
  <si>
    <t>10-12462</t>
  </si>
  <si>
    <t>12462</t>
  </si>
  <si>
    <t>不對稱領細肩帶鏤空長袖短版上衣</t>
  </si>
  <si>
    <t>兩件價798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</si>
  <si>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 襯紙 F29-兩件價吊卡</t>
  </si>
  <si>
    <t>表布:嫘縈92% 彈性纖維8%
尺寸:S M L</t>
  </si>
  <si>
    <t>2540121093001001</t>
  </si>
  <si>
    <t>R260105006</t>
  </si>
  <si>
    <t>2540121093001002</t>
  </si>
  <si>
    <t>2540121093001003</t>
  </si>
  <si>
    <t>3XL</t>
  </si>
  <si>
    <t>洋裝</t>
  </si>
  <si>
    <t>20260112</t>
  </si>
  <si>
    <t>20260126</t>
  </si>
  <si>
    <t>R260112020</t>
  </si>
  <si>
    <t>2541823013035017</t>
  </si>
  <si>
    <t>2541823013035001</t>
  </si>
  <si>
    <t>2541823013035018</t>
  </si>
  <si>
    <t>2541823013035002</t>
  </si>
  <si>
    <t>2541823013035003</t>
  </si>
  <si>
    <t>2541823014001017</t>
  </si>
  <si>
    <t>R260119003</t>
  </si>
  <si>
    <t>2541823014001001</t>
  </si>
  <si>
    <t>2541823014001018</t>
  </si>
  <si>
    <t>2541823014001002</t>
  </si>
  <si>
    <t>2541823014001003</t>
  </si>
  <si>
    <t>https://airsblobstage.blob.core.windows.net/photo/purchasephoto/SH1827CB.webp</t>
  </si>
  <si>
    <t>2610125005</t>
  </si>
  <si>
    <t>SH1827C</t>
  </si>
  <si>
    <t>252-1827C</t>
  </si>
  <si>
    <t>20260225</t>
  </si>
  <si>
    <t>1827C</t>
  </si>
  <si>
    <t>【Hello Kitty聯名】刺繡印花造型連帽頸枕</t>
  </si>
  <si>
    <t>W9</t>
  </si>
  <si>
    <t>2026-02-23</t>
  </si>
  <si>
    <t>2026-02-23 09:00:00</t>
  </si>
  <si>
    <t>配件</t>
  </si>
  <si>
    <t>旅行用品</t>
  </si>
  <si>
    <t>26SS KITTY聯名  26KT蝴蝶結織標 聯名小物 (不可退換貨)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</si>
  <si>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F09-A領標(無碼段) -帝一
F08-A洗標 -帝一
F07-A成份標  -帝一
F36-26KT蝴蝶結織標 -帝一
真空包裝(蘭溪市伊德家紡)
包裝貼紙 -帝一</t>
  </si>
  <si>
    <t>頭套與頸枕布料相同材質:
表布:95%聚酯纖維 5%彈性纖維 裡布:95%聚酯纖維 5%彈性纖維
填充物:PP棉</t>
  </si>
  <si>
    <t>2610125005017004</t>
  </si>
  <si>
    <t>R260225001</t>
  </si>
  <si>
    <t>https://airsblobstage.blob.core.windows.net/photo/purchasephoto/SHY1896C.webp</t>
  </si>
  <si>
    <t>SHY</t>
  </si>
  <si>
    <t>2610125002</t>
  </si>
  <si>
    <t>SHY1896C</t>
  </si>
  <si>
    <t>406-1896C</t>
  </si>
  <si>
    <t>1896C</t>
  </si>
  <si>
    <t>【Hello Kitty聯名】刺繡造型擦手巾</t>
  </si>
  <si>
    <t>擦手巾</t>
  </si>
  <si>
    <t xml:space="preserve">26SS KITTY聯名  26KT蝴蝶結織標聯名小物 (不可退換貨)
粉:寬20.8CM * 高22CM
藍:寬24CM * 高22CM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</si>
  <si>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D12 26KT聯名蝴蝶結吊牌
F06 A吊牌 +吊粒
F10 條碼吊牌
F36 26KT聯名蝴蝶結織標
F09 A無碼領標
F08 洗標
F07 成分標
打洞款OPP自黏袋
**加M字軌**</t>
  </si>
  <si>
    <t xml:space="preserve">材質:85%尼龍 15%聚酯纖維
尺寸:F
</t>
  </si>
  <si>
    <t>2610125002003004</t>
  </si>
  <si>
    <t>R260225002</t>
  </si>
  <si>
    <t>2610125002015004</t>
  </si>
  <si>
    <t>https://airsblobstage.blob.core.windows.net/photo/purchasephoto/SHY3435C.webp</t>
  </si>
  <si>
    <t>2610125003</t>
  </si>
  <si>
    <t>SHY3435C</t>
  </si>
  <si>
    <t>406-3435C</t>
  </si>
  <si>
    <t>3435C</t>
  </si>
  <si>
    <t>【Hello Kitty聯名】絨毛大頭造型收納購物袋吊飾</t>
  </si>
  <si>
    <t>吊飾</t>
  </si>
  <si>
    <t>Hello Kitty 聯名小物</t>
  </si>
  <si>
    <t xml:space="preserve">F07 A 成份标 / F08 A 洗标 / F09 A 领标(不要尺碼) / 26KT聯名織標 / 卡紙+霧面透明袋 (帝一) </t>
  </si>
  <si>
    <t xml:space="preserve">材質: 表布 100%聚酯纖維 / 購物袋 100%聚酯纖維
尺寸: F
KITTY造型頭 - 寬 15CM * 高 13CM
購物袋 - 寬 34CM * 高 60CM
</t>
  </si>
  <si>
    <t>2610125003017004</t>
  </si>
  <si>
    <t>R260225003</t>
  </si>
  <si>
    <t>https://airsblobstage.blob.core.windows.net/photo/purchasephoto/SJ0721CB.webp</t>
  </si>
  <si>
    <t>SJ</t>
  </si>
  <si>
    <t>2610125001</t>
  </si>
  <si>
    <t>SJ0721CB</t>
  </si>
  <si>
    <t>346-0721CB</t>
  </si>
  <si>
    <t>0721CB</t>
  </si>
  <si>
    <t>ONE SIZE</t>
  </si>
  <si>
    <t>【Hello Kitty聯名】刺繡圖案水洗棒球帽</t>
  </si>
  <si>
    <t>帽子</t>
  </si>
  <si>
    <t>26SS KITTY聯名 26KT蝴蝶結吊卡 26KT蝴蝶結織標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</si>
  <si>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 xml:space="preserve">2號袋 襯紙 D12-26KT蝴蝶結吊卡 F36-蝴蝶結織標 
</t>
  </si>
  <si>
    <t>表布:棉100%
尺寸:S</t>
  </si>
  <si>
    <t>2610125001001016</t>
  </si>
  <si>
    <t>R260225004</t>
  </si>
  <si>
    <t>2610125001010016</t>
  </si>
  <si>
    <t>https://airsblobstage.blob.core.windows.net/photo/purchasephoto/ZX11376.webp</t>
  </si>
  <si>
    <t>ZX</t>
  </si>
  <si>
    <t>2610121048</t>
  </si>
  <si>
    <t>ZX11376</t>
  </si>
  <si>
    <t>331-11376</t>
  </si>
  <si>
    <t>11376</t>
  </si>
  <si>
    <t>【Hello Kitty聯名】美背印花長袖寬版格紋襯衫</t>
  </si>
  <si>
    <t>20260330</t>
  </si>
  <si>
    <t>2號袋 襯紙 D12-26KT蝴蝶結吊卡 F36-蝴蝶結織標</t>
  </si>
  <si>
    <t>表布:聚酯纖維75% 嫘縈23% 彈性纖維2% 
尺寸:F</t>
  </si>
  <si>
    <t>2610121048015004</t>
  </si>
  <si>
    <t>R260225005</t>
  </si>
  <si>
    <t>https://airsblobstage.blob.core.windows.net/photo/purchasephoto/EB19685.webp</t>
  </si>
  <si>
    <t>2610121035</t>
  </si>
  <si>
    <t>EB19685</t>
  </si>
  <si>
    <t>83-19685</t>
  </si>
  <si>
    <t>19685</t>
  </si>
  <si>
    <t>【Hello Kitty聯名】烤焦版凱蒂貓印花圓領短袖短版TEE</t>
  </si>
  <si>
    <t>短袖合身上衣</t>
  </si>
  <si>
    <t>表布:棉93.7% 彈性纖維6.3%
尺寸:S M L</t>
  </si>
  <si>
    <t>2610121035002001</t>
  </si>
  <si>
    <t>R260225006</t>
  </si>
  <si>
    <t>2610121035002002</t>
  </si>
  <si>
    <t>2610121035002003</t>
  </si>
  <si>
    <t>2610121035017001</t>
  </si>
  <si>
    <t>2610121035017002</t>
  </si>
  <si>
    <t>2610121035017003</t>
  </si>
  <si>
    <t>2610121035210001</t>
  </si>
  <si>
    <t>2610121035210002</t>
  </si>
  <si>
    <t>2610121035210003</t>
  </si>
  <si>
    <t>https://airsblobstage.blob.core.windows.net/photo/purchasephoto/EB19685F.webp</t>
  </si>
  <si>
    <t>2610821034</t>
  </si>
  <si>
    <t>EB19685F</t>
  </si>
  <si>
    <t>83-19685F</t>
  </si>
  <si>
    <t>19685F</t>
  </si>
  <si>
    <t>26SS KITTY聯名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</si>
  <si>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2號袋、襯紙、F36-26KT蝴蝶結織標、D12-26KT蝴蝶結吊卡</t>
  </si>
  <si>
    <t>表布:棉93.7%彈性纖維6.3%
尺寸:XL.2XL.3XL</t>
  </si>
  <si>
    <t>2610821034017005</t>
  </si>
  <si>
    <t>R260225007</t>
  </si>
  <si>
    <t>2610821034017007</t>
  </si>
  <si>
    <t>2610821034017006</t>
  </si>
  <si>
    <t>https://airsblobstage.blob.core.windows.net/photo/purchasephoto/EB196871.webp</t>
  </si>
  <si>
    <t>2610121029</t>
  </si>
  <si>
    <t>EB196871</t>
  </si>
  <si>
    <t>83-196871</t>
  </si>
  <si>
    <t>196871</t>
  </si>
  <si>
    <t>【Hello Kitty聯名】烤焦版凱蒂貓印花圓領短袖水洗寬版TEE</t>
  </si>
  <si>
    <t>短袖寬鬆上衣</t>
  </si>
  <si>
    <t>20260402</t>
  </si>
  <si>
    <t>26KT聯名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</si>
  <si>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表布:棉100%
尺寸:F</t>
  </si>
  <si>
    <t>2610121029017004</t>
  </si>
  <si>
    <t>R260225008</t>
  </si>
  <si>
    <t>2610121029210004</t>
  </si>
  <si>
    <t>20260326</t>
  </si>
  <si>
    <t>表布:棉95% 彈性纖維5%
尺寸:F</t>
  </si>
  <si>
    <t>FF</t>
  </si>
  <si>
    <t>26SS KITTY聯名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</si>
  <si>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表布:棉95%彈性纖維5%
尺寸:FF</t>
  </si>
  <si>
    <t>https://airsblobstage.blob.core.windows.net/photo/purchasephoto/EB19804.webp</t>
  </si>
  <si>
    <t>2610129023</t>
  </si>
  <si>
    <t>EB19804</t>
  </si>
  <si>
    <t>83-19804</t>
  </si>
  <si>
    <t>19804</t>
  </si>
  <si>
    <t>【Hello Kitty聯名】毛織圖案圓領短袖短版針織衫</t>
  </si>
  <si>
    <t>短袖合身針織</t>
  </si>
  <si>
    <t xml:space="preserve">主紗:尼龍100%
尺寸:S M L </t>
  </si>
  <si>
    <t>2610129023002001</t>
  </si>
  <si>
    <t>R260225011</t>
  </si>
  <si>
    <t>2610129023002002</t>
  </si>
  <si>
    <t>2610129023002003</t>
  </si>
  <si>
    <t>https://airsblobstage.blob.core.windows.net/photo/purchasephoto/GE90951.webp</t>
  </si>
  <si>
    <t>2610121047</t>
  </si>
  <si>
    <t>GE90951</t>
  </si>
  <si>
    <t>122-90951</t>
  </si>
  <si>
    <t>90951</t>
  </si>
  <si>
    <t>【Hello Kitty聯名】撞色滾邊印花字母細肩帶短版背心(附胸墊)</t>
  </si>
  <si>
    <t>短版合身內衣背心</t>
  </si>
  <si>
    <t>26SS KITTY聯名 26KT蝴蝶結吊卡 26KT蝴蝶結織標可拆一體式胸棉1.3CM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</si>
  <si>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 襯紙 D12-26KT蝴蝶結吊卡 F36-蝴蝶結織標  F30-胸殼</t>
  </si>
  <si>
    <t>表布:嫘縈47% 棉47% 彈性纖維6% 裡布:聚酯纖維100% 罩杯裡層材質:聚酯纖維100%
尺寸:S M L</t>
  </si>
  <si>
    <t>R260225012</t>
  </si>
  <si>
    <t>AM</t>
  </si>
  <si>
    <t>2610121047002001</t>
  </si>
  <si>
    <t>2610121047002002</t>
  </si>
  <si>
    <t>2610121047002003</t>
  </si>
  <si>
    <t>https://airsblobstage.blob.core.windows.net/photo/purchasephoto/GE90951F.webp</t>
  </si>
  <si>
    <t>2610821033</t>
  </si>
  <si>
    <t>GE90951F</t>
  </si>
  <si>
    <t>122-90951F</t>
  </si>
  <si>
    <t>90951F</t>
  </si>
  <si>
    <t>26SS KITTY聯名、A+訂製胸棉、含可拆一體式胸棉1CM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</si>
  <si>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2號袋、襯紙、F30胸殼、F36-26KT蝴蝶結織標、D12-26KT蝴蝶結吊卡</t>
  </si>
  <si>
    <t>表布:嫘縈47%棉47%彈性纖維6%裡布:聚酯纖維100%罩杯裡層材質:聚酯纖維100%
尺寸:XL.2XL.3XL</t>
  </si>
  <si>
    <t>2610821033001005</t>
  </si>
  <si>
    <t>R260225013</t>
  </si>
  <si>
    <t>EM</t>
  </si>
  <si>
    <t>2610821033001007</t>
  </si>
  <si>
    <t>2610821033001006</t>
  </si>
  <si>
    <t>3號袋 襯紙 D12-26KT蝴蝶結吊卡 F36-蝴蝶結織標</t>
  </si>
  <si>
    <t>主紗:聚酯纖維100%
尺寸:F</t>
  </si>
  <si>
    <t>https://airsblobstage.blob.core.windows.net/photo/purchasephoto/MS67808.webp</t>
  </si>
  <si>
    <t>MS</t>
  </si>
  <si>
    <t>2610127004</t>
  </si>
  <si>
    <t>MS67808</t>
  </si>
  <si>
    <t>213-67808</t>
  </si>
  <si>
    <t>67808</t>
  </si>
  <si>
    <t>【Hello Kitty聯名】滿版印花繞頸綁帶背心圓領長袖開襟衫套裝</t>
  </si>
  <si>
    <t>套裝</t>
  </si>
  <si>
    <t>長袖背心套裝</t>
  </si>
  <si>
    <t>表布:棉48% 嫘縈48% 彈性纖維4%
 尺寸:S M L</t>
  </si>
  <si>
    <t>2610127004017001</t>
  </si>
  <si>
    <t>R260225016</t>
  </si>
  <si>
    <t>2610127004017002</t>
  </si>
  <si>
    <t>2610127004017003</t>
  </si>
  <si>
    <t>https://airsblobstage.blob.core.windows.net/photo/purchasephoto/MS67808F.webp</t>
  </si>
  <si>
    <t>2610827003</t>
  </si>
  <si>
    <t>MS67808F</t>
  </si>
  <si>
    <t>213-67808F</t>
  </si>
  <si>
    <t>67808F</t>
  </si>
  <si>
    <t>2號袋、襯紙、洗/領/成分標*2、26KT蝴蝶結吊卡、26KT蝴蝶結織標</t>
  </si>
  <si>
    <t>表布:棉48%嫘縈48%彈性纖維4%
尺寸:XL.2XL.3XL</t>
  </si>
  <si>
    <t>2610827003017005</t>
  </si>
  <si>
    <t>R260225017</t>
  </si>
  <si>
    <t>2610827003017007</t>
  </si>
  <si>
    <t>2610827003017006</t>
  </si>
  <si>
    <t>https://airsblobstage.blob.core.windows.net/photo/purchasephoto/SH9028Q.webp</t>
  </si>
  <si>
    <t>2541823016</t>
  </si>
  <si>
    <t>SH9028Q</t>
  </si>
  <si>
    <t>252-9028Q</t>
  </si>
  <si>
    <t>9028Q</t>
  </si>
  <si>
    <t>後口袋愛心車線合身喇叭牛仔褲</t>
  </si>
  <si>
    <t>W4</t>
  </si>
  <si>
    <t>2026-01-19</t>
  </si>
  <si>
    <t>2026-01-19 09:00:00</t>
  </si>
  <si>
    <t>表布:棉74%聚酯纖維24%彈性纖維2%
尺寸:S.M.L</t>
  </si>
  <si>
    <t>2541823016010001</t>
  </si>
  <si>
    <t>R260225019</t>
  </si>
  <si>
    <t>2541823016010002</t>
  </si>
  <si>
    <t>2541823016010003</t>
  </si>
  <si>
    <t>2541823016996001</t>
  </si>
  <si>
    <t>2541823016996002</t>
  </si>
  <si>
    <t>2541823016996003</t>
  </si>
  <si>
    <t>https://airsblobstage.blob.core.windows.net/photo/purchasephoto/AF12487.webp</t>
  </si>
  <si>
    <t>2540123016</t>
  </si>
  <si>
    <t>AF12487</t>
  </si>
  <si>
    <t>10-12487</t>
  </si>
  <si>
    <t>12487</t>
  </si>
  <si>
    <t>星星鉚釘刺繡小喇叭牛仔褲</t>
  </si>
  <si>
    <t>W5</t>
  </si>
  <si>
    <t>2026-01-26</t>
  </si>
  <si>
    <t>2026-01-26 09:00:00</t>
  </si>
  <si>
    <t>2號袋 襯紙 A01-A釦</t>
  </si>
  <si>
    <t>表布:棉67% 聚酯纖維32% 彈性纖維1%
尺寸:S M L</t>
  </si>
  <si>
    <t>2540123016003001</t>
  </si>
  <si>
    <t>R260304007</t>
  </si>
  <si>
    <t>2540123016003002</t>
  </si>
  <si>
    <t>2540123016003003</t>
  </si>
  <si>
    <t>2026-03-02 09:00:00</t>
  </si>
  <si>
    <t>連身褲</t>
  </si>
  <si>
    <t>背心連身短褲</t>
  </si>
  <si>
    <t>2號袋 襯紙 F30-胸殼</t>
  </si>
  <si>
    <t>2號袋、襯紙、F30胸殼</t>
  </si>
  <si>
    <t>https://airsblobstage.blob.core.windows.net/photo/purchasephoto/AF12575Q.webp</t>
  </si>
  <si>
    <t>2611821009</t>
  </si>
  <si>
    <t>AF12575Q</t>
  </si>
  <si>
    <t>10-12575Q</t>
  </si>
  <si>
    <t>12575Q</t>
  </si>
  <si>
    <t>圓領長袖波紋花朵蕾絲透膚短版上衣</t>
  </si>
  <si>
    <t>兩件價598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</si>
  <si>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2號袋、襯紙、兩件價吊卡</t>
  </si>
  <si>
    <t>表布:聚酯纖維100%
尺寸:S.M.L</t>
  </si>
  <si>
    <t>2611821009001001</t>
  </si>
  <si>
    <t>R260304013</t>
  </si>
  <si>
    <t>2611821009001002</t>
  </si>
  <si>
    <t>2611821009001003</t>
  </si>
  <si>
    <t>2611821009002001</t>
  </si>
  <si>
    <t>2611821009002002</t>
  </si>
  <si>
    <t>2611821009002003</t>
  </si>
  <si>
    <t>2611821009017001</t>
  </si>
  <si>
    <t>2611821009017002</t>
  </si>
  <si>
    <t>2611821009017003</t>
  </si>
  <si>
    <t>https://airsblobstage.blob.core.windows.net/photo/purchasephoto/ML11578.webp</t>
  </si>
  <si>
    <t>ML</t>
  </si>
  <si>
    <t>2610124006</t>
  </si>
  <si>
    <t>ML11578</t>
  </si>
  <si>
    <t>207-11578</t>
  </si>
  <si>
    <t>11578</t>
  </si>
  <si>
    <t>V領細肩帶後開衩格紋合身長洋裝(附胸墊)</t>
  </si>
  <si>
    <t>合身背心長洋</t>
  </si>
  <si>
    <t xml:space="preserve">含可拆胸棉
洗滌注意事項：
※ 首次洗滌時，深色／飽和色系布料較易釋出多餘的固色劑，屬正常現象。
※ 建議深色衣物於首次穿著前先行單獨下水清洗，有助釋出多餘染劑，減少移染或掉色風險。
※ 請與淺色衣物分開洗滌，避免互相染色或產生移染情形。
※ 穿搭時亦建議避免與淺色配件、包款、飾品一同使用，以降低因摩擦或潮濕造成染色的可能性。
</t>
  </si>
  <si>
    <t>表布:聚酯纖維95%彈性纖維5%
裡布:聚酯纖維100%
罩杯內層材質:聚酯纖維100%
尺寸:S、M、L</t>
  </si>
  <si>
    <t>2610124006001001</t>
  </si>
  <si>
    <t>R260304020</t>
  </si>
  <si>
    <t>2610124006001002</t>
  </si>
  <si>
    <t>2610124006001003</t>
  </si>
  <si>
    <t>2610124006017001</t>
  </si>
  <si>
    <t>2610124006017002</t>
  </si>
  <si>
    <t>2610124006017003</t>
  </si>
  <si>
    <t>https://airsblobstage.blob.core.windows.net/photo/purchasephoto/ICH3483Q.webp</t>
  </si>
  <si>
    <t>ICH</t>
  </si>
  <si>
    <t>2611821001</t>
  </si>
  <si>
    <t>ICH3483Q</t>
  </si>
  <si>
    <t>151-3483Q</t>
  </si>
  <si>
    <t>3483Q</t>
  </si>
  <si>
    <t>方領繞頸短版羅紋 BRA背心</t>
  </si>
  <si>
    <t>含1.3公分可拆一體式胸棉、M字軌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</si>
  <si>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表布:聚酯纖維95%彈性纖維5%
裡布:聚酯纖維95%彈性纖維5%
罩杯裡層材質:聚酯纖維100%
尺寸:S.M.L</t>
  </si>
  <si>
    <t>2611821001001001</t>
  </si>
  <si>
    <t>R260304027</t>
  </si>
  <si>
    <t>BM</t>
  </si>
  <si>
    <t>2611821001001002</t>
  </si>
  <si>
    <t>2611821001001003</t>
  </si>
  <si>
    <t>2611821001002001</t>
  </si>
  <si>
    <t>2611821001002002</t>
  </si>
  <si>
    <t>2611821001002003</t>
  </si>
  <si>
    <t>R260304049</t>
  </si>
  <si>
    <t>https://airsblobstage.blob.core.windows.net/photo/purchasephoto/EB19593.webp</t>
  </si>
  <si>
    <t>2610123003</t>
  </si>
  <si>
    <t>EB19593</t>
  </si>
  <si>
    <t>83-19593</t>
  </si>
  <si>
    <t>19593</t>
  </si>
  <si>
    <t>低腰後口袋抽鬚星形貼飾水洗牛仔寬褲</t>
  </si>
  <si>
    <t>低腰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</si>
  <si>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 xml:space="preserve">2號袋 襯紙 A01-A釦 </t>
  </si>
  <si>
    <t>白色表布:棉100% 藍色表布:棉77% 聚酯纖維13% 嫘縈10%
尺寸:S M L</t>
  </si>
  <si>
    <t>2610123003996001</t>
  </si>
  <si>
    <t>R260304052</t>
  </si>
  <si>
    <t>2610123003996002</t>
  </si>
  <si>
    <t>2610123003996003</t>
  </si>
  <si>
    <t>https://airsblobstage.blob.core.windows.net/photo/purchasephoto/EB19617A.webp</t>
  </si>
  <si>
    <t>2610721005</t>
  </si>
  <si>
    <t>EB19617A</t>
  </si>
  <si>
    <t>83-19617A</t>
  </si>
  <si>
    <t>19617A</t>
  </si>
  <si>
    <t>假兩件繞頸排扣背心V領長袖短版羅紋開襟衫</t>
  </si>
  <si>
    <t xml:space="preserve">假兩件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</si>
  <si>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表布:棉46%嫘縈46%彈性纖維8%
尺寸:S、M、L</t>
  </si>
  <si>
    <t>2610721005002001</t>
  </si>
  <si>
    <t>R260304053</t>
  </si>
  <si>
    <t>2610721005002002</t>
  </si>
  <si>
    <t>2610721005002003</t>
  </si>
  <si>
    <t>2610721005010001</t>
  </si>
  <si>
    <t>2610721005010002</t>
  </si>
  <si>
    <t>2610721005010003</t>
  </si>
  <si>
    <t>2610721005017001</t>
  </si>
  <si>
    <t>2610721005017002</t>
  </si>
  <si>
    <t>2610721005017003</t>
  </si>
  <si>
    <t>https://airsblobstage.blob.core.windows.net/photo/purchasephoto/EB19618A.webp</t>
  </si>
  <si>
    <t>2610723004</t>
  </si>
  <si>
    <t>EB19618A</t>
  </si>
  <si>
    <t>83-19618A</t>
  </si>
  <si>
    <t>19618A</t>
  </si>
  <si>
    <t>低腰水洗牛仔寬褲</t>
  </si>
  <si>
    <t xml:space="preserve">低腰款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</si>
  <si>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表布:棉83.5%聚酯纖維16.5%
尺寸:S、M、L</t>
  </si>
  <si>
    <t>2610723004035001</t>
  </si>
  <si>
    <t>R260304054</t>
  </si>
  <si>
    <t>2610723004035002</t>
  </si>
  <si>
    <t>2610723004035003</t>
  </si>
  <si>
    <t>https://airsblobstage.blob.core.windows.net/photo/purchasephoto/EB19640QF.webp</t>
  </si>
  <si>
    <t>2610823001</t>
  </si>
  <si>
    <t>EB19640QF</t>
  </si>
  <si>
    <t>83-19640QF</t>
  </si>
  <si>
    <t>19640QF</t>
  </si>
  <si>
    <t>低腰刷破設計水洗牛仔寬褲</t>
  </si>
  <si>
    <t>A+後腰橡筋、做高腰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</si>
  <si>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表布:棉80%聚酯纖維15%嫘縈5%
尺寸:XL.2XL.3XL</t>
  </si>
  <si>
    <t>2610823001003005</t>
  </si>
  <si>
    <t>R260304055</t>
  </si>
  <si>
    <t>2610823001003007</t>
  </si>
  <si>
    <t>2610823001003006</t>
  </si>
  <si>
    <t>2610823001210005</t>
  </si>
  <si>
    <t>2610823001210007</t>
  </si>
  <si>
    <t>2610823001210006</t>
  </si>
  <si>
    <t>R260304058</t>
  </si>
  <si>
    <t>https://airsblobstage.blob.core.windows.net/photo/purchasephoto/EB19697Q.webp</t>
  </si>
  <si>
    <t>2611823002</t>
  </si>
  <si>
    <t>EB19697Q</t>
  </si>
  <si>
    <t>83-19697Q</t>
  </si>
  <si>
    <t>19697Q</t>
  </si>
  <si>
    <t>前車線立體剪裁高腰休閒寬褲</t>
  </si>
  <si>
    <t>表布:棉100%
尺寸:S.M.L</t>
  </si>
  <si>
    <t>2611823002002001</t>
  </si>
  <si>
    <t>R260304060</t>
  </si>
  <si>
    <t>2611823002002002</t>
  </si>
  <si>
    <t>2611823002002003</t>
  </si>
  <si>
    <t>https://airsblobstage.blob.core.windows.net/photo/purchasephoto/EB19701Q.webp</t>
  </si>
  <si>
    <t>2611822003</t>
  </si>
  <si>
    <t>EB19701Q</t>
  </si>
  <si>
    <t>83-19701Q</t>
  </si>
  <si>
    <t>19701Q</t>
  </si>
  <si>
    <t>高腰工裝風口袋A字斜紋短裙(附皮帶)</t>
  </si>
  <si>
    <t>附皮帶、內裡有褲裡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</si>
  <si>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2號袋、襯紙、15*20.5cm透明袋、A02-B釦</t>
  </si>
  <si>
    <t>表布:棉100%
裡布:聚酯纖維100%
尺寸:S.M.L</t>
  </si>
  <si>
    <t>2611822003210001</t>
  </si>
  <si>
    <t>R260304061</t>
  </si>
  <si>
    <t>2611822003210002</t>
  </si>
  <si>
    <t>2611822003210003</t>
  </si>
  <si>
    <t xml:space="preserve">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</si>
  <si>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https://airsblobstage.blob.core.windows.net/photo/purchasephoto/GT9068Q.webp</t>
  </si>
  <si>
    <t>2611829002</t>
  </si>
  <si>
    <t>GT9068Q</t>
  </si>
  <si>
    <t>131-9068Q</t>
  </si>
  <si>
    <t>9068Q</t>
  </si>
  <si>
    <t>2WAY 大方領長袖綁帶開襟短版羅紋針織衫</t>
  </si>
  <si>
    <t>主紗:嫘縈75%尼龍25%
尺寸:S.M</t>
  </si>
  <si>
    <t>2611829002010001</t>
  </si>
  <si>
    <t>R260304070</t>
  </si>
  <si>
    <t>2611829002010002</t>
  </si>
  <si>
    <t>https://airsblobstage.blob.core.windows.net/photo/purchasephoto/XY62749A.webp</t>
  </si>
  <si>
    <t>2610726001</t>
  </si>
  <si>
    <t>XY62749A</t>
  </si>
  <si>
    <t>297-62749A</t>
  </si>
  <si>
    <t>62749A</t>
  </si>
  <si>
    <t>鉚釘裝飾長袖短版拉鍊連帽外套</t>
  </si>
  <si>
    <t xml:space="preserve">跟XY62753A搭一套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</si>
  <si>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2號代、襯紙</t>
  </si>
  <si>
    <t>表布:聚酯纖維51%尼龍43%彈性纖維6%
尺寸:S、M、L</t>
  </si>
  <si>
    <t>2610726001210001</t>
  </si>
  <si>
    <t>R260304072</t>
  </si>
  <si>
    <t>2610726001210002</t>
  </si>
  <si>
    <t>2610726001210003</t>
  </si>
  <si>
    <t>https://airsblobstage.blob.core.windows.net/photo/purchasephoto/XY62750Q.webp</t>
  </si>
  <si>
    <t>2611821002</t>
  </si>
  <si>
    <t>XY62750Q</t>
  </si>
  <si>
    <t>297-62750Q</t>
  </si>
  <si>
    <t>62750Q</t>
  </si>
  <si>
    <t>造型鉚釘星星圓領短袖短版TEE</t>
  </si>
  <si>
    <t>表布:棉46%嫘縈46%彈性纖維8%
尺寸:S.M.L</t>
  </si>
  <si>
    <t>2611821002002001</t>
  </si>
  <si>
    <t>R260304073</t>
  </si>
  <si>
    <t>2611821002002002</t>
  </si>
  <si>
    <t>2611821002002003</t>
  </si>
  <si>
    <t>https://airsblobstage.blob.core.windows.net/photo/purchasephoto/XY62756A.webp</t>
  </si>
  <si>
    <t>2610722002</t>
  </si>
  <si>
    <t>XY62756A</t>
  </si>
  <si>
    <t>297-62756A</t>
  </si>
  <si>
    <t>62756A</t>
  </si>
  <si>
    <t>低腰壓褶不收邊水洗牛仔短裙</t>
  </si>
  <si>
    <t xml:space="preserve">XY62756A XY62764A兩款同料 有褲里 低腰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</si>
  <si>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2號袋、CA小紙板</t>
  </si>
  <si>
    <t>表布:棉80%聚酯纖維20%
裡布:聚酯纖維100%
尺寸:S、M、L</t>
  </si>
  <si>
    <t>2610722002003001</t>
  </si>
  <si>
    <t>R260304074</t>
  </si>
  <si>
    <t>2610722002003002</t>
  </si>
  <si>
    <t>2610722002003003</t>
  </si>
  <si>
    <t>2610722002210001</t>
  </si>
  <si>
    <t>2610722002210002</t>
  </si>
  <si>
    <t>2610722002210003</t>
  </si>
  <si>
    <t>https://airsblobstage.blob.core.windows.net/photo/purchasephoto/XY62764A.webp</t>
  </si>
  <si>
    <t>2610726002</t>
  </si>
  <si>
    <t>XY62764A</t>
  </si>
  <si>
    <t>297-62764A</t>
  </si>
  <si>
    <t>62764A</t>
  </si>
  <si>
    <t>金屬壓扣水洗牛仔長袖長版襯衫外套</t>
  </si>
  <si>
    <t>長版寬鬆外套</t>
  </si>
  <si>
    <t xml:space="preserve">XY62756A XY62764A兩款同料 有口袋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</si>
  <si>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表布:棉80%聚酯纖維20%
尺寸:F</t>
  </si>
  <si>
    <t>2610726002003004</t>
  </si>
  <si>
    <t>R260304075</t>
  </si>
  <si>
    <t>2610726002210004</t>
  </si>
  <si>
    <t>https://airsblobstage.blob.core.windows.net/photo/purchasephoto/WX1028Q.webp</t>
  </si>
  <si>
    <t>2611829003</t>
  </si>
  <si>
    <t>WX1028Q</t>
  </si>
  <si>
    <t>337-1028Q</t>
  </si>
  <si>
    <t>1028Q</t>
  </si>
  <si>
    <t>假兩件繞頸背心大圓領長袖短版針織衫</t>
  </si>
  <si>
    <t>主紗:聚酯纖維50%尼龍40%羊毛10%
配紗:嫘縈45%尼龍30%聚酯纖維25%
尺寸:S.M</t>
  </si>
  <si>
    <t>2611829003017001</t>
  </si>
  <si>
    <t>R260304083</t>
  </si>
  <si>
    <t>2611829003017002</t>
  </si>
  <si>
    <t>2611829003035001</t>
  </si>
  <si>
    <t>2611829003035002</t>
  </si>
  <si>
    <t>W6</t>
  </si>
  <si>
    <t>2026-02-02</t>
  </si>
  <si>
    <t>2026-02-02 09:00:00</t>
  </si>
  <si>
    <t>20260417</t>
  </si>
  <si>
    <t>2540123016001001</t>
  </si>
  <si>
    <t>R260311001</t>
  </si>
  <si>
    <t>2540123016001002</t>
  </si>
  <si>
    <t>2540123016001003</t>
  </si>
  <si>
    <t>https://airsblobstage.blob.core.windows.net/photo/purchasephoto/ML21231A.webp</t>
  </si>
  <si>
    <t>2610721007</t>
  </si>
  <si>
    <t>ML21231A</t>
  </si>
  <si>
    <t>207-21231A</t>
  </si>
  <si>
    <t>21231A</t>
  </si>
  <si>
    <t>方領寬肩帶側抓皺短版BRA背心</t>
  </si>
  <si>
    <t>短版合身背心</t>
  </si>
  <si>
    <t xml:space="preserve">含可拆胸棉、M字軌條碼標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</si>
  <si>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2號袋、CA小紙板、胸殼</t>
  </si>
  <si>
    <t>表布:棉96.2%彈性纖維3.8%
裡布:聚酯纖維100%
罩杯內層材質:70%聚酯纖維30%尼龍
尺寸:S、M、L</t>
  </si>
  <si>
    <t>2610721007002001</t>
  </si>
  <si>
    <t>R260311010</t>
  </si>
  <si>
    <t>CAM</t>
  </si>
  <si>
    <t>2610721007002002</t>
  </si>
  <si>
    <t>2610721007002003</t>
  </si>
  <si>
    <t>https://airsblobstage.blob.core.windows.net/photo/purchasephoto/ICH3494Q.webp</t>
  </si>
  <si>
    <t>2611823003</t>
  </si>
  <si>
    <t>ICH3494Q</t>
  </si>
  <si>
    <t>151-3494Q</t>
  </si>
  <si>
    <t>3494Q</t>
  </si>
  <si>
    <t>中低腰鬆緊抽繩打褶休閒寬褲</t>
  </si>
  <si>
    <t>W11</t>
  </si>
  <si>
    <t>2026-03-09</t>
  </si>
  <si>
    <t>2026-03-09 09:00:00</t>
  </si>
  <si>
    <t>中低腰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</si>
  <si>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表布:棉70%尼龍30%
尺寸:S.M.L</t>
  </si>
  <si>
    <t>2611823003210001</t>
  </si>
  <si>
    <t>R260311012</t>
  </si>
  <si>
    <t>2611823003210002</t>
  </si>
  <si>
    <t>2611823003210003</t>
  </si>
  <si>
    <t>https://airsblobstage.blob.core.windows.net/photo/purchasephoto/EB18958.webp</t>
  </si>
  <si>
    <t>2610122008</t>
  </si>
  <si>
    <t>EB18958</t>
  </si>
  <si>
    <t>83-18958</t>
  </si>
  <si>
    <t>18958</t>
  </si>
  <si>
    <t>中腰荷葉雪紡蛋糕短裙</t>
  </si>
  <si>
    <t>中腰/褲裡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</si>
  <si>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表布:聚酯纖維100% 裡布:聚酯纖維95% 彈性纖維5%
尺寸:S M L</t>
  </si>
  <si>
    <t>2610122008002001</t>
  </si>
  <si>
    <t>R260311017</t>
  </si>
  <si>
    <t>2610122008002002</t>
  </si>
  <si>
    <t>2610122008002003</t>
  </si>
  <si>
    <t>https://airsblobstage.blob.core.windows.net/photo/purchasephoto/EB19640Q.webp</t>
  </si>
  <si>
    <t>2611823001</t>
  </si>
  <si>
    <t>EB19640Q</t>
  </si>
  <si>
    <t>83-19640Q</t>
  </si>
  <si>
    <t>19640Q</t>
  </si>
  <si>
    <t>表布:棉80%聚酯纖維15%嫘縈5%
尺寸:S.M.L</t>
  </si>
  <si>
    <t>2611823001003001</t>
  </si>
  <si>
    <t>R260311019</t>
  </si>
  <si>
    <t>2611823001003002</t>
  </si>
  <si>
    <t>2611823001003003</t>
  </si>
  <si>
    <t>https://airsblobstage.blob.core.windows.net/photo/purchasephoto/EB19716Q.webp</t>
  </si>
  <si>
    <t>2611826002</t>
  </si>
  <si>
    <t>EB19716Q</t>
  </si>
  <si>
    <t>83-19716Q</t>
  </si>
  <si>
    <t>19716Q</t>
  </si>
  <si>
    <t>字母刺繡空氣棉長袖短版連帽拉鍊外套 點點款/素色款</t>
  </si>
  <si>
    <t>空氣棉零重力系列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</si>
  <si>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表布:聚酯纖維78%嫘縈16%彈性纖維6%
裡布:聚酯纖維100%
尺寸:S.M.L</t>
  </si>
  <si>
    <t>2611826002035001</t>
  </si>
  <si>
    <t>R260311021</t>
  </si>
  <si>
    <t>2611826002035002</t>
  </si>
  <si>
    <t>2611826002035003</t>
  </si>
  <si>
    <t>2611826002996001</t>
  </si>
  <si>
    <t>2611826002996002</t>
  </si>
  <si>
    <t>2611826002996003</t>
  </si>
  <si>
    <t>https://airsblobstage.blob.core.windows.net/photo/purchasephoto/GE90946Q.webp</t>
  </si>
  <si>
    <t>2611827001</t>
  </si>
  <si>
    <t>GE90946Q</t>
  </si>
  <si>
    <t>122-90946Q</t>
  </si>
  <si>
    <t>90946Q</t>
  </si>
  <si>
    <t>圓領細肩帶BRA短洋裝長袖勾扣羅紋開襟罩衫套裝</t>
  </si>
  <si>
    <t>長袖洋裝套裝</t>
  </si>
  <si>
    <t>含1.3公分可拆一體式胸棉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</si>
  <si>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2號袋、襯紙、胸殼(領標*2、洗標*2、成分標*2)</t>
  </si>
  <si>
    <t>表布:聚酯纖維80%棉15%彈性纖維5%
罩杯內層材質:聚酯纖維100%
尺寸:S.M.L</t>
  </si>
  <si>
    <t>2611827001035001</t>
  </si>
  <si>
    <t>2611827001035002</t>
  </si>
  <si>
    <t>2611827001035003</t>
  </si>
  <si>
    <t>https://airsblobstage.blob.core.windows.net/photo/purchasephoto/GE90953Q.webp</t>
  </si>
  <si>
    <t>2611821005</t>
  </si>
  <si>
    <t>GE90953Q</t>
  </si>
  <si>
    <t>122-90953Q</t>
  </si>
  <si>
    <t>90953Q</t>
  </si>
  <si>
    <t>大圓領側抓皺長袖短版微透膚羅紋針織衫</t>
  </si>
  <si>
    <t>表布:聚酯纖維95%彈性纖維5%
尺寸:S.M.L</t>
  </si>
  <si>
    <t>2611821005002001</t>
  </si>
  <si>
    <t>R260311024</t>
  </si>
  <si>
    <t>2611821005002002</t>
  </si>
  <si>
    <t>2611821005002003</t>
  </si>
  <si>
    <t>2611821005996001</t>
  </si>
  <si>
    <t>2611821005996002</t>
  </si>
  <si>
    <t>2611821005996003</t>
  </si>
  <si>
    <t>2611829002002001</t>
  </si>
  <si>
    <t>R260311025</t>
  </si>
  <si>
    <t>2611829002002002</t>
  </si>
  <si>
    <t>https://airsblobstage.blob.core.windows.net/photo/purchasephoto/XY62468QF.webp</t>
  </si>
  <si>
    <t>2610821003</t>
  </si>
  <si>
    <t>XY62468QF</t>
  </si>
  <si>
    <t>297-62468QF</t>
  </si>
  <si>
    <t>62468QF</t>
  </si>
  <si>
    <t>小V切口羅紋寬肩帶短版BRA背心</t>
  </si>
  <si>
    <t>A+訂製胸棉、含可拆式胸棉1CM、OL續賣大馬新增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</si>
  <si>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表布:嫘縈92%彈性纖維8%裡布:聚酯纖維100%罩杯裡層材質:聚酯纖維100%
尺寸:XL.2XL.3XL</t>
  </si>
  <si>
    <t>2610821003002005</t>
  </si>
  <si>
    <t>R260311028</t>
  </si>
  <si>
    <t>2610821003002007</t>
  </si>
  <si>
    <t>2610821003002006</t>
  </si>
  <si>
    <t>https://airsblobstage.blob.core.windows.net/photo/purchasephoto/XY62769Q.webp</t>
  </si>
  <si>
    <t>2611821007</t>
  </si>
  <si>
    <t>XY62769Q</t>
  </si>
  <si>
    <t>297-62769Q</t>
  </si>
  <si>
    <t>62769Q</t>
  </si>
  <si>
    <t>點點羅紋繞頸綁帶BRA背心長袖短版罩衫套裝</t>
  </si>
  <si>
    <t>表布:嫘縈93.2%彈性纖維6.8%
罩杯內層材質:聚酯纖維100%
尺寸:S.M.L</t>
  </si>
  <si>
    <t>2611821007002001</t>
  </si>
  <si>
    <t>R260311031</t>
  </si>
  <si>
    <t>2611821007002002</t>
  </si>
  <si>
    <t>2611821007002003</t>
  </si>
  <si>
    <t>https://airsblobstage.blob.core.windows.net/photo/purchasephoto/MS67807.webp</t>
  </si>
  <si>
    <t>2610121004</t>
  </si>
  <si>
    <t>MS67807</t>
  </si>
  <si>
    <t>213-67807</t>
  </si>
  <si>
    <t>67807</t>
  </si>
  <si>
    <t>立領U型鏤空蕾絲花邊排扣半開襟長袖短版羅紋上衣</t>
  </si>
  <si>
    <t>表布:聚酯纖維66.3% 嫘縈28.5% 彈性纖維5.2%
尺寸:S M L</t>
  </si>
  <si>
    <t>2610121004996001</t>
  </si>
  <si>
    <t>2610121004996002</t>
  </si>
  <si>
    <t>2610121004996003</t>
  </si>
  <si>
    <t>https://airsblobstage.blob.core.windows.net/photo/purchasephoto/SHY25226Q.webp</t>
  </si>
  <si>
    <t>2611821003</t>
  </si>
  <si>
    <t>SHY25226Q</t>
  </si>
  <si>
    <t>406-25226Q</t>
  </si>
  <si>
    <t>25226Q</t>
  </si>
  <si>
    <t>假兩件U領排扣半開襟細肩帶 BRA背心</t>
  </si>
  <si>
    <t>2026-05-11 09:00:00</t>
  </si>
  <si>
    <t>兩件價598、假兩件、扣可開、含不可拆胸墊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</si>
  <si>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2號袋、襯紙、兩件價吊卡、胸殼</t>
  </si>
  <si>
    <t>表布:嫘縈92%彈性纖維8%
裡布:嫘縈92%彈性纖維8%
罩杯內層材質:聚酯纖維100%
尺寸:S.M.L</t>
  </si>
  <si>
    <t>2611821003010001</t>
  </si>
  <si>
    <t>R260311037</t>
  </si>
  <si>
    <t>2611821003010002</t>
  </si>
  <si>
    <t>2611821003010003</t>
  </si>
  <si>
    <t>2611821003035001</t>
  </si>
  <si>
    <t>2611821003035002</t>
  </si>
  <si>
    <t>2611821003035003</t>
  </si>
  <si>
    <t>https://airsblobstage.blob.core.windows.net/photo/purchasephoto/EB19542Q.webp</t>
  </si>
  <si>
    <t>2541823017</t>
  </si>
  <si>
    <t>EB19542Q</t>
  </si>
  <si>
    <t>83-19542Q</t>
  </si>
  <si>
    <t>20260313</t>
  </si>
  <si>
    <t>19542Q</t>
  </si>
  <si>
    <t>低腰雙扣復古刷色喇叭牛仔褲</t>
  </si>
  <si>
    <t>20260327</t>
  </si>
  <si>
    <t>表布:棉99%彈性纖維1%
尺寸:S.M.L</t>
  </si>
  <si>
    <t>2541823017003001</t>
  </si>
  <si>
    <t>R260313028</t>
  </si>
  <si>
    <t>2541823017003002</t>
  </si>
  <si>
    <t>2541823017003003</t>
  </si>
  <si>
    <t>https://airsblobstage.blob.core.windows.net/photo/purchasephoto/XY6802F.webp</t>
  </si>
  <si>
    <t>2610829001</t>
  </si>
  <si>
    <t>XY6802F</t>
  </si>
  <si>
    <t>297-6802F</t>
  </si>
  <si>
    <t>6802F</t>
  </si>
  <si>
    <t>2WAY 圓領花朵鏤空長袖短版針織衫</t>
  </si>
  <si>
    <t>兩穿(正肩/斜肩)、AS W37上架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</si>
  <si>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主紗:聚酯纖維100%
尺寸:XL.2XL</t>
  </si>
  <si>
    <t>2610829001002005</t>
  </si>
  <si>
    <t>R260313032</t>
  </si>
  <si>
    <t>2610829001002006</t>
  </si>
  <si>
    <t>https://airsblobstage.blob.core.windows.net/photo/purchasephoto/AF12518.webp</t>
  </si>
  <si>
    <t>2610123002</t>
  </si>
  <si>
    <t>AF12518</t>
  </si>
  <si>
    <t>10-12518</t>
  </si>
  <si>
    <t>12518</t>
  </si>
  <si>
    <t>雙扣高腰修身前車線褲管開衩小喇叭牛仔褲</t>
  </si>
  <si>
    <t>W12</t>
  </si>
  <si>
    <t>2026-03-16</t>
  </si>
  <si>
    <t>2026-03-16 09:00:00</t>
  </si>
  <si>
    <t>2610123002003001</t>
  </si>
  <si>
    <t>R260317008</t>
  </si>
  <si>
    <t>2610123002003002</t>
  </si>
  <si>
    <t>2610123002003003</t>
  </si>
  <si>
    <t>2610123002010001</t>
  </si>
  <si>
    <t>2610123002010002</t>
  </si>
  <si>
    <t>2610123002010003</t>
  </si>
  <si>
    <t>https://airsblobstage.blob.core.windows.net/photo/purchasephoto/AF12518F.webp</t>
  </si>
  <si>
    <t>2610823003</t>
  </si>
  <si>
    <t>AF12518F</t>
  </si>
  <si>
    <t>10-12518F</t>
  </si>
  <si>
    <t>12518F</t>
  </si>
  <si>
    <t>20260515</t>
  </si>
  <si>
    <t>做高腰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</si>
  <si>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2號袋、襯紙、A01-A釦*2</t>
  </si>
  <si>
    <t>表布:棉67%聚酯纖維32%彈性纖維1%
尺寸:XL.2XL.3XL</t>
  </si>
  <si>
    <t>2610823003003005</t>
  </si>
  <si>
    <t>R260317009</t>
  </si>
  <si>
    <t>2610823003003007</t>
  </si>
  <si>
    <t>2610823003003006</t>
  </si>
  <si>
    <t>2610823003010005</t>
  </si>
  <si>
    <t>2610823003010007</t>
  </si>
  <si>
    <t>2610823003010006</t>
  </si>
  <si>
    <t>https://airsblobstage.blob.core.windows.net/photo/purchasephoto/AF12552A.webp</t>
  </si>
  <si>
    <t>2610723002</t>
  </si>
  <si>
    <t>AF12552A</t>
  </si>
  <si>
    <t>10-12552A</t>
  </si>
  <si>
    <t>12552A</t>
  </si>
  <si>
    <t>【雲挺曼巴棉】腰綁帶鬆緊前褶線休閒寬褲</t>
  </si>
  <si>
    <t xml:space="preserve">跟AF12551A搭一套、腳口可縮口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</si>
  <si>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表布:棉50%聚酯纖維45%彈性纖維5% 
尺寸:S、M、L</t>
  </si>
  <si>
    <t>2610723002035001</t>
  </si>
  <si>
    <t>R260317010</t>
  </si>
  <si>
    <t>2610723002035002</t>
  </si>
  <si>
    <t>2610723002035003</t>
  </si>
  <si>
    <t>https://airsblobstage.blob.core.windows.net/photo/purchasephoto/AF12561QF.webp</t>
  </si>
  <si>
    <t>2610821008</t>
  </si>
  <si>
    <t>AF12561QF</t>
  </si>
  <si>
    <t>10-12561QF</t>
  </si>
  <si>
    <t>12561QF</t>
  </si>
  <si>
    <t>圓領長袖短版木耳邊羅紋上衣</t>
  </si>
  <si>
    <t>2號袋、襯紙、F29-兩件價吊卡</t>
  </si>
  <si>
    <t>表布:聚酯纖維95%麻5%
尺寸:XL.2XL.3XL</t>
  </si>
  <si>
    <t>2610821008002005</t>
  </si>
  <si>
    <t>R260317015</t>
  </si>
  <si>
    <t>2610821008002007</t>
  </si>
  <si>
    <t>2610821008002006</t>
  </si>
  <si>
    <t>https://airsblobstage.blob.core.windows.net/photo/purchasephoto/ML21232.webp</t>
  </si>
  <si>
    <t>2610121006</t>
  </si>
  <si>
    <t>ML21232</t>
  </si>
  <si>
    <t>207-21232</t>
  </si>
  <si>
    <t>21232</t>
  </si>
  <si>
    <t>繞頸細肩帶平口短版BRA背心</t>
  </si>
  <si>
    <t>含可拆1.3CM一體式胸棉 兩件價598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</si>
  <si>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1號袋 襯紙 F30-胸殼 F29-兩件價吊卡</t>
  </si>
  <si>
    <t>表布:嫘縈47% 棉47% 彈性纖維6%
罩杯裡層材質:聚酯纖維100%
尺寸:S M L</t>
  </si>
  <si>
    <t>2610121006001001</t>
  </si>
  <si>
    <t>R260317020</t>
  </si>
  <si>
    <t>2610121006001002</t>
  </si>
  <si>
    <t>2610121006001003</t>
  </si>
  <si>
    <t>2610121006002001</t>
  </si>
  <si>
    <t>2610121006002002</t>
  </si>
  <si>
    <t>2610121006002003</t>
  </si>
  <si>
    <t>https://airsblobstage.blob.core.windows.net/photo/purchasephoto/ICH3506A.webp</t>
  </si>
  <si>
    <t>2610722003</t>
  </si>
  <si>
    <t>ICH3506A</t>
  </si>
  <si>
    <t>151-3506A</t>
  </si>
  <si>
    <t>3506A</t>
  </si>
  <si>
    <t>反摺鬆緊腰側抽繩設計魚尾長裙</t>
  </si>
  <si>
    <t xml:space="preserve">ICH3506A ICH3507A ICH3508A三款同料
腰整圈橡筋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</si>
  <si>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表布:嫘縈95%彈性纖維5%
尺寸:S、M、L</t>
  </si>
  <si>
    <t>2610722003017001</t>
  </si>
  <si>
    <t>R260317026</t>
  </si>
  <si>
    <t>2610722003017002</t>
  </si>
  <si>
    <t>2610722003017003</t>
  </si>
  <si>
    <t>https://airsblobstage.blob.core.windows.net/photo/purchasephoto/ICH3507A.webp</t>
  </si>
  <si>
    <t>2610721010</t>
  </si>
  <si>
    <t>ICH3507A</t>
  </si>
  <si>
    <t>151-3507A</t>
  </si>
  <si>
    <t>3507A</t>
  </si>
  <si>
    <t>高領削肩側抓皺短版BRA背心</t>
  </si>
  <si>
    <t>合身背心</t>
  </si>
  <si>
    <t xml:space="preserve">ICH3506A ICH3507A ICH3508A三款同料
M字軌條碼標 含一片式可拆胸棉1.3CM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</si>
  <si>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2610721010017001</t>
  </si>
  <si>
    <t>R260317027</t>
  </si>
  <si>
    <t>2610721010017002</t>
  </si>
  <si>
    <t>2610721010017003</t>
  </si>
  <si>
    <t>R260317034</t>
  </si>
  <si>
    <t>R260317036</t>
  </si>
  <si>
    <t>025</t>
  </si>
  <si>
    <t>紅</t>
  </si>
  <si>
    <t>R260317040</t>
  </si>
  <si>
    <t>10</t>
  </si>
  <si>
    <t>2611821005015001</t>
  </si>
  <si>
    <t>R260317041</t>
  </si>
  <si>
    <t>2611821005015002</t>
  </si>
  <si>
    <t>2611821005015003</t>
  </si>
  <si>
    <t>https://airsblobstage.blob.core.windows.net/photo/purchasephoto/GE90955Q.webp</t>
  </si>
  <si>
    <t>2611821020</t>
  </si>
  <si>
    <t>GE90955Q</t>
  </si>
  <si>
    <t>122-90955Q</t>
  </si>
  <si>
    <t>90955Q</t>
  </si>
  <si>
    <t>交叉V領繞頸綁帶拼接抓皺波點短版BRA背心</t>
  </si>
  <si>
    <t>表布:嫘縈90%彈性纖維10%
罩杯內層材質:聚酯纖維100%
尺寸:S.M.L</t>
  </si>
  <si>
    <t>2611821020002001</t>
  </si>
  <si>
    <t>R260317042</t>
  </si>
  <si>
    <t>2611821020002002</t>
  </si>
  <si>
    <t>2611821020002003</t>
  </si>
  <si>
    <t>2611821020017001</t>
  </si>
  <si>
    <t>2611821020017002</t>
  </si>
  <si>
    <t>2611821020017003</t>
  </si>
  <si>
    <t>https://airsblobstage.blob.core.windows.net/photo/purchasephoto/XY62766A.webp</t>
  </si>
  <si>
    <t>2610726004</t>
  </si>
  <si>
    <t>XY62766A</t>
  </si>
  <si>
    <t>297-62766A</t>
  </si>
  <si>
    <t>62766A</t>
  </si>
  <si>
    <t>翻領長袖短版水洗斜紋拉鍊外套</t>
  </si>
  <si>
    <t xml:space="preserve">跟XY62767A搭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</si>
  <si>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表布:棉100%
尺寸:S、M、L</t>
  </si>
  <si>
    <t>2610726004015001</t>
  </si>
  <si>
    <t>R260317045</t>
  </si>
  <si>
    <t>2610726004015002</t>
  </si>
  <si>
    <t>2610726004015003</t>
  </si>
  <si>
    <t>https://airsblobstage.blob.core.windows.net/photo/purchasephoto/XY62767A.webp</t>
  </si>
  <si>
    <t>2610722004</t>
  </si>
  <si>
    <t>XY62767A</t>
  </si>
  <si>
    <t>297-62767A</t>
  </si>
  <si>
    <t>62767A</t>
  </si>
  <si>
    <t>中低腰A字水洗斜紋短裙</t>
  </si>
  <si>
    <t xml:space="preserve">跟XY62766A搭、中低腰
後腰橡筋、有褲里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</si>
  <si>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表布:棉100%
裡布:聚酯纖維100%
尺寸:S、M、L</t>
  </si>
  <si>
    <t>2610722004015001</t>
  </si>
  <si>
    <t>R260317046</t>
  </si>
  <si>
    <t>2610722004015002</t>
  </si>
  <si>
    <t>2610722004015003</t>
  </si>
  <si>
    <t>大口袋牛仔A字吊帶長裙</t>
  </si>
  <si>
    <t>2號袋、襯紙、A02-B釦*2</t>
  </si>
  <si>
    <t>https://airsblobstage.blob.core.windows.net/photo/purchasephoto/XY62771QF.webp</t>
  </si>
  <si>
    <t>2610822004</t>
  </si>
  <si>
    <t>XY62771QF</t>
  </si>
  <si>
    <t>297-62771QF</t>
  </si>
  <si>
    <t>62771QF</t>
  </si>
  <si>
    <t>A+後腰橡筋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</si>
  <si>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藍表布:棉65%聚酯纖維35%
白表布:棉100%
尺寸:XL.2XL.3XL</t>
  </si>
  <si>
    <t>2610822004003005</t>
  </si>
  <si>
    <t>R260317048</t>
  </si>
  <si>
    <t>2610822004003007</t>
  </si>
  <si>
    <t>2610822004003006</t>
  </si>
  <si>
    <t>R260317052</t>
  </si>
  <si>
    <t>https://airsblobstage.blob.core.windows.net/photo/purchasephoto/MS67830F.webp</t>
  </si>
  <si>
    <t>2610821010</t>
  </si>
  <si>
    <t>MS67830F</t>
  </si>
  <si>
    <t>213-67830F</t>
  </si>
  <si>
    <t>67830F</t>
  </si>
  <si>
    <t>小花蕾絲綁帶開襟細肩帶傘擺背心</t>
  </si>
  <si>
    <t>A+獨家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</si>
  <si>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表布:尼龍95%彈性纖維5%
尺寸:XL.2XL.3XL</t>
  </si>
  <si>
    <t>2610821010002005</t>
  </si>
  <si>
    <t>R260317054</t>
  </si>
  <si>
    <t>2610821010002007</t>
  </si>
  <si>
    <t>2610821010002006</t>
  </si>
  <si>
    <t>R260317061</t>
  </si>
  <si>
    <t>https://airsblobstage.blob.core.windows.net/photo/purchasephoto/XY818CB.webp</t>
  </si>
  <si>
    <t>2610125007</t>
  </si>
  <si>
    <t>XY818C</t>
  </si>
  <si>
    <t>297-818C</t>
  </si>
  <si>
    <t>818C</t>
  </si>
  <si>
    <t>【三麗鷗聯名】凱蒂貓大臉刺繡蝴蝶結水洗托特包</t>
  </si>
  <si>
    <t>W21</t>
  </si>
  <si>
    <t>2026-05-18</t>
  </si>
  <si>
    <t>2026-05-18 09:00:00</t>
  </si>
  <si>
    <t>20260401</t>
  </si>
  <si>
    <t>包包</t>
  </si>
  <si>
    <t>26SS KITTY聯名 26KT蝴蝶結吊卡 26KT蝴蝶結織標 聯名小物
長34CM 寬18CM 高35CM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</si>
  <si>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 100%聚酯纖維
尺寸:F 長34CM 寬18CM 高35CM</t>
  </si>
  <si>
    <t>2610125007003004</t>
  </si>
  <si>
    <t>R260318006</t>
  </si>
  <si>
    <t>2610125007017004</t>
  </si>
  <si>
    <t>https://airsblobstage.blob.core.windows.net/photo/purchasephoto/SHY1926C.webp</t>
  </si>
  <si>
    <t>2620125009</t>
  </si>
  <si>
    <t>SHY1926C</t>
  </si>
  <si>
    <t>406-1926C</t>
  </si>
  <si>
    <t>20260323</t>
  </si>
  <si>
    <t>1926C</t>
  </si>
  <si>
    <t>【三麗鷗聯名】烤焦版KITTY 心型貼布繡棒球帽</t>
  </si>
  <si>
    <t>20260406</t>
  </si>
  <si>
    <t xml:space="preserve">26KT聯名 26KT蝴蝶結吊卡 26KT蝴蝶結織標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</si>
  <si>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 xml:space="preserve">2號袋、D12-26KT蝴蝶結吊卡、F36-26KT蝴蝶結織標
</t>
  </si>
  <si>
    <t>表布:棉100% 
尺寸:ONE SIZE(56-60cm)</t>
  </si>
  <si>
    <t>2620125009996004</t>
  </si>
  <si>
    <t>R260323005</t>
  </si>
  <si>
    <t>20260324</t>
  </si>
  <si>
    <t>20260407</t>
  </si>
  <si>
    <t>https://airsblobstage.blob.core.windows.net/photo/purchasephoto/SHY1012C.webp</t>
  </si>
  <si>
    <t>2620125003</t>
  </si>
  <si>
    <t>SHY1012C</t>
  </si>
  <si>
    <t>406-1012C</t>
  </si>
  <si>
    <t>1012C</t>
  </si>
  <si>
    <t>【三麗鷗聯名】 烤焦版凱蒂貓絨毛娃娃吊飾</t>
  </si>
  <si>
    <t xml:space="preserve">Hello Kitty 聯名小物
尺寸: 高 11 CM (依照實際尺寸為準)
</t>
  </si>
  <si>
    <t>聯名緞面織標 / 卡紙+紙板+OPP袋 - 帝一</t>
  </si>
  <si>
    <t xml:space="preserve">表布-聚酯纖維 / 填充物-PP棉
尺寸: F </t>
  </si>
  <si>
    <t>2620125003025004</t>
  </si>
  <si>
    <t>R260324013</t>
  </si>
  <si>
    <t>https://airsblobstage.blob.core.windows.net/photo/purchasephoto/SHY1014C.webp</t>
  </si>
  <si>
    <t>2620125005</t>
  </si>
  <si>
    <t>SHY1014C</t>
  </si>
  <si>
    <t>406-1014C</t>
  </si>
  <si>
    <t>1014C</t>
  </si>
  <si>
    <t>023</t>
  </si>
  <si>
    <t>紫</t>
  </si>
  <si>
    <t>【三麗鷗聯名】 烤焦版酷洛米絨毛娃娃吊飾</t>
  </si>
  <si>
    <t>Hello Kitty 聯名小物
尺寸: 高 14.5 CM (依照實際尺寸為準)</t>
  </si>
  <si>
    <t>2620125005023004</t>
  </si>
  <si>
    <t>R260324014</t>
  </si>
  <si>
    <t>https://airsblobstage.blob.core.windows.net/photo/purchasephoto/SHY37453C.webp</t>
  </si>
  <si>
    <t>2620125001</t>
  </si>
  <si>
    <t>SHY37453C</t>
  </si>
  <si>
    <t>406-37453C</t>
  </si>
  <si>
    <t>37453C</t>
  </si>
  <si>
    <t>307</t>
  </si>
  <si>
    <t>咖杏</t>
  </si>
  <si>
    <t>【三麗鷗聯名】絨毛大頭造型零錢包隨身鏡吊飾</t>
  </si>
  <si>
    <t>W19 HelloKitty 聯名小物
零錢包鏡子尺寸 : 高 13.5CM X 寬 15CM - 不含吊飾 (依實際尺寸為主)
【注意事項】
本商品鏡面附有保護膜，使用前請先撕除；撕除時請注意鏡片邊緣，小心刮傷手指。
鏡面若有破損或裂痕，請立即停止使用，以免發生危險。
本商品非供14歲以下兒童或幼兒玩耍使用。</t>
  </si>
  <si>
    <t>F09 A领标 (無尺碼) / F08 A洗标 / F07 A成份标 / F36 "26KT蝴蝶結織標" / 卡紙+PVC片+霧袋+貼雷標 (帝一)</t>
  </si>
  <si>
    <t>材質:表布 - 聚酯纖維 100 / 填充物 - PP棉 100 / 吊飾 - ABS+鋅合金 100
尺寸:F</t>
  </si>
  <si>
    <t>2620125001307004</t>
  </si>
  <si>
    <t>R260324015</t>
  </si>
  <si>
    <t>https://airsblobstage.blob.core.windows.net/photo/purchasephoto/ZX11380Q.webp</t>
  </si>
  <si>
    <t>2611834001</t>
  </si>
  <si>
    <t>ZX11380Q</t>
  </si>
  <si>
    <t>331-11380Q</t>
  </si>
  <si>
    <t>11380Q</t>
  </si>
  <si>
    <t>中低腰不收邊打摺短褲裙</t>
  </si>
  <si>
    <t>A02-B釦、2號袋、襯紙</t>
  </si>
  <si>
    <t>布料</t>
  </si>
  <si>
    <t>https://airsblobstage.blob.core.windows.net/photo/purchasephoto/ZX11381Q.webp</t>
  </si>
  <si>
    <t>2611821011</t>
  </si>
  <si>
    <t>ZX11381Q</t>
  </si>
  <si>
    <t>331-11381Q</t>
  </si>
  <si>
    <t>11381Q</t>
  </si>
  <si>
    <t>單口袋刺繡長袖寬版襯衫</t>
  </si>
  <si>
    <t>表布:嫘縈51%尼龍49%
尺寸:F</t>
  </si>
  <si>
    <t>2611821011002004</t>
  </si>
  <si>
    <t>R260325004</t>
  </si>
  <si>
    <t>2611821011015004</t>
  </si>
  <si>
    <t>https://airsblobstage.blob.core.windows.net/photo/purchasephoto/ZX11382F.webp</t>
  </si>
  <si>
    <t>2610821013</t>
  </si>
  <si>
    <t>ZX11382F</t>
  </si>
  <si>
    <t>331-11382F</t>
  </si>
  <si>
    <t>11382F</t>
  </si>
  <si>
    <t>翻領長袖條紋紋理短版襯衫</t>
  </si>
  <si>
    <t>W13</t>
  </si>
  <si>
    <t>2026-03-23</t>
  </si>
  <si>
    <t>2026-03-23 09:00:00</t>
  </si>
  <si>
    <t>長袖寬鬆襯衫</t>
  </si>
  <si>
    <t>甜甜價690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</si>
  <si>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表布:聚酯纖維60%萊賽爾纖維40%
尺寸:XL.2XL.3XL</t>
  </si>
  <si>
    <t>2610821013996005</t>
  </si>
  <si>
    <t>R260325005</t>
  </si>
  <si>
    <t>2610821013996007</t>
  </si>
  <si>
    <t>2610821013996006</t>
  </si>
  <si>
    <t>https://airsblobstage.blob.core.windows.net/photo/purchasephoto/ZX11407Q.webp</t>
  </si>
  <si>
    <t>2611823004</t>
  </si>
  <si>
    <t>ZX11407Q</t>
  </si>
  <si>
    <t>331-11407Q</t>
  </si>
  <si>
    <t>11407Q</t>
  </si>
  <si>
    <t>雙扣高腰打褶純棉休閒寬褲</t>
  </si>
  <si>
    <t>2號袋、襯紙、A02-B扣*2</t>
  </si>
  <si>
    <t>2611823004002001</t>
  </si>
  <si>
    <t>R260325006</t>
  </si>
  <si>
    <t>2611823004002002</t>
  </si>
  <si>
    <t>2611823004002003</t>
  </si>
  <si>
    <t>https://airsblobstage.blob.core.windows.net/photo/purchasephoto/ML11562.webp</t>
  </si>
  <si>
    <t>2610121017</t>
  </si>
  <si>
    <t>ML11562</t>
  </si>
  <si>
    <t>207-11562</t>
  </si>
  <si>
    <t>11562</t>
  </si>
  <si>
    <t>假兩件小香風桃心領金扣細肩帶背心透膚雪紡長袖襯衫</t>
  </si>
  <si>
    <t>長袖上衣</t>
  </si>
  <si>
    <t xml:space="preserve">假兩件
洗滌注意事項：
※ 首次洗滌時，深色／飽和色系布料較易釋出多餘的固色劑，屬正常現象。
※ 建議深色衣物於首次穿著前先行單獨下水清洗，有助釋出多餘染劑，減少移染或掉色風險。
※ 請與淺色衣物分開洗滌，避免互相染色或產生移染情形。
※ 穿搭時亦建議避免與淺色配件、包款、飾品一同使用，以降低因摩擦或潮濕造成染色的可能性。
</t>
  </si>
  <si>
    <t>表布:聚酯纖維100%
配布:聚酯纖維100%
尺寸:S、M、L</t>
  </si>
  <si>
    <t>2610121017996001</t>
  </si>
  <si>
    <t>R260325007</t>
  </si>
  <si>
    <t>2610121017996002</t>
  </si>
  <si>
    <t>2610121017996003</t>
  </si>
  <si>
    <t>https://airsblobstage.blob.core.windows.net/photo/purchasephoto/ML11562F.webp</t>
  </si>
  <si>
    <t>2610821012</t>
  </si>
  <si>
    <t>ML11562F</t>
  </si>
  <si>
    <t>207-11562F</t>
  </si>
  <si>
    <t>11562F</t>
  </si>
  <si>
    <t>表布:聚酯纖維100%配布:聚酯纖維100%
尺寸:XL 2XL 3XL</t>
  </si>
  <si>
    <t>2610821012996005</t>
  </si>
  <si>
    <t>R260325008</t>
  </si>
  <si>
    <t>2610821012996007</t>
  </si>
  <si>
    <t>2610821012996006</t>
  </si>
  <si>
    <t>https://airsblobstage.blob.core.windows.net/photo/purchasephoto/ML11563.webp</t>
  </si>
  <si>
    <t>2610122003</t>
  </si>
  <si>
    <t>ML11563</t>
  </si>
  <si>
    <t>207-11563</t>
  </si>
  <si>
    <t>11563</t>
  </si>
  <si>
    <t>小香風織紋百褶短裙</t>
  </si>
  <si>
    <t xml:space="preserve">褲裡
洗滌注意事項：
※ 首次洗滌時，深色／飽和色系布料較易釋出多餘的固色劑，屬正常現象。
※ 建議深色衣物於首次穿著前先行單獨下水清洗，有助釋出多餘染劑，減少移染或掉色風險。
※ 請與淺色衣物分開洗滌，避免互相染色或產生移染情形。
※ 穿搭時亦建議避免與淺色配件、包款、飾品一同使用，以降低因摩擦或潮濕造成染色的可能性。
</t>
  </si>
  <si>
    <t xml:space="preserve">表布:聚酯纖維100%
裡層:聚酯纖維100% 
尺寸:S、M、L
</t>
  </si>
  <si>
    <t>2610122003996001</t>
  </si>
  <si>
    <t>R260325009</t>
  </si>
  <si>
    <t>2610122003996002</t>
  </si>
  <si>
    <t>2610122003996003</t>
  </si>
  <si>
    <t>https://airsblobstage.blob.core.windows.net/photo/purchasephoto/ML11563F.webp</t>
  </si>
  <si>
    <t>2610822005</t>
  </si>
  <si>
    <t>ML11563F</t>
  </si>
  <si>
    <t>207-11563F</t>
  </si>
  <si>
    <t>11563F</t>
  </si>
  <si>
    <t>內裡有褲裡、後腰橡筋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</si>
  <si>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表布:聚酯纖維100%裡層:聚酯纖維100%
尺寸:XL.2XL.3XL</t>
  </si>
  <si>
    <t>2610822005996005</t>
  </si>
  <si>
    <t>R260325010</t>
  </si>
  <si>
    <t>2610822005996007</t>
  </si>
  <si>
    <t>2610822005996006</t>
  </si>
  <si>
    <t>https://airsblobstage.blob.core.windows.net/photo/purchasephoto/ML11590A.webp</t>
  </si>
  <si>
    <t>2610726005</t>
  </si>
  <si>
    <t>ML11590A</t>
  </si>
  <si>
    <t>207-11590A</t>
  </si>
  <si>
    <t>11590A</t>
  </si>
  <si>
    <t>雙扣長版西裝外套(附墊肩)</t>
  </si>
  <si>
    <t xml:space="preserve">ML11590A ML11591A XY62768A三款同料 
有墊肩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</si>
  <si>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表布:聚酯纖維95%彈性纖維5%
配布:聚酯纖維100%
尺寸:S、M、L</t>
  </si>
  <si>
    <t>2610726005210001</t>
  </si>
  <si>
    <t>R260325011</t>
  </si>
  <si>
    <t>2610726005210002</t>
  </si>
  <si>
    <t>2610726005210003</t>
  </si>
  <si>
    <t>背心短洋</t>
  </si>
  <si>
    <t>R260325013</t>
  </si>
  <si>
    <t>https://airsblobstage.blob.core.windows.net/photo/purchasephoto/ICH3518Q.webp</t>
  </si>
  <si>
    <t>2611821037</t>
  </si>
  <si>
    <t>ICH3518Q</t>
  </si>
  <si>
    <t>151-3518Q</t>
  </si>
  <si>
    <t>3518Q</t>
  </si>
  <si>
    <t>圓領排扣多層次花邊透膚蕾絲長袖短版上衣</t>
  </si>
  <si>
    <t>表布:棉50%尼龍45%彈性纖維5%
裡布:聚酯纖維95%彈性纖維5%
尺寸:S.M.L</t>
  </si>
  <si>
    <t>2611821037002001</t>
  </si>
  <si>
    <t>R260325015</t>
  </si>
  <si>
    <t>2611821037002002</t>
  </si>
  <si>
    <t>2611821037002003</t>
  </si>
  <si>
    <t>https://airsblobstage.blob.core.windows.net/photo/purchasephoto/ICH3519Q.webp</t>
  </si>
  <si>
    <t>2611822012</t>
  </si>
  <si>
    <t>ICH3519Q</t>
  </si>
  <si>
    <t>151-3519Q</t>
  </si>
  <si>
    <t>3519Q</t>
  </si>
  <si>
    <t>後開衩多層次花邊透膚蕾絲鬆緊直筒長裙</t>
  </si>
  <si>
    <t>2611822012002001</t>
  </si>
  <si>
    <t>R260325016</t>
  </si>
  <si>
    <t>2611822012002002</t>
  </si>
  <si>
    <t>2611822012002003</t>
  </si>
  <si>
    <t>https://airsblobstage.blob.core.windows.net/photo/purchasephoto/EB18238F.webp</t>
  </si>
  <si>
    <t>2610827001</t>
  </si>
  <si>
    <t>EB18238F</t>
  </si>
  <si>
    <t>83-18238F</t>
  </si>
  <si>
    <t>18238F</t>
  </si>
  <si>
    <t>木耳邊長袖罩衫透紗細肩帶背心套裝(附胸墊)</t>
  </si>
  <si>
    <t>A+訂製胸棉、含可拆胸棉1CM、AS續賣大馬新增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</si>
  <si>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2號袋、襯紙、F30胸殼、洗標/領標/成分標*2</t>
  </si>
  <si>
    <t>表布:聚酯纖維96%彈性纖維4%配布:尼龍90%彈性纖維10%罩杯裡層材質:聚酯纖維100%
尺寸:XL.2XL.3XL</t>
  </si>
  <si>
    <t>2610827001001005</t>
  </si>
  <si>
    <t>R260325018</t>
  </si>
  <si>
    <t>2610827001001007</t>
  </si>
  <si>
    <t>2610827001001006</t>
  </si>
  <si>
    <t>2610827001002005</t>
  </si>
  <si>
    <t>2610827001002007</t>
  </si>
  <si>
    <t>2610827001002006</t>
  </si>
  <si>
    <t>2610827001006005</t>
  </si>
  <si>
    <t>2610827001006007</t>
  </si>
  <si>
    <t>2610827001006006</t>
  </si>
  <si>
    <t>合身背心短洋</t>
  </si>
  <si>
    <t>https://airsblobstage.blob.core.windows.net/photo/purchasephoto/EB19714A.webp</t>
  </si>
  <si>
    <t>2610721017</t>
  </si>
  <si>
    <t>EB19714A</t>
  </si>
  <si>
    <t>83-19714A</t>
  </si>
  <si>
    <t>19714A</t>
  </si>
  <si>
    <t>立領側抽繩抓皺短袖短版上衣</t>
  </si>
  <si>
    <t>短袖短版合身上衣</t>
  </si>
  <si>
    <t xml:space="preserve">表布:嫘縈95%彈性纖維5% 
尺寸:S、M、L
</t>
  </si>
  <si>
    <t>2610721017002001</t>
  </si>
  <si>
    <t>R260325024</t>
  </si>
  <si>
    <t>2610721017002002</t>
  </si>
  <si>
    <t>2610721017002003</t>
  </si>
  <si>
    <t>2610721017210001</t>
  </si>
  <si>
    <t>2610721017210002</t>
  </si>
  <si>
    <t>2610721017210003</t>
  </si>
  <si>
    <t>https://airsblobstage.blob.core.windows.net/photo/purchasephoto/EB19732A.webp</t>
  </si>
  <si>
    <t>2610721019</t>
  </si>
  <si>
    <t>EB19732A</t>
  </si>
  <si>
    <t>83-19732A</t>
  </si>
  <si>
    <t>19732A</t>
  </si>
  <si>
    <t>【雲挺曼巴棉】平口繞頸肩帶側抓皺短版BRA背心</t>
  </si>
  <si>
    <t xml:space="preserve">EB19706A EB19732A兩款同料
空氣層，含可拆胸棉1.3CM，M字軌條碼標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</si>
  <si>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表布:棉48%聚酯纖維46.5%彈性纖維5.5% 
罩杯內層材質:聚酯纖維100% 
尺寸:S、M、L</t>
  </si>
  <si>
    <t>2610721019210001</t>
  </si>
  <si>
    <t>R260325027</t>
  </si>
  <si>
    <t>2610721019210002</t>
  </si>
  <si>
    <t>2610721019210003</t>
  </si>
  <si>
    <t>https://airsblobstage.blob.core.windows.net/photo/purchasephoto/EB19744A.webp</t>
  </si>
  <si>
    <t>2610723008</t>
  </si>
  <si>
    <t>EB19744A</t>
  </si>
  <si>
    <t>83-19744A</t>
  </si>
  <si>
    <t>19744A</t>
  </si>
  <si>
    <t>中腰抽繩設計水洗牛仔寬褲</t>
  </si>
  <si>
    <t xml:space="preserve">中腰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</si>
  <si>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藍色表布:棉85%聚酯纖維10%嫘縈5%
卡其表布:棉100%
尺寸:S、M、L</t>
  </si>
  <si>
    <t>2610723008003001</t>
  </si>
  <si>
    <t>R260325028</t>
  </si>
  <si>
    <t>2610723008003002</t>
  </si>
  <si>
    <t>2610723008003003</t>
  </si>
  <si>
    <t>008</t>
  </si>
  <si>
    <t>卡其</t>
  </si>
  <si>
    <t>2610723008008001</t>
  </si>
  <si>
    <t>2610723008008002</t>
  </si>
  <si>
    <t>2610723008008003</t>
  </si>
  <si>
    <t>R260325032</t>
  </si>
  <si>
    <t>2610821003210005</t>
  </si>
  <si>
    <t>R260325036</t>
  </si>
  <si>
    <t>2610821003210007</t>
  </si>
  <si>
    <t>2610821003210006</t>
  </si>
  <si>
    <t>https://airsblobstage.blob.core.windows.net/photo/purchasephoto/XY62768A.webp</t>
  </si>
  <si>
    <t>2610723006</t>
  </si>
  <si>
    <t>XY62768A</t>
  </si>
  <si>
    <t>297-62768A</t>
  </si>
  <si>
    <t>62768A</t>
  </si>
  <si>
    <t>高腰雙扣打褶花苞西裝短褲</t>
  </si>
  <si>
    <t xml:space="preserve">後腰像筋、有口袋、高腰
ML11590A ML11591A XY62768A三款同料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</si>
  <si>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表布:聚酯纖維95%彈性纖維5%
裡布:聚酯纖維100%
尺寸:S、M、L</t>
  </si>
  <si>
    <t>2610723006210001</t>
  </si>
  <si>
    <t>R260325038</t>
  </si>
  <si>
    <t>2610723006210002</t>
  </si>
  <si>
    <t>2610723006210003</t>
  </si>
  <si>
    <t>https://airsblobstage.blob.core.windows.net/photo/purchasephoto/XY62783.webp</t>
  </si>
  <si>
    <t>2610129016</t>
  </si>
  <si>
    <t>XY62783</t>
  </si>
  <si>
    <t>297-62783</t>
  </si>
  <si>
    <t>62783</t>
  </si>
  <si>
    <t>2WAY 方領荷葉邊排扣抓皺綁帶澎袖羅紋收腰短版雪紡上衣(附胸墊)</t>
  </si>
  <si>
    <t>含可拆一體式胸棉1.3CM 穿一字領 綁帶兩穿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</si>
  <si>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主紗:亞克力纖維100% 配紗:聚酯纖維100% 裡布:聚酯纖維100% 罩杯裡層材質:聚酯纖維100%
尺寸:S M</t>
  </si>
  <si>
    <t>2610129016002001</t>
  </si>
  <si>
    <t>R260325041</t>
  </si>
  <si>
    <t>2610129016002002</t>
  </si>
  <si>
    <t>R260325042</t>
  </si>
  <si>
    <t>2026-04-16 09:00:00</t>
  </si>
  <si>
    <t>袋鼠聯名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</si>
  <si>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2026-04-13 09:00:00</t>
  </si>
  <si>
    <t>https://airsblobstage.blob.core.windows.net/photo/purchasephoto/CZS103QC.webp</t>
  </si>
  <si>
    <t>CZS</t>
  </si>
  <si>
    <t>2611825007</t>
  </si>
  <si>
    <t>CZS103QC</t>
  </si>
  <si>
    <t>0-103QC</t>
  </si>
  <si>
    <t>103QC</t>
  </si>
  <si>
    <t>【DINOTAENG】刺繡圖案中筒襪</t>
  </si>
  <si>
    <t>襪子</t>
  </si>
  <si>
    <t>20260430</t>
  </si>
  <si>
    <t>袋熊聯名小物
包裝: 腰封(需貼雷標)+條碼貼紙(帝一提供)   +OPP袋(廠商)</t>
  </si>
  <si>
    <t>台幣47+0.54輔料</t>
  </si>
  <si>
    <t>材質: 棉70% +彈性纖維12%+橡膠18%
尺寸: F</t>
  </si>
  <si>
    <t>2611825007002004</t>
  </si>
  <si>
    <t>2611825007035004</t>
  </si>
  <si>
    <t>2號袋、襯紙、F35-DINOTAENG織標、D13-202512DINOTAENG吊牌</t>
  </si>
  <si>
    <t>表布:棉95%彈性纖維5%
尺寸:F</t>
  </si>
  <si>
    <t>https://airsblobstage.blob.core.windows.net/photo/purchasephoto/EB19576QC.webp</t>
  </si>
  <si>
    <t>2611825004</t>
  </si>
  <si>
    <t>EB19576QC</t>
  </si>
  <si>
    <t>83-19576QC</t>
  </si>
  <si>
    <t>19576QC</t>
  </si>
  <si>
    <t>【DINOTAENG】刺繡圖案條紋鋪棉手提包</t>
  </si>
  <si>
    <t>2號袋、F35-DINOTAENG織標、D13-202512DINOTAENG吊牌、條碼吊卡上備註21*15*17cm</t>
  </si>
  <si>
    <t>主布:聚酯纖維100%
配布:尼龍100%
裡布:聚酯纖維95%彈性纖維5%
填充物:聚酯纖維100%
尺寸:F</t>
  </si>
  <si>
    <t>2611825004025004</t>
  </si>
  <si>
    <t>https://airsblobstage.blob.core.windows.net/photo/purchasephoto/XY62733Q.webp</t>
  </si>
  <si>
    <t>2611821036</t>
  </si>
  <si>
    <t>XY62733Q</t>
  </si>
  <si>
    <t>297-62733Q</t>
  </si>
  <si>
    <t>62733Q</t>
  </si>
  <si>
    <t>【DINOTAENG】透紗貼布繡印花圓領短袖寬版TEE</t>
  </si>
  <si>
    <t>短袖長版寬鬆上衣</t>
  </si>
  <si>
    <t>2611821036996004</t>
  </si>
  <si>
    <t>R260325062</t>
  </si>
  <si>
    <t>https://airsblobstage.blob.core.windows.net/photo/purchasephoto/XY62733QF.webp</t>
  </si>
  <si>
    <t>2610821025</t>
  </si>
  <si>
    <t>XY62733QF</t>
  </si>
  <si>
    <t>297-62733QF</t>
  </si>
  <si>
    <t>62733QF</t>
  </si>
  <si>
    <t>2號袋、襯紙、D13-202612DINOTAENG吊牌、F35-DINOTAENG織標</t>
  </si>
  <si>
    <t>2610821025996009</t>
  </si>
  <si>
    <t>合身針織背心</t>
  </si>
  <si>
    <t>20260409</t>
  </si>
  <si>
    <t>R260327006</t>
  </si>
  <si>
    <t>R260330003</t>
  </si>
  <si>
    <t>短版合身針織背心</t>
  </si>
  <si>
    <t>012</t>
  </si>
  <si>
    <t>黃</t>
  </si>
  <si>
    <t>2611834001002001</t>
  </si>
  <si>
    <t>R260401008</t>
  </si>
  <si>
    <t>2611834001002002</t>
  </si>
  <si>
    <t>2611834001002003</t>
  </si>
  <si>
    <t>R260401009</t>
  </si>
  <si>
    <t>https://airsblobstage.blob.core.windows.net/photo/purchasephoto/ZX11404A.webp</t>
  </si>
  <si>
    <t>2610721016</t>
  </si>
  <si>
    <t>ZX11404A</t>
  </si>
  <si>
    <t>331-11404A</t>
  </si>
  <si>
    <t>11404A</t>
  </si>
  <si>
    <t>LOGO刺繡圓領公主線剪裁抓皺短袖短版TEE</t>
  </si>
  <si>
    <t>W14</t>
  </si>
  <si>
    <t>2026-03-30</t>
  </si>
  <si>
    <t>2026-03-30 09:00:00</t>
  </si>
  <si>
    <t xml:space="preserve">兩件價598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</si>
  <si>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2號袋、襯紙、F29兩件價吊卡</t>
  </si>
  <si>
    <t>2610721016002001</t>
  </si>
  <si>
    <t>R260401010</t>
  </si>
  <si>
    <t>2610721016002002</t>
  </si>
  <si>
    <t>2610721016002003</t>
  </si>
  <si>
    <t>2610721016008001</t>
  </si>
  <si>
    <t>2610721016008002</t>
  </si>
  <si>
    <t>2610721016008003</t>
  </si>
  <si>
    <t>2610721016035001</t>
  </si>
  <si>
    <t>2610721016035002</t>
  </si>
  <si>
    <t>2610721016035003</t>
  </si>
  <si>
    <t>R260401011</t>
  </si>
  <si>
    <t>2611823004008001</t>
  </si>
  <si>
    <t>2611823004008002</t>
  </si>
  <si>
    <t>2611823004008003</t>
  </si>
  <si>
    <t>https://airsblobstage.blob.core.windows.net/photo/purchasephoto/ML11548.webp</t>
  </si>
  <si>
    <t>2610133002</t>
  </si>
  <si>
    <t>ML11548</t>
  </si>
  <si>
    <t>207-11548</t>
  </si>
  <si>
    <t>11548</t>
  </si>
  <si>
    <t>一字領長袖寬版竹節紋外罩上衣</t>
  </si>
  <si>
    <t>泳裝外搭</t>
  </si>
  <si>
    <t>長袖寬鬆上衣</t>
  </si>
  <si>
    <t xml:space="preserve">比基尼搭配,一字/斜肩
洗滌注意事項：
※ 首次洗滌時，深色／飽和色系布料較易釋出多餘的固色劑，屬正常現象。
※ 建議深色衣物於首次穿著前先行單獨下水清洗，有助釋出多餘染劑，減少移染或掉色風險。
※ 請與淺色衣物分開洗滌，避免互相染色或產生移染情形。
※ 穿搭時亦建議避免與淺色配件、包款、飾品一同使用，以降低因摩擦或潮濕造成染色的可能性。
</t>
  </si>
  <si>
    <t>表布:聚酯纖維100%
尺寸:F</t>
  </si>
  <si>
    <t>2610133002002004</t>
  </si>
  <si>
    <t>R260401012</t>
  </si>
  <si>
    <t>https://airsblobstage.blob.core.windows.net/photo/purchasephoto/ICH3492A.webp</t>
  </si>
  <si>
    <t>2610723007</t>
  </si>
  <si>
    <t>ICH3492A</t>
  </si>
  <si>
    <t>151-3492A</t>
  </si>
  <si>
    <t>3492A</t>
  </si>
  <si>
    <t>中低鬆緊腰打褶設計莫代爾休閒寬褲</t>
  </si>
  <si>
    <t xml:space="preserve">穿中低露肚臍、跟ICH3490A、ICH3493A搭
跟ICH3490A、ICH3493A同料(莫代爾)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</si>
  <si>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表布:嫘縈92%彈性纖維8% 
尺寸:S、M、L</t>
  </si>
  <si>
    <t>2610723007017001</t>
  </si>
  <si>
    <t>R260401022</t>
  </si>
  <si>
    <t>2610723007017002</t>
  </si>
  <si>
    <t>2610723007017003</t>
  </si>
  <si>
    <t>2610723007035001</t>
  </si>
  <si>
    <t>2610723007035002</t>
  </si>
  <si>
    <t>2610723007035003</t>
  </si>
  <si>
    <t>https://airsblobstage.blob.core.windows.net/photo/purchasephoto/ICH3493A.webp</t>
  </si>
  <si>
    <t>2610726003</t>
  </si>
  <si>
    <t>ICH3493A</t>
  </si>
  <si>
    <t>151-3493A</t>
  </si>
  <si>
    <t>3493A</t>
  </si>
  <si>
    <t>拼接收腰設計長袖短版莫代爾連帽拉鍊外套</t>
  </si>
  <si>
    <t>短版合身外套</t>
  </si>
  <si>
    <t xml:space="preserve">跟ICH3490A、ICH3492A搭 
跟ICH3490A、ICH3492A同料(莫代爾)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</si>
  <si>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2610726003017001</t>
  </si>
  <si>
    <t>R260401023</t>
  </si>
  <si>
    <t>2610726003017002</t>
  </si>
  <si>
    <t>2610726003017003</t>
  </si>
  <si>
    <t>2610726003035001</t>
  </si>
  <si>
    <t>2610726003035002</t>
  </si>
  <si>
    <t>2610726003035003</t>
  </si>
  <si>
    <t>https://airsblobstage.blob.core.windows.net/photo/purchasephoto/EB19554Q.webp</t>
  </si>
  <si>
    <t>2611821033</t>
  </si>
  <si>
    <t>EB19554Q</t>
  </si>
  <si>
    <t>83-19554Q</t>
  </si>
  <si>
    <t>19554Q</t>
  </si>
  <si>
    <t>【DINOTAENG】毛巾繡圖案圓領短袖短版TEE</t>
  </si>
  <si>
    <t>表布:棉96.4%彈性纖維3.6%
尺寸:S.M.L</t>
  </si>
  <si>
    <t>2611821033002001</t>
  </si>
  <si>
    <t>R260401026</t>
  </si>
  <si>
    <t>2611821033002002</t>
  </si>
  <si>
    <t>2611821033002003</t>
  </si>
  <si>
    <t>2611821033017001</t>
  </si>
  <si>
    <t>2611821033017002</t>
  </si>
  <si>
    <t>2611821033017003</t>
  </si>
  <si>
    <t>https://airsblobstage.blob.core.windows.net/photo/purchasephoto/EB19554QF.webp</t>
  </si>
  <si>
    <t>2610821020</t>
  </si>
  <si>
    <t>EB19554QF</t>
  </si>
  <si>
    <t>83-19554QF</t>
  </si>
  <si>
    <t>19554QF</t>
  </si>
  <si>
    <t>短袖上衣</t>
  </si>
  <si>
    <t>表布:棉96.4%彈性纖維3.6%
尺寸:XL.2XL.3XL</t>
  </si>
  <si>
    <t>2610821020002005</t>
  </si>
  <si>
    <t>R260401027</t>
  </si>
  <si>
    <t>2610821020002007</t>
  </si>
  <si>
    <t>2610821020002006</t>
  </si>
  <si>
    <t>R260401028</t>
  </si>
  <si>
    <t>https://airsblobstage.blob.core.windows.net/photo/purchasephoto/EB19733.webp</t>
  </si>
  <si>
    <t>2610129005</t>
  </si>
  <si>
    <t>EB19733</t>
  </si>
  <si>
    <t>83-19733</t>
  </si>
  <si>
    <t>19733</t>
  </si>
  <si>
    <t>【HEYMAN聯名】交叉麻花設計削肩短版羅紋針織背心(附胸墊)</t>
  </si>
  <si>
    <t>含可拆1.3CM一體式胸棉 HEYMAN選品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</si>
  <si>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表布:嫘縈50% 聚酯纖維30% 尼龍20%
裡布:聚酯纖維100%
罩杯裡層材質:聚酯纖維100%
尺寸:S M</t>
  </si>
  <si>
    <t>2610129005002001</t>
  </si>
  <si>
    <t>R260401031</t>
  </si>
  <si>
    <t>2610129005002002</t>
  </si>
  <si>
    <t>https://airsblobstage.blob.core.windows.net/photo/purchasephoto/EB19759.webp</t>
  </si>
  <si>
    <t>2610123001</t>
  </si>
  <si>
    <t>EB19759</t>
  </si>
  <si>
    <t>83-19759</t>
  </si>
  <si>
    <t>19759</t>
  </si>
  <si>
    <t>【HEYMAN聯名】高腰雙扣不收邊水洗牛仔寬褲</t>
  </si>
  <si>
    <t xml:space="preserve"> HEYMAN選品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</si>
  <si>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 襯紙 A01-A釦 SBS金屬拉鍊5.5吋</t>
  </si>
  <si>
    <t>表布:棉80% 聚酯纖維12% 嫘縈8%
尺寸:S M L</t>
  </si>
  <si>
    <t>2610123001996001</t>
  </si>
  <si>
    <t>2610123001996002</t>
  </si>
  <si>
    <t>2610123001996003</t>
  </si>
  <si>
    <t>https://airsblobstage.blob.core.windows.net/photo/purchasephoto/EB19759F.webp</t>
  </si>
  <si>
    <t>2610823002</t>
  </si>
  <si>
    <t>EB19759F</t>
  </si>
  <si>
    <t>83-19759F</t>
  </si>
  <si>
    <t>19759F</t>
  </si>
  <si>
    <t>A+後腰橡筋、高腰、【HEYMAN選品】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</si>
  <si>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表布:棉80%聚酯纖維12%嫘縈8%
尺寸:XL.2XL.3XL</t>
  </si>
  <si>
    <t>2610823002003005</t>
  </si>
  <si>
    <t>R260401035</t>
  </si>
  <si>
    <t>2610823002003007</t>
  </si>
  <si>
    <t>2610823002003006</t>
  </si>
  <si>
    <t>https://airsblobstage.blob.core.windows.net/photo/purchasephoto/EB19922.webp</t>
  </si>
  <si>
    <t>2610133006</t>
  </si>
  <si>
    <t>EB19922</t>
  </si>
  <si>
    <t>83-19922</t>
  </si>
  <si>
    <t>19922</t>
  </si>
  <si>
    <t>V領蕾絲花邊排扣開襟美背綁帶外罩荷葉裙擺短洋裝</t>
  </si>
  <si>
    <t>短袖寬鬆短洋</t>
  </si>
  <si>
    <t>比基尼搭配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</si>
  <si>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表布:萊賽爾纖維78%尼龍22%
尺寸:S M L</t>
  </si>
  <si>
    <t>2610133006002001</t>
  </si>
  <si>
    <t>R260401036</t>
  </si>
  <si>
    <t>2610133006002002</t>
  </si>
  <si>
    <t>2610133006002003</t>
  </si>
  <si>
    <t>https://airsblobstage.blob.core.windows.net/photo/purchasephoto/GE00713A.webp</t>
  </si>
  <si>
    <t>2610729003</t>
  </si>
  <si>
    <t>GE00713A</t>
  </si>
  <si>
    <t>122-00713A</t>
  </si>
  <si>
    <t>00713A</t>
  </si>
  <si>
    <t>方領排扣半開襟短版麻花針織背心</t>
  </si>
  <si>
    <t>主紗:嫘縈50%聚酯纖維30%尼龍20%
尺寸:S、M</t>
  </si>
  <si>
    <t>2610729003002001</t>
  </si>
  <si>
    <t>R260401037</t>
  </si>
  <si>
    <t>2610729003002002</t>
  </si>
  <si>
    <t>https://airsblobstage.blob.core.windows.net/photo/purchasephoto/GE90959.webp</t>
  </si>
  <si>
    <t>2610121016</t>
  </si>
  <si>
    <t>GE90959</t>
  </si>
  <si>
    <t>122-90959</t>
  </si>
  <si>
    <t>90959</t>
  </si>
  <si>
    <t>【HEYMAN聯名】一字領抓褶小花蕾絲短袖上衣細肩帶BRA背心套裝 ( 附領巾)</t>
  </si>
  <si>
    <t>2026-05-25 09:00:00</t>
  </si>
  <si>
    <t>短袖背心套裝</t>
  </si>
  <si>
    <t>兩件套 含一體式胸棉1.3CM  HEYMAN選品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</si>
  <si>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外件表布:尼龍90% 彈性纖維10%
內件表布:聚酯纖維95% 彈性纖維5%
罩杯裡層材質:聚酯纖維100%
尺寸:S M L</t>
  </si>
  <si>
    <t>2610121016002001</t>
  </si>
  <si>
    <t>R260401040</t>
  </si>
  <si>
    <t>2610121016002002</t>
  </si>
  <si>
    <t>2610121016002003</t>
  </si>
  <si>
    <t>2610121016015001</t>
  </si>
  <si>
    <t>2610121016015002</t>
  </si>
  <si>
    <t>2610121016015003</t>
  </si>
  <si>
    <t>表布:棉100%
尺寸:XL.2XL.3XL</t>
  </si>
  <si>
    <t>R260401043</t>
  </si>
  <si>
    <t>R260401044</t>
  </si>
  <si>
    <t>https://airsblobstage.blob.core.windows.net/photo/purchasephoto/XY62763.webp</t>
  </si>
  <si>
    <t>2610134001</t>
  </si>
  <si>
    <t>XY62763</t>
  </si>
  <si>
    <t>297-62763</t>
  </si>
  <si>
    <t>62763</t>
  </si>
  <si>
    <t>【HEYMAN聯名】側拼接開衩斜紋短褲裙(附皮帶)</t>
  </si>
  <si>
    <t>附皮帶  HEYMAN選品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</si>
  <si>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表布:棉97% 彈性纖維3%
尺寸:S M L</t>
  </si>
  <si>
    <t>2610134001002001</t>
  </si>
  <si>
    <t>R260401046</t>
  </si>
  <si>
    <t>2610134001002002</t>
  </si>
  <si>
    <t>2610134001002003</t>
  </si>
  <si>
    <t>2610134001008001</t>
  </si>
  <si>
    <t>2610134001008002</t>
  </si>
  <si>
    <t>2610134001008003</t>
  </si>
  <si>
    <t>背心</t>
  </si>
  <si>
    <t>2610129016006001</t>
  </si>
  <si>
    <t>2610129016006002</t>
  </si>
  <si>
    <t>https://airsblobstage.blob.core.windows.net/photo/purchasephoto/XY62784Q.webp</t>
  </si>
  <si>
    <t>2611823008</t>
  </si>
  <si>
    <t>XY62784Q</t>
  </si>
  <si>
    <t>297-62784Q</t>
  </si>
  <si>
    <t>62784Q</t>
  </si>
  <si>
    <t>粉色修身喇叭水洗牛仔褲</t>
  </si>
  <si>
    <t>A02-B釦*1、2號袋、襯紙</t>
  </si>
  <si>
    <t>表布:棉:82%萊賽爾纖維18%
尺寸:S.M.L</t>
  </si>
  <si>
    <t>2611823008015001</t>
  </si>
  <si>
    <t>R260401051</t>
  </si>
  <si>
    <t>2611823008015002</t>
  </si>
  <si>
    <t>2611823008015003</t>
  </si>
  <si>
    <t>https://airsblobstage.blob.core.windows.net/photo/purchasephoto/XY62796Q.webp</t>
  </si>
  <si>
    <t>2611821017</t>
  </si>
  <si>
    <t>XY62796Q</t>
  </si>
  <si>
    <t>297-62796Q</t>
  </si>
  <si>
    <t>62796Q</t>
  </si>
  <si>
    <t>圓領愛心字母印花短袖短版TEE</t>
  </si>
  <si>
    <t>短袖短版上衣</t>
  </si>
  <si>
    <t>2611821017002001</t>
  </si>
  <si>
    <t>R260401052</t>
  </si>
  <si>
    <t>2611821017002002</t>
  </si>
  <si>
    <t>2611821017002003</t>
  </si>
  <si>
    <t>https://airsblobstage.blob.core.windows.net/photo/purchasephoto/MS67815.webp</t>
  </si>
  <si>
    <t>2610127003</t>
  </si>
  <si>
    <t>MS67815</t>
  </si>
  <si>
    <t>213-67815</t>
  </si>
  <si>
    <t>67815</t>
  </si>
  <si>
    <t>【HEYMAN聯名】翻領愛心扣開襟波紋皺褶透紗長袖短版上衣細肩帶背心套裝</t>
  </si>
  <si>
    <t>外件表布:尼龍93.2% 彈性纖維6.8%
內件表布:聚酯纖維95% 彈性纖維5%
尺寸:S M L</t>
  </si>
  <si>
    <t>2610127003002001</t>
  </si>
  <si>
    <t>R260401061</t>
  </si>
  <si>
    <t>2610127003002002</t>
  </si>
  <si>
    <t>2610127003002003</t>
  </si>
  <si>
    <t>https://airsblobstage.blob.core.windows.net/photo/purchasephoto/MS67819.webp</t>
  </si>
  <si>
    <t>2610124001</t>
  </si>
  <si>
    <t>MS67819</t>
  </si>
  <si>
    <t>213-67819</t>
  </si>
  <si>
    <t>67819</t>
  </si>
  <si>
    <t>【HEYMAN聯名】天生馬甲線 後綁帶細肩帶長洋裝(附胸墊)</t>
  </si>
  <si>
    <t>含可拆1.3CM一體式胸棉 馬甲塑腰BRA洋裝  HEYMAN選品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</si>
  <si>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表布:聚酯纖維88% 彈性纖維12% 
配布:聚酯纖維95% 彈性纖維5%
罩杯裡層材質:聚酯纖維100%
尺寸:S M L</t>
  </si>
  <si>
    <t>2610124001006001</t>
  </si>
  <si>
    <t>2610124001006002</t>
  </si>
  <si>
    <t>2610124001006003</t>
  </si>
  <si>
    <t>SRS</t>
  </si>
  <si>
    <t>泳裝</t>
  </si>
  <si>
    <t>成套泳裝</t>
  </si>
  <si>
    <t>https://airsblobstage.blob.core.windows.net/photo/purchasephoto/ICH3490A.webp</t>
  </si>
  <si>
    <t>2610721018</t>
  </si>
  <si>
    <t>ICH3490A</t>
  </si>
  <si>
    <t>151-3490A</t>
  </si>
  <si>
    <t>3490A</t>
  </si>
  <si>
    <t>繞頸雙肩帶平口短版莫代爾BRA背心</t>
  </si>
  <si>
    <t xml:space="preserve">跟ICH3492A、ICH3493A搭
M字軌 跟ICH3492A、ICH3493A同料(莫代爾)
含可拆一片式胸棉1.3CM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</si>
  <si>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表布:嫘縈92%彈性纖維8%
尺寸:S、M、L</t>
  </si>
  <si>
    <t>2610721018017001</t>
  </si>
  <si>
    <t>R260401069</t>
  </si>
  <si>
    <t>2610721018017002</t>
  </si>
  <si>
    <t>2610721018017003</t>
  </si>
  <si>
    <t>2610721018035001</t>
  </si>
  <si>
    <t>2610721018035002</t>
  </si>
  <si>
    <t>2610721018035003</t>
  </si>
  <si>
    <t>20260416</t>
  </si>
  <si>
    <t>https://airsblobstage.blob.core.windows.net/photo/purchasephoto/AF12543.webp</t>
  </si>
  <si>
    <t>2610122005</t>
  </si>
  <si>
    <t>AF12543</t>
  </si>
  <si>
    <t>10-12543</t>
  </si>
  <si>
    <t>12543</t>
  </si>
  <si>
    <t>鬆緊腰魚尾長裙 素色款/格紋款</t>
  </si>
  <si>
    <t>W15</t>
  </si>
  <si>
    <t>2026-04-06</t>
  </si>
  <si>
    <t>2026-04-02 09:00:00</t>
  </si>
  <si>
    <t>甜甜價$690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</si>
  <si>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素色表布:棉100% 格紋表布:聚酯纖維95%彈性纖維5% 裡布:嫘縈95% 彈性纖維5%
尺寸:S M L</t>
  </si>
  <si>
    <t>2610122005006001</t>
  </si>
  <si>
    <t>R260409001</t>
  </si>
  <si>
    <t>2610122005006002</t>
  </si>
  <si>
    <t>2610122005006003</t>
  </si>
  <si>
    <t>https://airsblobstage.blob.core.windows.net/photo/purchasephoto/AF12553.webp</t>
  </si>
  <si>
    <t>2610121025</t>
  </si>
  <si>
    <t>AF12553</t>
  </si>
  <si>
    <t>10-12553</t>
  </si>
  <si>
    <t>12553</t>
  </si>
  <si>
    <t>不對稱削肩繞頸領巾側抓皺格紋短版上衣(附胸墊)</t>
  </si>
  <si>
    <t>可拆B02-一體式胸棉1.3CM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</si>
  <si>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表布:聚酯纖維95% 彈性纖維5% 
裡布:嫘縈95%彈性纖維5%
罩杯裡層材質:聚酯纖維100%
尺寸:S M L</t>
  </si>
  <si>
    <t>2610121025006001</t>
  </si>
  <si>
    <t>R260409002</t>
  </si>
  <si>
    <t>2610121025006002</t>
  </si>
  <si>
    <t>2610121025006003</t>
  </si>
  <si>
    <t>https://airsblobstage.blob.core.windows.net/photo/purchasephoto/AF12557.webp</t>
  </si>
  <si>
    <t>2610123004</t>
  </si>
  <si>
    <t>AF12557</t>
  </si>
  <si>
    <t>10-12557</t>
  </si>
  <si>
    <t>12557</t>
  </si>
  <si>
    <t>低腰刷破抽鬚水洗牛仔短褲</t>
  </si>
  <si>
    <t xml:space="preserve">2號袋 襯紙 A01-A釦 E-SBS金屬拉鍊5.5吋
</t>
  </si>
  <si>
    <t>表布:棉75% 聚酯纖維20% 彈性纖維5%
尺寸:S M L</t>
  </si>
  <si>
    <t>2610123004003001</t>
  </si>
  <si>
    <t>R260409003</t>
  </si>
  <si>
    <t>2610123004003002</t>
  </si>
  <si>
    <t>2610123004003003</t>
  </si>
  <si>
    <t>2610123004996001</t>
  </si>
  <si>
    <t>2610123004996002</t>
  </si>
  <si>
    <t>2610123004996003</t>
  </si>
  <si>
    <t>一字領短版合身上衣</t>
  </si>
  <si>
    <t>https://airsblobstage.blob.core.windows.net/photo/purchasephoto/AF12575QF.webp</t>
  </si>
  <si>
    <t>2610821032</t>
  </si>
  <si>
    <t>AF12575QF</t>
  </si>
  <si>
    <t>10-12575QF</t>
  </si>
  <si>
    <t>12575QF</t>
  </si>
  <si>
    <t>OL W10上架、兩件價798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</si>
  <si>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表布:聚酯纖維100%
尺寸:XL.2XL.3XL</t>
  </si>
  <si>
    <t>2610821032002005</t>
  </si>
  <si>
    <t>R260409006</t>
  </si>
  <si>
    <t>2610821032002007</t>
  </si>
  <si>
    <t>2610821032002006</t>
  </si>
  <si>
    <t>R260409009</t>
  </si>
  <si>
    <t>https://airsblobstage.blob.core.windows.net/photo/purchasephoto/EB19756Q.webp</t>
  </si>
  <si>
    <t>2611821010</t>
  </si>
  <si>
    <t>EB19756Q</t>
  </si>
  <si>
    <t>83-19756Q</t>
  </si>
  <si>
    <t>19756Q</t>
  </si>
  <si>
    <t>一字領透紗側抓皺上衣細肩帶BRA背心套裝</t>
  </si>
  <si>
    <t>含1.3公分可拆一體式胸棉、肩帶可調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</si>
  <si>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外件表布:尼龍90%彈性纖維10%
內件表布:嫘縈93%彈性纖維7%
罩杯內層材質:聚酯纖維100%
尺寸:S.M.L</t>
  </si>
  <si>
    <t>2611821010001001</t>
  </si>
  <si>
    <t>R260409015</t>
  </si>
  <si>
    <t>2611821010001002</t>
  </si>
  <si>
    <t>2611821010001003</t>
  </si>
  <si>
    <t>2611821010002001</t>
  </si>
  <si>
    <t>2611821010002002</t>
  </si>
  <si>
    <t>2611821010002003</t>
  </si>
  <si>
    <t>2610123001003001</t>
  </si>
  <si>
    <t>R260409016</t>
  </si>
  <si>
    <t>2610123001003002</t>
  </si>
  <si>
    <t>2610123001003003</t>
  </si>
  <si>
    <t>https://airsblobstage.blob.core.windows.net/photo/purchasephoto/EB19778Q.webp</t>
  </si>
  <si>
    <t>2611821030</t>
  </si>
  <si>
    <t>EB19778Q</t>
  </si>
  <si>
    <t>83-19778Q</t>
  </si>
  <si>
    <t>19778Q</t>
  </si>
  <si>
    <t>【AIR空氣棉零重力】細肩帶胸前綁帶BRA背心</t>
  </si>
  <si>
    <t>空氣層企劃、含1.3公分可拆一體式胸棉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</si>
  <si>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表布:聚酯纖維54.5%棉41%彈性纖維4.5%
裡布:聚酯纖維100%
罩杯內層材質:聚酯纖維100%</t>
  </si>
  <si>
    <t>2611821030002001</t>
  </si>
  <si>
    <t>R260409017</t>
  </si>
  <si>
    <t>2611821030002002</t>
  </si>
  <si>
    <t>2611821030002003</t>
  </si>
  <si>
    <t>2611821030035001</t>
  </si>
  <si>
    <t>2611821030035002</t>
  </si>
  <si>
    <t>2611821030035003</t>
  </si>
  <si>
    <t>https://airsblobstage.blob.core.windows.net/photo/purchasephoto/EB19778QF.webp</t>
  </si>
  <si>
    <t>2610821028</t>
  </si>
  <si>
    <t>EB19778QF</t>
  </si>
  <si>
    <t>83-19778QF</t>
  </si>
  <si>
    <t>19778QF</t>
  </si>
  <si>
    <t>空氣層企劃、A+訂製胸棉、含可拆一體式胸棉1CM、黑A+獨家色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</si>
  <si>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表布:聚酯纖維54.5%棉41%彈性纖維4.5%裡布:聚酯纖維100%罩杯裡層材質:聚酯纖維100%
尺寸:XL.2XL.3XL</t>
  </si>
  <si>
    <t>2610821028001005</t>
  </si>
  <si>
    <t>R260409018</t>
  </si>
  <si>
    <t>2610821028001007</t>
  </si>
  <si>
    <t>2610821028001006</t>
  </si>
  <si>
    <t>2610821028035005</t>
  </si>
  <si>
    <t>2610821028035007</t>
  </si>
  <si>
    <t>2610821028035006</t>
  </si>
  <si>
    <t>https://airsblobstage.blob.core.windows.net/photo/purchasephoto/EB197791QF.webp</t>
  </si>
  <si>
    <t>2610823004</t>
  </si>
  <si>
    <t>EB197791QF</t>
  </si>
  <si>
    <t>83-197791QF</t>
  </si>
  <si>
    <t>197791QF</t>
  </si>
  <si>
    <t>【AIR空氣棉零重力】高腰直筒寬褲</t>
  </si>
  <si>
    <t>空氣層企劃、A+做高腰、黑A+獨家色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</si>
  <si>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表布:聚酯纖維54.5%棉41%彈性纖維4.5%
尺寸:XL.2XL.3XL</t>
  </si>
  <si>
    <t>2610823004001005</t>
  </si>
  <si>
    <t>2610823004001007</t>
  </si>
  <si>
    <t>2610823004001006</t>
  </si>
  <si>
    <t>https://airsblobstage.blob.core.windows.net/photo/purchasephoto/EB19779Q.webp</t>
  </si>
  <si>
    <t>2611823006</t>
  </si>
  <si>
    <t>EB19779Q</t>
  </si>
  <si>
    <t>83-19779Q</t>
  </si>
  <si>
    <t>19779Q</t>
  </si>
  <si>
    <t>中腰、空氣層企劃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</si>
  <si>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表布:聚酯纖維54.5%棉41%彈性纖維4.5%
尺寸:S.M.L</t>
  </si>
  <si>
    <t>R260409020</t>
  </si>
  <si>
    <t>2611823006035001</t>
  </si>
  <si>
    <t>2611823006035002</t>
  </si>
  <si>
    <t>2611823006035003</t>
  </si>
  <si>
    <t>https://airsblobstage.blob.core.windows.net/photo/purchasephoto/GT9062A.webp</t>
  </si>
  <si>
    <t>2610721020</t>
  </si>
  <si>
    <t>GT9062A</t>
  </si>
  <si>
    <t>131-9062A</t>
  </si>
  <si>
    <t>9062A</t>
  </si>
  <si>
    <t>V領繞頸綁帶短版針織背心 撞色款/素色款(附胸墊)</t>
  </si>
  <si>
    <t xml:space="preserve">含可拆胸棉1.3CM、M字軌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</si>
  <si>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 xml:space="preserve">2號袋、襯紙、胸殼
</t>
  </si>
  <si>
    <t>主紗:聚酯纖維60%嫘縈40%
裡布:聚酯纖維100%
罩杯內層材質:聚酯纖維100%
尺寸:S、M</t>
  </si>
  <si>
    <t>2610721020002001</t>
  </si>
  <si>
    <t>R260409027</t>
  </si>
  <si>
    <t>2610721020002002</t>
  </si>
  <si>
    <t>https://airsblobstage.blob.core.windows.net/photo/purchasephoto/GT9066A.webp</t>
  </si>
  <si>
    <t>2610729002</t>
  </si>
  <si>
    <t>GT9066A</t>
  </si>
  <si>
    <t>131-9066A</t>
  </si>
  <si>
    <t>9066A</t>
  </si>
  <si>
    <t>V領排扣半開襟鏤空直條紋長袖寬版針織衫</t>
  </si>
  <si>
    <t>主紗:聚酯纖維60%嫘縈40%
尺寸:F</t>
  </si>
  <si>
    <t>2610729002002004</t>
  </si>
  <si>
    <t>R260409028</t>
  </si>
  <si>
    <t>2610729002008004</t>
  </si>
  <si>
    <t>https://airsblobstage.blob.core.windows.net/photo/purchasephoto/ICH3501Q.webp</t>
  </si>
  <si>
    <t>2611821019</t>
  </si>
  <si>
    <t>ICH3501Q</t>
  </si>
  <si>
    <t>151-3501Q</t>
  </si>
  <si>
    <t>3501Q</t>
  </si>
  <si>
    <t>【AIR空氣棉零重力】金屬扣長袖短版上衣</t>
  </si>
  <si>
    <t>長袖短版寬鬆上衣</t>
  </si>
  <si>
    <t>空氣層企劃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</si>
  <si>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A02-B釦*7、2號袋、襯紙</t>
  </si>
  <si>
    <t>2611821019035001</t>
  </si>
  <si>
    <t>R260409035</t>
  </si>
  <si>
    <t>2611821019035002</t>
  </si>
  <si>
    <t>2611821019035003</t>
  </si>
  <si>
    <t>https://airsblobstage.blob.core.windows.net/photo/purchasephoto/ICH3512Q.webp</t>
  </si>
  <si>
    <t>2611824008</t>
  </si>
  <si>
    <t>ICH3512Q</t>
  </si>
  <si>
    <t>151-3512Q</t>
  </si>
  <si>
    <t>3512Q</t>
  </si>
  <si>
    <t>【AIR空氣棉零重力】不對稱領打褶收腰BRA短洋裝</t>
  </si>
  <si>
    <t>短袖合身短洋</t>
  </si>
  <si>
    <t>表布:嫘縈49%聚酯纖維44%彈性纖維7%
裡布:聚酯纖維100%
罩杯內層材質:聚酯纖維100%
尺寸:S.M.L</t>
  </si>
  <si>
    <t>2611824008001001</t>
  </si>
  <si>
    <t>R260409037</t>
  </si>
  <si>
    <t>2611824008001002</t>
  </si>
  <si>
    <t>2611824008001003</t>
  </si>
  <si>
    <t>2611824008035001</t>
  </si>
  <si>
    <t>2611824008035002</t>
  </si>
  <si>
    <t>2611824008035003</t>
  </si>
  <si>
    <t>https://airsblobstage.blob.core.windows.net/photo/purchasephoto/ICH3532A.webp</t>
  </si>
  <si>
    <t>2610721023</t>
  </si>
  <si>
    <t>ICH3532A</t>
  </si>
  <si>
    <t>151-3532A</t>
  </si>
  <si>
    <t>3532A</t>
  </si>
  <si>
    <t>方領寬肩帶公主線剪裁短版BRA背心</t>
  </si>
  <si>
    <t xml:space="preserve">含可拆一片式胸棉1.3CM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</si>
  <si>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表布:棉74%聚酯纖維21%彈性纖維5%
裡布:聚酯纖維100%
罩杯內層材質:聚酯纖維100%
尺寸:S、M、L</t>
  </si>
  <si>
    <t>2610721023001001</t>
  </si>
  <si>
    <t>R260409038</t>
  </si>
  <si>
    <t>2610721023001002</t>
  </si>
  <si>
    <t>2610721023001003</t>
  </si>
  <si>
    <t>2610721023002001</t>
  </si>
  <si>
    <t>2610721023002002</t>
  </si>
  <si>
    <t>2610721023002003</t>
  </si>
  <si>
    <t>https://airsblobstage.blob.core.windows.net/photo/purchasephoto/ML11547.webp</t>
  </si>
  <si>
    <t>2610133001</t>
  </si>
  <si>
    <t>ML11547</t>
  </si>
  <si>
    <t>207-11547</t>
  </si>
  <si>
    <t>11547</t>
  </si>
  <si>
    <t>條紋鏤空編織長袖寬版外罩襯衫</t>
  </si>
  <si>
    <t>長袖長版襯衫</t>
  </si>
  <si>
    <t xml:space="preserve">比基尼搭配
洗滌注意事項：
※ 首次洗滌時，深色／飽和色系布料較易釋出多餘的固色劑，屬正常現象。
※ 建議深色衣物於首次穿著前先行單獨下水清洗，有助釋出多餘染劑，減少移染或掉色風險。
※ 請與淺色衣物分開洗滌，避免互相染色或產生移染情形。
※ 穿搭時亦建議避免與淺色配件、包款、飾品一同使用，以降低因摩擦或潮濕造成染色的可能性。
</t>
  </si>
  <si>
    <t>2610133001012004</t>
  </si>
  <si>
    <t>R260409039</t>
  </si>
  <si>
    <t>2610133001996004</t>
  </si>
  <si>
    <t>R260409040</t>
  </si>
  <si>
    <t>2610133002010004</t>
  </si>
  <si>
    <t>https://airsblobstage.blob.core.windows.net/photo/purchasephoto/ML11573Q.webp</t>
  </si>
  <si>
    <t>2611821015</t>
  </si>
  <si>
    <t>ML11573Q</t>
  </si>
  <si>
    <t>207-11573Q</t>
  </si>
  <si>
    <t>11573Q</t>
  </si>
  <si>
    <t>木耳邊蕾絲荷葉傘擺細肩帶背心綁帶喇叭袖短版罩衫套裝(附胸墊)</t>
  </si>
  <si>
    <t>2號袋、襯紙、胸殼、領標*2、洗標*2、成分標*2</t>
  </si>
  <si>
    <t>表布:聚酯纖維92%彈性纖維8%
裡布:聚酯纖維100%
罩杯內層材質:聚酯纖維100%
尺寸:S.M.L</t>
  </si>
  <si>
    <t>2611821015001001</t>
  </si>
  <si>
    <t>R260409041</t>
  </si>
  <si>
    <t>2611821015001002</t>
  </si>
  <si>
    <t>2611821015001003</t>
  </si>
  <si>
    <t>2611821015002001</t>
  </si>
  <si>
    <t>2611821015002002</t>
  </si>
  <si>
    <t>2611821015002003</t>
  </si>
  <si>
    <t>https://airsblobstage.blob.core.windows.net/photo/purchasephoto/ML11573QF.webp</t>
  </si>
  <si>
    <t>2610821030</t>
  </si>
  <si>
    <t>ML11573QF</t>
  </si>
  <si>
    <t>207-11573QF</t>
  </si>
  <si>
    <t>11573QF</t>
  </si>
  <si>
    <t>綁帶開襟木耳邊長袖蕾絲罩衫荷葉下擺細肩帶背心套裝(附胸墊)</t>
  </si>
  <si>
    <t>A+訂製胸棉、含可拆一體式胸棉1CM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</si>
  <si>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2號袋、襯紙、F30胸殼、洗/領/成分標*2</t>
  </si>
  <si>
    <t>表布:聚酯纖維92%彈性纖維8%裡布:聚酯纖維100%罩杯裡層材質:聚酯纖維100%
尺寸:XL.2XL.3XL</t>
  </si>
  <si>
    <t>2610821030002005</t>
  </si>
  <si>
    <t>R260409042</t>
  </si>
  <si>
    <t>2610821030002007</t>
  </si>
  <si>
    <t>2610821030002006</t>
  </si>
  <si>
    <t>https://airsblobstage.blob.core.windows.net/photo/purchasephoto/ML11595A.webp</t>
  </si>
  <si>
    <t>2610721021</t>
  </si>
  <si>
    <t>ML11595A</t>
  </si>
  <si>
    <t>207-11595A</t>
  </si>
  <si>
    <t>11595A</t>
  </si>
  <si>
    <t>V領微透膚條紋長袖短版上衣</t>
  </si>
  <si>
    <t>表布:聚酯纖維95%彈性纖維5%
尺寸:S、M、L</t>
  </si>
  <si>
    <t>2610721021002001</t>
  </si>
  <si>
    <t>R260409044</t>
  </si>
  <si>
    <t>2610721021002002</t>
  </si>
  <si>
    <t>2610721021002003</t>
  </si>
  <si>
    <t>https://airsblobstage.blob.core.windows.net/photo/purchasephoto/MS67816.webp</t>
  </si>
  <si>
    <t>2610121015</t>
  </si>
  <si>
    <t>MS67816</t>
  </si>
  <si>
    <t>213-67816</t>
  </si>
  <si>
    <t>67816</t>
  </si>
  <si>
    <t>V領抓皺繞頸綁帶拼接短袖短版上衣(附胸墊)</t>
  </si>
  <si>
    <t>多綁 可拆一體式胸棉1.3CM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</si>
  <si>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表布:聚酯纖維95% 彈性纖維5%
裡布:聚酯纖維100%
罩杯裡層材質:聚酯纖維100%
尺寸:S M L</t>
  </si>
  <si>
    <t>2610121015002001</t>
  </si>
  <si>
    <t>R260409049</t>
  </si>
  <si>
    <t>2610121015002002</t>
  </si>
  <si>
    <t>2610121015002003</t>
  </si>
  <si>
    <t>2610121015180001</t>
  </si>
  <si>
    <t>2610121015180002</t>
  </si>
  <si>
    <t>2610121015180003</t>
  </si>
  <si>
    <t>https://airsblobstage.blob.core.windows.net/photo/purchasephoto/MS67816F.webp</t>
  </si>
  <si>
    <t>2610821031</t>
  </si>
  <si>
    <t>MS67816F</t>
  </si>
  <si>
    <t>213-67816F</t>
  </si>
  <si>
    <t>67816F</t>
  </si>
  <si>
    <t>兩穿(綁帶方式)、黑A+獨家色、A+訂製胸棉、含可拆一體式胸棉1CM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</si>
  <si>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表布:聚酯纖維95%彈性纖維5%裡布:聚酯纖維100%罩杯裡層材質:聚酯纖維100%
尺寸:XL.2XL.3XL</t>
  </si>
  <si>
    <t>2610821031001005</t>
  </si>
  <si>
    <t>R260409050</t>
  </si>
  <si>
    <t>2610821031001007</t>
  </si>
  <si>
    <t>2610821031001006</t>
  </si>
  <si>
    <t>R260409051</t>
  </si>
  <si>
    <t>https://airsblobstage.blob.core.windows.net/photo/purchasephoto/MS67828.webp</t>
  </si>
  <si>
    <t>2610127002</t>
  </si>
  <si>
    <t>MS67828</t>
  </si>
  <si>
    <t>213-67828</t>
  </si>
  <si>
    <t>67828</t>
  </si>
  <si>
    <t>V領荷葉綁帶澎袖點點透膚短版上衣細肩帶背心套裝</t>
  </si>
  <si>
    <t>外件表布:聚酯纖維100%
內件表布:聚酯纖維95% 彈性纖維5%
尺寸:S M L</t>
  </si>
  <si>
    <t>2610127002002001</t>
  </si>
  <si>
    <t>R260409052</t>
  </si>
  <si>
    <t>2610127002002002</t>
  </si>
  <si>
    <t>2610127002002003</t>
  </si>
  <si>
    <t>PY</t>
  </si>
  <si>
    <t>https://airsblobstage.blob.core.windows.net/photo/purchasephoto/PY3041Q.webp</t>
  </si>
  <si>
    <t>2611829013</t>
  </si>
  <si>
    <t>PY3041Q</t>
  </si>
  <si>
    <t>6-3041Q</t>
  </si>
  <si>
    <t>3041Q</t>
  </si>
  <si>
    <t>V型翻領愛心刺繡麻花羅紋短版針織背心</t>
  </si>
  <si>
    <t>主紗:嫘縈50%聚酯纖維30%尼龍20%
尺寸:S.M</t>
  </si>
  <si>
    <t>2611829013002001</t>
  </si>
  <si>
    <t>R260409055</t>
  </si>
  <si>
    <t>2611829013002002</t>
  </si>
  <si>
    <t>2611829013996001</t>
  </si>
  <si>
    <t>2611829013996002</t>
  </si>
  <si>
    <t>R260409059</t>
  </si>
  <si>
    <t>https://airsblobstage.blob.core.windows.net/photo/purchasephoto/XY62826Q.webp</t>
  </si>
  <si>
    <t>2611823007</t>
  </si>
  <si>
    <t>XY62826Q</t>
  </si>
  <si>
    <t>297-62826Q</t>
  </si>
  <si>
    <t>62826Q</t>
  </si>
  <si>
    <t>白色修身喇叭牛仔褲</t>
  </si>
  <si>
    <t>2611823007002001</t>
  </si>
  <si>
    <t>R260409060</t>
  </si>
  <si>
    <t>2611823007002002</t>
  </si>
  <si>
    <t>2611823007002003</t>
  </si>
  <si>
    <t>https://airsblobstage.blob.core.windows.net/photo/purchasephoto/ZX11382.webp</t>
  </si>
  <si>
    <t>2610121013</t>
  </si>
  <si>
    <t>ZX11382</t>
  </si>
  <si>
    <t>331-11382</t>
  </si>
  <si>
    <t>11382</t>
  </si>
  <si>
    <t>甜甜價590 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</si>
  <si>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表布:聚酯纖維60% 萊賽爾40%
尺寸:F</t>
  </si>
  <si>
    <t>2610121013996004</t>
  </si>
  <si>
    <t>R260409065</t>
  </si>
  <si>
    <t>https://airsblobstage.blob.core.windows.net/photo/purchasephoto/ZX11384A.webp</t>
  </si>
  <si>
    <t>2610721025</t>
  </si>
  <si>
    <t>ZX11384A</t>
  </si>
  <si>
    <t>331-11384A</t>
  </si>
  <si>
    <t>11384A</t>
  </si>
  <si>
    <t>寬版落肩長袖純色斜紋襯衫</t>
  </si>
  <si>
    <t>長袖長版寬鬆襯衫</t>
  </si>
  <si>
    <t xml:space="preserve">跟ZX11385A搭一套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</si>
  <si>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表布:聚酯纖維60%嫘縈30%尼龍10%
尺寸:F</t>
  </si>
  <si>
    <t>2610721025002004</t>
  </si>
  <si>
    <t>R260409066</t>
  </si>
  <si>
    <t>2610721025003004</t>
  </si>
  <si>
    <t>https://airsblobstage.blob.core.windows.net/photo/purchasephoto/ZX11385A.webp</t>
  </si>
  <si>
    <t>2610723010</t>
  </si>
  <si>
    <t>ZX11385A</t>
  </si>
  <si>
    <t>331-11385A</t>
  </si>
  <si>
    <t>11385A</t>
  </si>
  <si>
    <t>鬆緊腰抽繩打褶斜紋休閒寬褲</t>
  </si>
  <si>
    <t xml:space="preserve">跟ZX11384A搭一套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</si>
  <si>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表布:聚酯纖維60%嫘縈30%尼龍10% 
尺寸:S、M、L</t>
  </si>
  <si>
    <t>2610723010002001</t>
  </si>
  <si>
    <t>R260409067</t>
  </si>
  <si>
    <t>2610723010002002</t>
  </si>
  <si>
    <t>2610723010002003</t>
  </si>
  <si>
    <t>2610723010003001</t>
  </si>
  <si>
    <t>2610723010003002</t>
  </si>
  <si>
    <t>2610723010003003</t>
  </si>
  <si>
    <t>https://airsblobstage.blob.core.windows.net/photo/purchasephoto/ZX11397Q.webp</t>
  </si>
  <si>
    <t>2611823005</t>
  </si>
  <si>
    <t>ZX11397Q</t>
  </si>
  <si>
    <t>331-11397Q</t>
  </si>
  <si>
    <t>11397Q</t>
  </si>
  <si>
    <t>簡約風中腰斜紋短褲</t>
  </si>
  <si>
    <t>中腰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</si>
  <si>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表布:棉97%彈性纖維3%
尺寸:S.M.L</t>
  </si>
  <si>
    <t>2611823005001001</t>
  </si>
  <si>
    <t>R260409068</t>
  </si>
  <si>
    <t>2611823005001002</t>
  </si>
  <si>
    <t>2611823005001003</t>
  </si>
  <si>
    <t>2611823005002001</t>
  </si>
  <si>
    <t>2611823005002002</t>
  </si>
  <si>
    <t>2611823005002003</t>
  </si>
  <si>
    <t>R260413001</t>
  </si>
  <si>
    <t>R260413002</t>
  </si>
  <si>
    <t>https://airsblobstage.blob.core.windows.net/photo/purchasephoto/圖片_20251113084423.webp</t>
  </si>
  <si>
    <t>2620110001</t>
  </si>
  <si>
    <t>SRSPA26001</t>
  </si>
  <si>
    <t>259-SRSPA26001</t>
  </si>
  <si>
    <t>人間芭比 高腰側綁帶束腹短褲裙</t>
  </si>
  <si>
    <t>高腰褲裙</t>
  </si>
  <si>
    <t>20260527</t>
  </si>
  <si>
    <t>人間芭比</t>
  </si>
  <si>
    <t>內編30</t>
  </si>
  <si>
    <t xml:space="preserve">黑/酒紅/藍綠
表: 聚酯纖維93%  
彈性纖維7% 
夾層:尼龍77% 
彈性纖維 :23% 
裡 :尼龍 80%
彈性纖維20% 
白 
表: 聚酯纖維93%  
彈性纖維7% 
夾層:尼龍77% 
彈性纖維:23% 
裡 : 聚酯纖維82% 
彈性纖維18% </t>
  </si>
  <si>
    <t>R260413013</t>
  </si>
  <si>
    <t>2620110001001003</t>
  </si>
  <si>
    <t>https://airsblobstage.blob.core.windows.net/photo/purchasephoto/WeChat 截圖_20251222095224.webp</t>
  </si>
  <si>
    <t>2620110008</t>
  </si>
  <si>
    <t>SRSSE26002-2</t>
  </si>
  <si>
    <t>259-SRSSE26002-2</t>
  </si>
  <si>
    <t>044</t>
  </si>
  <si>
    <t>黃咖</t>
  </si>
  <si>
    <t>INS風 復古撞色波浪織紋貝殼金飾流蘇綁帶比基尼套裝</t>
  </si>
  <si>
    <t>內編38.3</t>
  </si>
  <si>
    <t>上身
表: 聚酯纖維95% 
彈性纖維5%
裡:聚酯纖維100% 
 罩杯: PU 泡棉
下身
"表: 聚酯纖維95% 
彈性纖維5%
裡:尼龍82% 
彈性纖維:18%</t>
  </si>
  <si>
    <t>2620110008044001</t>
  </si>
  <si>
    <t>https://airsblobstage.blob.core.windows.net/photo/purchasephoto/圖片_20251020084631.webp</t>
  </si>
  <si>
    <t>2620110009</t>
  </si>
  <si>
    <t>SRSSE26017-4</t>
  </si>
  <si>
    <t>259-SRSSE26017-4</t>
  </si>
  <si>
    <t>019</t>
  </si>
  <si>
    <t>米白</t>
  </si>
  <si>
    <t>INS風 竹節織紋比基尼長袖罩衫短裙四件式套裝</t>
  </si>
  <si>
    <t>4件套</t>
  </si>
  <si>
    <t>內編63.3</t>
  </si>
  <si>
    <t xml:space="preserve">上身-
"表: 聚酯纖維95% 
彈性纖維5%
裡:聚酯纖維100% 
 罩杯: PU 泡棉
外罩-
"表: 聚酯纖維95% 
彈性纖維5%
下身-
"表: 聚酯纖維95% 
彈性纖維5%
裡:尼龍82% 
彈性纖維18% </t>
  </si>
  <si>
    <t>2620110009019001</t>
  </si>
  <si>
    <t>R260413018</t>
  </si>
  <si>
    <t>2620110009019002</t>
  </si>
  <si>
    <t>2620110009019003</t>
  </si>
  <si>
    <t>2620110009035001</t>
  </si>
  <si>
    <t>2620110009035002</t>
  </si>
  <si>
    <t>2620110009035003</t>
  </si>
  <si>
    <t>2610122005017001</t>
  </si>
  <si>
    <t>2610122005017002</t>
  </si>
  <si>
    <t>2610121025017001</t>
  </si>
  <si>
    <t>2610121025017002</t>
  </si>
  <si>
    <t>2610121025017003</t>
  </si>
  <si>
    <t>R260415010</t>
  </si>
  <si>
    <t>2610121013002004</t>
  </si>
  <si>
    <t>R260415011</t>
  </si>
  <si>
    <t>2610121013015004</t>
  </si>
  <si>
    <t>R260415012</t>
  </si>
  <si>
    <t>https://airsblobstage.blob.core.windows.net/photo/purchasephoto/ZX11393A.webp</t>
  </si>
  <si>
    <t>2610721024</t>
  </si>
  <si>
    <t>ZX11393A</t>
  </si>
  <si>
    <t>331-11393A</t>
  </si>
  <si>
    <t>11393A</t>
  </si>
  <si>
    <t>單口袋長袖短版格紋襯衫</t>
  </si>
  <si>
    <t>W16</t>
  </si>
  <si>
    <t>2026-04-13</t>
  </si>
  <si>
    <t xml:space="preserve">ZX11393A ZX11394A兩款同料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</si>
  <si>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表布:聚酯纖維76%嫘縈22%彈性纖維2%
尺寸:S、M、L</t>
  </si>
  <si>
    <t>2610721024001001</t>
  </si>
  <si>
    <t>R260415013</t>
  </si>
  <si>
    <t>2610721024001002</t>
  </si>
  <si>
    <t>2610721024001003</t>
  </si>
  <si>
    <t>https://airsblobstage.blob.core.windows.net/photo/purchasephoto/ZX11394A.webp</t>
  </si>
  <si>
    <t>2610734001</t>
  </si>
  <si>
    <t>ZX11394A</t>
  </si>
  <si>
    <t>331-11394A</t>
  </si>
  <si>
    <t>11394A</t>
  </si>
  <si>
    <t>中腰格紋排扣修身短褲裙</t>
  </si>
  <si>
    <t xml:space="preserve">ZX11393A ZX11394A兩款同料 中腰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</si>
  <si>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表布:聚酯纖維76%嫘縈22%彈性纖維2% 
尺寸:S、M、L</t>
  </si>
  <si>
    <t>2610734001001001</t>
  </si>
  <si>
    <t>R260415014</t>
  </si>
  <si>
    <t>2610734001001002</t>
  </si>
  <si>
    <t>2610734001001003</t>
  </si>
  <si>
    <t>https://airsblobstage.blob.core.windows.net/photo/purchasephoto/ML11556.webp</t>
  </si>
  <si>
    <t>2610124009</t>
  </si>
  <si>
    <t>ML11556</t>
  </si>
  <si>
    <t>207-11556</t>
  </si>
  <si>
    <t>11556</t>
  </si>
  <si>
    <t>花邊桃心領排扣菱格蕾絲細肩帶荷葉傘擺短洋裝</t>
  </si>
  <si>
    <t>表布:聚酯纖維95% 彈性纖維5%
裡布:聚酯纖維100%
尺寸:S M L</t>
  </si>
  <si>
    <t>2610124009012001</t>
  </si>
  <si>
    <t>R260415017</t>
  </si>
  <si>
    <t>2610124009012002</t>
  </si>
  <si>
    <t>2610124009012003</t>
  </si>
  <si>
    <t xml:space="preserve">2號袋 襯紙 </t>
  </si>
  <si>
    <t>R260415030</t>
  </si>
  <si>
    <t>https://airsblobstage.blob.core.windows.net/photo/purchasephoto/ICH3501QF.webp</t>
  </si>
  <si>
    <t>2610821029</t>
  </si>
  <si>
    <t>ICH3501QF</t>
  </si>
  <si>
    <t>151-3501QF</t>
  </si>
  <si>
    <t>3501QF</t>
  </si>
  <si>
    <t>長袖短版上衣</t>
  </si>
  <si>
    <t>空氣層企劃、黑A+獨家色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</si>
  <si>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2號袋、襯紙、A02-B釦*8</t>
  </si>
  <si>
    <t>2610821029001005</t>
  </si>
  <si>
    <t>R260415033</t>
  </si>
  <si>
    <t>2610821029001007</t>
  </si>
  <si>
    <t>2610821029001006</t>
  </si>
  <si>
    <t>R260415034</t>
  </si>
  <si>
    <t>20260507</t>
  </si>
  <si>
    <t>R260415036</t>
  </si>
  <si>
    <t>https://airsblobstage.blob.core.windows.net/photo/purchasephoto/EB19707A.webp</t>
  </si>
  <si>
    <t>2610722007</t>
  </si>
  <si>
    <t>EB19707A</t>
  </si>
  <si>
    <t>83-19707A</t>
  </si>
  <si>
    <t>19707A</t>
  </si>
  <si>
    <t>【奶油柔感棉】扭結設計魚尾長裙</t>
  </si>
  <si>
    <t xml:space="preserve">ICH3510A ICH3511A EB19707A EB19729A四款同料 
奶油柔感棉系列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</si>
  <si>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表布:嫘縈50%尼龍15%聚酯纖維30%彈性纖維5% 
尺寸:S、S+、M、M+、L</t>
  </si>
  <si>
    <t>2610722007001017</t>
  </si>
  <si>
    <t>R260415048</t>
  </si>
  <si>
    <t>2610722007001001</t>
  </si>
  <si>
    <t>2610722007001018</t>
  </si>
  <si>
    <t>2610722007001002</t>
  </si>
  <si>
    <t>2610722007001003</t>
  </si>
  <si>
    <t>2610722007035017</t>
  </si>
  <si>
    <t>2610722007035001</t>
  </si>
  <si>
    <t>2610722007035018</t>
  </si>
  <si>
    <t>2610722007035002</t>
  </si>
  <si>
    <t>2610722007035003</t>
  </si>
  <si>
    <t>https://airsblobstage.blob.core.windows.net/photo/purchasephoto/EB19740.webp</t>
  </si>
  <si>
    <t>2610127005</t>
  </si>
  <si>
    <t>EB19740</t>
  </si>
  <si>
    <t>83-19740</t>
  </si>
  <si>
    <t>19740</t>
  </si>
  <si>
    <t>V領綁帶木耳邊透紗長袖罩衫交叉抓褶細肩帶BRA背心套裝</t>
  </si>
  <si>
    <t>兩件套 含可拆一體式1.3CM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</si>
  <si>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 襯紙F30-胸殼</t>
  </si>
  <si>
    <t>外件表布:尼龍90% 彈性纖維10%
內件表布:聚酯纖維96% 彈性纖維4%
內件配布:尼龍90% 彈性纖維10%
尺寸:S M L</t>
  </si>
  <si>
    <t>2610127005002001</t>
  </si>
  <si>
    <t>R260415049</t>
  </si>
  <si>
    <t>2610127005002002</t>
  </si>
  <si>
    <t>2610127005002003</t>
  </si>
  <si>
    <t>https://airsblobstage.blob.core.windows.net/photo/purchasephoto/EB19741.webp</t>
  </si>
  <si>
    <t>2610121024</t>
  </si>
  <si>
    <t>EB19741</t>
  </si>
  <si>
    <t>83-19741</t>
  </si>
  <si>
    <t>19741</t>
  </si>
  <si>
    <t>V領綁帶蕾絲滾邊抓皺短袖短版上衣</t>
  </si>
  <si>
    <t>2610121024017001</t>
  </si>
  <si>
    <t>R260415050</t>
  </si>
  <si>
    <t>2610121024017002</t>
  </si>
  <si>
    <t>2610121024017003</t>
  </si>
  <si>
    <t>https://airsblobstage.blob.core.windows.net/photo/purchasephoto/EB19743.webp</t>
  </si>
  <si>
    <t>2610122009</t>
  </si>
  <si>
    <t>EB19743</t>
  </si>
  <si>
    <t>83-19743</t>
  </si>
  <si>
    <t>19743</t>
  </si>
  <si>
    <t>交叉側開衩點點網紗襯裡褲裙</t>
  </si>
  <si>
    <t>後腰橡筋/褲裙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</si>
  <si>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表布:聚酯纖維95% 彈性纖維5% 配布:尼龍90%彈性纖維10%
尺寸:S M L</t>
  </si>
  <si>
    <t>2610122009001001</t>
  </si>
  <si>
    <t>R260415051</t>
  </si>
  <si>
    <t>2610122009001002</t>
  </si>
  <si>
    <t>2610122009001003</t>
  </si>
  <si>
    <t>2610122009002001</t>
  </si>
  <si>
    <t>2610122009002002</t>
  </si>
  <si>
    <t>2610122009002003</t>
  </si>
  <si>
    <t>https://airsblobstage.blob.core.windows.net/photo/purchasephoto/EB19743F.webp</t>
  </si>
  <si>
    <t>2610822013</t>
  </si>
  <si>
    <t>EB19743F</t>
  </si>
  <si>
    <t>83-19743F</t>
  </si>
  <si>
    <t>19743F</t>
  </si>
  <si>
    <t>後腰橡筋、內裡有褲裡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</si>
  <si>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表布:聚酯纖維95%彈性纖維5%配布:尼龍90%彈性纖維10%
尺寸:XL.2XL.3XL</t>
  </si>
  <si>
    <t>2610822013001005</t>
  </si>
  <si>
    <t>R260415052</t>
  </si>
  <si>
    <t>2610822013001007</t>
  </si>
  <si>
    <t>2610822013001006</t>
  </si>
  <si>
    <t>2610822013002005</t>
  </si>
  <si>
    <t>2610822013002007</t>
  </si>
  <si>
    <t>2610822013002006</t>
  </si>
  <si>
    <t>2610823002996005</t>
  </si>
  <si>
    <t>R260415056</t>
  </si>
  <si>
    <t>2610823002996007</t>
  </si>
  <si>
    <t>2610823002996006</t>
  </si>
  <si>
    <t>R260415058</t>
  </si>
  <si>
    <t>R260415059</t>
  </si>
  <si>
    <t>https://airsblobstage.blob.core.windows.net/photo/purchasephoto/GE00715A.webp</t>
  </si>
  <si>
    <t>2610729004</t>
  </si>
  <si>
    <t>GE00715A</t>
  </si>
  <si>
    <t>122-00715A</t>
  </si>
  <si>
    <t>00715A</t>
  </si>
  <si>
    <t>桃心 V領排扣短袖羅紋開襟針織衫</t>
  </si>
  <si>
    <t xml:space="preserve">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</si>
  <si>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 xml:space="preserve">2號袋、襯紙
</t>
  </si>
  <si>
    <t>主紗:嫘縈100%
尺寸:S、M</t>
  </si>
  <si>
    <t>2610729004002001</t>
  </si>
  <si>
    <t>R260415064</t>
  </si>
  <si>
    <t>2610729004002002</t>
  </si>
  <si>
    <t>2610729004025001</t>
  </si>
  <si>
    <t>2610729004025002</t>
  </si>
  <si>
    <t>R260415067</t>
  </si>
  <si>
    <t>2610721020025001</t>
  </si>
  <si>
    <t>R260415069</t>
  </si>
  <si>
    <t>2610721020025002</t>
  </si>
  <si>
    <t>https://airsblobstage.blob.core.windows.net/photo/purchasephoto/GT9074.webp</t>
  </si>
  <si>
    <t>2610129010</t>
  </si>
  <si>
    <t>GT9074</t>
  </si>
  <si>
    <t>131-9074</t>
  </si>
  <si>
    <t>9074</t>
  </si>
  <si>
    <t>小香風V領金扣短袖短版開襟針織衫</t>
  </si>
  <si>
    <t>主紗:亞克力纖維100%
配紗:聚酯纖維100%
尺寸:S M</t>
  </si>
  <si>
    <t>2610129010015001</t>
  </si>
  <si>
    <t>R260415070</t>
  </si>
  <si>
    <t>2610129010015002</t>
  </si>
  <si>
    <t>R260415073</t>
  </si>
  <si>
    <t>https://airsblobstage.blob.core.windows.net/photo/purchasephoto/XY62807A.webp</t>
  </si>
  <si>
    <t>2610724008</t>
  </si>
  <si>
    <t>XY62807A</t>
  </si>
  <si>
    <t>297-62807A</t>
  </si>
  <si>
    <t>62807A</t>
  </si>
  <si>
    <t>微V領V型腰線細肩帶羅紋花苞短洋裝(附胸墊)</t>
  </si>
  <si>
    <t xml:space="preserve">含可拆胸棉1.3CM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</si>
  <si>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表布:聚酯纖維85%嫘縈10%彈性纖維5%
配布:聚酯纖維75%嫘縈20%彈性纖維5%
尺寸:S、M、L</t>
  </si>
  <si>
    <t>R260415077</t>
  </si>
  <si>
    <t>2610724008002001</t>
  </si>
  <si>
    <t>2610724008002002</t>
  </si>
  <si>
    <t>2610724008002003</t>
  </si>
  <si>
    <t>2610821031180005</t>
  </si>
  <si>
    <t>R260415081</t>
  </si>
  <si>
    <t>2610821031180007</t>
  </si>
  <si>
    <t>2610821031180006</t>
  </si>
  <si>
    <t>https://airsblobstage.blob.core.windows.net/photo/purchasephoto/MS6782901.webp</t>
  </si>
  <si>
    <t>2610127006</t>
  </si>
  <si>
    <t>MS6782901</t>
  </si>
  <si>
    <t>213-6782901</t>
  </si>
  <si>
    <t>6782901</t>
  </si>
  <si>
    <t>反摺荷葉一字領刺繡蕾絲長袖上衣細肩帶BRA背心套裝</t>
  </si>
  <si>
    <t>含可拆一體式胸棉1.3CM 兩件套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</si>
  <si>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外件表布:尼龍95% 彈性纖維5% 內件表布:聚酯纖維95% 彈性纖維5%
內件裡布:聚酯纖維100% 罩杯裡層材質:聚酯纖維100%
尺寸:S M L</t>
  </si>
  <si>
    <t>2610127006002001</t>
  </si>
  <si>
    <t>R260415083</t>
  </si>
  <si>
    <t>2610127006002002</t>
  </si>
  <si>
    <t>2610127006002003</t>
  </si>
  <si>
    <t>https://airsblobstage.blob.core.windows.net/photo/purchasephoto/MS6782902.webp</t>
  </si>
  <si>
    <t>2610122010</t>
  </si>
  <si>
    <t>MS6782902</t>
  </si>
  <si>
    <t>213-6782902</t>
  </si>
  <si>
    <t>6782902</t>
  </si>
  <si>
    <t>刺繡蕾絲荷葉花邊下擺修身短裙</t>
  </si>
  <si>
    <t>褲裡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</si>
  <si>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表布:尼龍95% 彈性纖維5% 配布:聚酯纖維95% 彈性纖維5% 裡布:聚酯纖維100%
尺寸:S M L</t>
  </si>
  <si>
    <t>2610122010002001</t>
  </si>
  <si>
    <t>R260415084</t>
  </si>
  <si>
    <t>2610122010002002</t>
  </si>
  <si>
    <t>2610122010002003</t>
  </si>
  <si>
    <t>https://airsblobstage.blob.core.windows.net/photo/purchasephoto/BF18102A.webp</t>
  </si>
  <si>
    <t>2610729005</t>
  </si>
  <si>
    <t>BF18102A</t>
  </si>
  <si>
    <t>44-18102A</t>
  </si>
  <si>
    <t>18102A</t>
  </si>
  <si>
    <t>2WAY大圓領條紋鏤空長袖寬版針織衫</t>
  </si>
  <si>
    <t xml:space="preserve">可穿斜肩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</si>
  <si>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主紗:亞克力纖維66%萊賽爾纖維25%亞麻9%
尺寸:F</t>
  </si>
  <si>
    <t>2610729005001004</t>
  </si>
  <si>
    <t>R260415085</t>
  </si>
  <si>
    <t>2610729005002004</t>
  </si>
  <si>
    <t>R260415086</t>
  </si>
  <si>
    <t>https://airsblobstage.blob.core.windows.net/photo/purchasephoto/EB19610Q.webp</t>
  </si>
  <si>
    <t>2621821014</t>
  </si>
  <si>
    <t>EB19610Q</t>
  </si>
  <si>
    <t>83-19610Q</t>
  </si>
  <si>
    <t>19610Q</t>
  </si>
  <si>
    <t>【樂一通】 動物斑紋元素印花圓領短袖短版合身TEE</t>
  </si>
  <si>
    <t>2026-04-27 09:00:00</t>
  </si>
  <si>
    <t>tweety聯名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</si>
  <si>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2號袋、襯紙、D14-崔弟吊牌、F40-樂一通織標1</t>
  </si>
  <si>
    <t>2621821014017001</t>
  </si>
  <si>
    <t>2621821014017002</t>
  </si>
  <si>
    <t>2621821014017003</t>
  </si>
  <si>
    <t>https://airsblobstage.blob.core.windows.net/photo/purchasephoto/EB19645Q.webp</t>
  </si>
  <si>
    <t>2621821019</t>
  </si>
  <si>
    <t>EB19645Q</t>
  </si>
  <si>
    <t>83-19645Q</t>
  </si>
  <si>
    <t>19645Q</t>
  </si>
  <si>
    <t>【樂一通】 崔弟款不對稱領印花鉚釘貼布繡短袖長版TEE</t>
  </si>
  <si>
    <t>2026-04-28 09:00:00</t>
  </si>
  <si>
    <t>tweety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</si>
  <si>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2621821019002001</t>
  </si>
  <si>
    <t>2621821019002002</t>
  </si>
  <si>
    <t>2621821019210001</t>
  </si>
  <si>
    <t>2621821019210002</t>
  </si>
  <si>
    <t>https://airsblobstage.blob.core.windows.net/photo/purchasephoto/XY62742Q.webp</t>
  </si>
  <si>
    <t>2621821011</t>
  </si>
  <si>
    <t>XY62742Q</t>
  </si>
  <si>
    <t>297-62742Q</t>
  </si>
  <si>
    <t>62742Q</t>
  </si>
  <si>
    <t>【樂一通】 刺繡小圖牛仔平口上衣(附胸墊)</t>
  </si>
  <si>
    <t>2號袋、襯紙、胸殼、D14-崔弟吊牌、F40-樂一通織標1</t>
  </si>
  <si>
    <t>表布:棉52%聚酯纖維42%彈性纖維6%
裡布:聚酯纖維100%
罩杯內層材質:聚酯纖維100%
尺寸:S.M.L</t>
  </si>
  <si>
    <t>2621821011001001</t>
  </si>
  <si>
    <t>R260416030</t>
  </si>
  <si>
    <t>2621821011001002</t>
  </si>
  <si>
    <t>2621821011001003</t>
  </si>
  <si>
    <t>2621821011010001</t>
  </si>
  <si>
    <t>2621821011010002</t>
  </si>
  <si>
    <t>2621821011010003</t>
  </si>
  <si>
    <t>https://airsblobstage.blob.core.windows.net/photo/purchasephoto/XY62743Q.webp</t>
  </si>
  <si>
    <t>2621823005</t>
  </si>
  <si>
    <t>XY62743Q</t>
  </si>
  <si>
    <t>297-62743Q</t>
  </si>
  <si>
    <t>62743Q</t>
  </si>
  <si>
    <t>【樂一通】 立體印花前剪接車線腰鬆緊輕薄牛仔寬褲</t>
  </si>
  <si>
    <t>表布:棉52%聚酯纖維42%彈性纖維6%
尺寸:S.M.L</t>
  </si>
  <si>
    <t>2621823005001001</t>
  </si>
  <si>
    <t>R260416031</t>
  </si>
  <si>
    <t>2621823005001002</t>
  </si>
  <si>
    <t>2621823005001003</t>
  </si>
  <si>
    <t>2621823005010001</t>
  </si>
  <si>
    <t>2621823005010002</t>
  </si>
  <si>
    <t>2621823005010003</t>
  </si>
  <si>
    <t>https://airsblobstage.blob.core.windows.net/photo/purchasephoto/XY62743QF.webp</t>
  </si>
  <si>
    <t>2620823002</t>
  </si>
  <si>
    <t>XY62743QF</t>
  </si>
  <si>
    <t>297-62743QF</t>
  </si>
  <si>
    <t>62743QF</t>
  </si>
  <si>
    <t>Tweety聯名、高腰、腰整圈橡筋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</si>
  <si>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表布:棉52%聚酯纖維42%彈性纖維6%
尺寸:XL.2XL.3XL</t>
  </si>
  <si>
    <t>2620823002001005</t>
  </si>
  <si>
    <t>R260416032</t>
  </si>
  <si>
    <t>2620823002001007</t>
  </si>
  <si>
    <t>2620823002001006</t>
  </si>
  <si>
    <t>2620823002010005</t>
  </si>
  <si>
    <t>2620823002010007</t>
  </si>
  <si>
    <t>2620823002010006</t>
  </si>
  <si>
    <t>20260501</t>
  </si>
  <si>
    <t>https://airsblobstage.blob.core.windows.net/photo/purchasephoto/SH2601QC.webp</t>
  </si>
  <si>
    <t>2621825002</t>
  </si>
  <si>
    <t>SHY2601QC</t>
  </si>
  <si>
    <t>406-2601QC</t>
  </si>
  <si>
    <t>2601QC</t>
  </si>
  <si>
    <t>【樂一通】 滿版印花旅行盥洗收納包</t>
  </si>
  <si>
    <t xml:space="preserve"> Looney Tunes系列聯名小物
</t>
  </si>
  <si>
    <t>F13-B領標
F12-B洗標
F11-B吊牌+吊粒
F14-B款條碼卡
F07-A成份標
F04-ABE款2號袋
F41-樂一通織標2
D14-崔弟吊牌</t>
  </si>
  <si>
    <t>材質:表布-100%聚酯纖維/裡布-100%尼龍
尺寸標註:長:54CM X 寬23.5CM
製造日期:2026年1月</t>
  </si>
  <si>
    <t>2621825002002004</t>
  </si>
  <si>
    <t>R260417036</t>
  </si>
  <si>
    <t>https://airsblobstage.blob.core.windows.net/photo/purchasephoto/AF12522.webp</t>
  </si>
  <si>
    <t>2610121032</t>
  </si>
  <si>
    <t>AF12522</t>
  </si>
  <si>
    <t>10-12522</t>
  </si>
  <si>
    <t>12522</t>
  </si>
  <si>
    <t>格紋平口抓褶短版上衣(附領巾/ 附胸墊)</t>
  </si>
  <si>
    <t>W17</t>
  </si>
  <si>
    <t>2026-04-20</t>
  </si>
  <si>
    <t>2026-04-20 09:00:00</t>
  </si>
  <si>
    <t>平口短版合身上衣</t>
  </si>
  <si>
    <t>含可拆一體式胸棉1.3CM 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</si>
  <si>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表布:聚酯纖維80% 嫘縈17% 彈性纖維3%
配布:聚酯纖維100%
罩杯裡層材質:聚酯纖維100%
尺寸:S M L</t>
  </si>
  <si>
    <t>2610121032010001</t>
  </si>
  <si>
    <t>R260422001</t>
  </si>
  <si>
    <t>2610121032010002</t>
  </si>
  <si>
    <t>2610121032010003</t>
  </si>
  <si>
    <t>2610121032996001</t>
  </si>
  <si>
    <t>2610121032996002</t>
  </si>
  <si>
    <t>2610121032996003</t>
  </si>
  <si>
    <t>https://airsblobstage.blob.core.windows.net/photo/purchasephoto/AF12568.webp</t>
  </si>
  <si>
    <t>2610122007</t>
  </si>
  <si>
    <t>AF12568</t>
  </si>
  <si>
    <t>10-12568</t>
  </si>
  <si>
    <t>12568</t>
  </si>
  <si>
    <t>格紋百褶後鬆緊短裙</t>
  </si>
  <si>
    <t>褲裡
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</si>
  <si>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表布:聚酯纖維80% 嫘縈17% 彈性纖維3%
配布:聚酯纖維100%
尺寸:S M L</t>
  </si>
  <si>
    <t>2610122007010001</t>
  </si>
  <si>
    <t>R260422002</t>
  </si>
  <si>
    <t>2610122007010002</t>
  </si>
  <si>
    <t>2610122007010003</t>
  </si>
  <si>
    <t>2610122007996001</t>
  </si>
  <si>
    <t>2610122007996002</t>
  </si>
  <si>
    <t>2610122007996003</t>
  </si>
  <si>
    <t>https://airsblobstage.blob.core.windows.net/photo/purchasephoto/ZX11420F.webp</t>
  </si>
  <si>
    <t>2610821040</t>
  </si>
  <si>
    <t>ZX11420F</t>
  </si>
  <si>
    <t>331-11420F</t>
  </si>
  <si>
    <t>11420F</t>
  </si>
  <si>
    <t>【冰肌涼感】V型開領短版短袖上衣</t>
  </si>
  <si>
    <t>A+獨家、冰肌涼感企劃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</si>
  <si>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表布:萊賽爾纖維91%彈性纖維9%
尺寸:XL.2XL.3XL</t>
  </si>
  <si>
    <t>2610821040001005</t>
  </si>
  <si>
    <t>R260422007</t>
  </si>
  <si>
    <t>2610821040001007</t>
  </si>
  <si>
    <t>2610821040001006</t>
  </si>
  <si>
    <t>R260422010</t>
  </si>
  <si>
    <t>https://airsblobstage.blob.core.windows.net/photo/purchasephoto/ICH3509A.webp</t>
  </si>
  <si>
    <t>2610721029</t>
  </si>
  <si>
    <t>ICH3509A</t>
  </si>
  <si>
    <t>151-3509A</t>
  </si>
  <si>
    <t>3509A</t>
  </si>
  <si>
    <t>U領繞頸綁帶短版BRA背心</t>
  </si>
  <si>
    <t xml:space="preserve">含可拆一片式胸棉1.3CM、M字軌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</si>
  <si>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表布:嫘縈89%彈性纖維11%
裡布:聚酯纖維100%
罩杯內層材質:聚酯纖維100%
尺寸:S、M、L</t>
  </si>
  <si>
    <t>2610721029001001</t>
  </si>
  <si>
    <t>R260422012</t>
  </si>
  <si>
    <t>2610721029001002</t>
  </si>
  <si>
    <t>2610721029001003</t>
  </si>
  <si>
    <t>2610721029002001</t>
  </si>
  <si>
    <t>2610721029002002</t>
  </si>
  <si>
    <t>2610721029002003</t>
  </si>
  <si>
    <t>R260422024</t>
  </si>
  <si>
    <t>R260422025</t>
  </si>
  <si>
    <t>R260422026</t>
  </si>
  <si>
    <t>R260422027</t>
  </si>
  <si>
    <t>R260422028</t>
  </si>
  <si>
    <t>https://airsblobstage.blob.core.windows.net/photo/purchasephoto/EB19728A.webp</t>
  </si>
  <si>
    <t>2610724009</t>
  </si>
  <si>
    <t>EB19728A</t>
  </si>
  <si>
    <t>83-19728A</t>
  </si>
  <si>
    <t>19728A</t>
  </si>
  <si>
    <t>圓V領繞頸肩帶合身傘擺BRA長洋裝</t>
  </si>
  <si>
    <t>表布:嫘縈95%彈性纖維5%
裡布:嫘縈95%彈性纖維5%
罩杯內層材質:聚酯纖維100%
尺寸:S、M、L</t>
  </si>
  <si>
    <t>2610724009210001</t>
  </si>
  <si>
    <t>R260422029</t>
  </si>
  <si>
    <t>2610724009210002</t>
  </si>
  <si>
    <t>2610724009210003</t>
  </si>
  <si>
    <t>https://airsblobstage.blob.core.windows.net/photo/purchasephoto/EB19761.webp</t>
  </si>
  <si>
    <t>2610121034</t>
  </si>
  <si>
    <t>EB19761</t>
  </si>
  <si>
    <t>83-19761</t>
  </si>
  <si>
    <t>19761</t>
  </si>
  <si>
    <t>圓領蕾絲LOGO刺繡領標長袖短版排扣開襟針織衫</t>
  </si>
  <si>
    <t>表布:聚酯纖維80% 嫘縈20%
尺寸:S M L</t>
  </si>
  <si>
    <t>2610121034002001</t>
  </si>
  <si>
    <t>R260422030</t>
  </si>
  <si>
    <t>2610121034002002</t>
  </si>
  <si>
    <t>2610121034002003</t>
  </si>
  <si>
    <t>https://airsblobstage.blob.core.windows.net/photo/purchasephoto/EB19765A.webp</t>
  </si>
  <si>
    <t>2610724010</t>
  </si>
  <si>
    <t>EB19765A</t>
  </si>
  <si>
    <t>83-19765A</t>
  </si>
  <si>
    <t>19765A</t>
  </si>
  <si>
    <t>立領短袖側抓皺曲線拼接合身短洋裝</t>
  </si>
  <si>
    <t xml:space="preserve">領子有剪接的穿在後面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</si>
  <si>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2610724010017001</t>
  </si>
  <si>
    <t>R260422032</t>
  </si>
  <si>
    <t>2610724010017002</t>
  </si>
  <si>
    <t>2610724010017003</t>
  </si>
  <si>
    <t>2610724010210001</t>
  </si>
  <si>
    <t>2610724010210002</t>
  </si>
  <si>
    <t>2610724010210003</t>
  </si>
  <si>
    <t>https://airsblobstage.blob.core.windows.net/photo/purchasephoto/EB19882.webp</t>
  </si>
  <si>
    <t>2610121051</t>
  </si>
  <si>
    <t>EB19882</t>
  </si>
  <si>
    <t>83-19882</t>
  </si>
  <si>
    <t>19882</t>
  </si>
  <si>
    <t>【冰肌涼感】美背後交叉短袖BRA上衣</t>
  </si>
  <si>
    <t>冰肌涼感系列/可拆胸棉1.3CM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</si>
  <si>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 xml:space="preserve">表布:萊賽爾纖維91% 彈性纖維9%
罩杯裡層材質:聚酯纖維100%
尺寸:S M L </t>
  </si>
  <si>
    <t>2610121051002001</t>
  </si>
  <si>
    <t>R260422033</t>
  </si>
  <si>
    <t>2610121051002002</t>
  </si>
  <si>
    <t>2610121051002003</t>
  </si>
  <si>
    <t>2610121051180001</t>
  </si>
  <si>
    <t>2610121051180002</t>
  </si>
  <si>
    <t>2610121051180003</t>
  </si>
  <si>
    <t>R260422035</t>
  </si>
  <si>
    <t>https://airsblobstage.blob.core.windows.net/photo/purchasephoto/XY62745Q.webp</t>
  </si>
  <si>
    <t>2621823002</t>
  </si>
  <si>
    <t>XY62745Q</t>
  </si>
  <si>
    <t>297-62745Q</t>
  </si>
  <si>
    <t>62745Q</t>
  </si>
  <si>
    <t>【樂一通】 後立體印花腰抽繩雙口袋水洗休閒七分褲</t>
  </si>
  <si>
    <t>表布:棉85%聚酯纖維15%
尺寸:S.M.L</t>
  </si>
  <si>
    <t>2621823002210001</t>
  </si>
  <si>
    <t>R260422038</t>
  </si>
  <si>
    <t>2621823002210002</t>
  </si>
  <si>
    <t>2621823002210003</t>
  </si>
  <si>
    <t>https://airsblobstage.blob.core.windows.net/photo/purchasephoto/XY62773.webp</t>
  </si>
  <si>
    <t>2610123005</t>
  </si>
  <si>
    <t>XY62773</t>
  </si>
  <si>
    <t>297-62773</t>
  </si>
  <si>
    <t>62773</t>
  </si>
  <si>
    <t>低腰修身小喇叭斜紋長褲</t>
  </si>
  <si>
    <t>2號袋 襯紙 A02-B釦 E-SBS金屬拉鍊5.5吋</t>
  </si>
  <si>
    <t>2610123005002001</t>
  </si>
  <si>
    <t>R260422039</t>
  </si>
  <si>
    <t>2610123005002002</t>
  </si>
  <si>
    <t>2610123005002003</t>
  </si>
  <si>
    <t>https://airsblobstage.blob.core.windows.net/photo/purchasephoto/XY62790Q.webp</t>
  </si>
  <si>
    <t>2621823008</t>
  </si>
  <si>
    <t>XY62790Q</t>
  </si>
  <si>
    <t>297-62790Q</t>
  </si>
  <si>
    <t>62790Q</t>
  </si>
  <si>
    <t>【2.0 SKIN 親膚天絲丹寧】打褶直筒落地長褲</t>
  </si>
  <si>
    <t>天絲牛仔企劃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</si>
  <si>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2號袋、襯紙、B釦*1</t>
  </si>
  <si>
    <t>淺藍表布:萊賽爾纖維85%棉15%
黑表布:萊賽爾纖維50%聚酯纖維25%棉20%嫘縈5%
尺寸:S.M.L</t>
  </si>
  <si>
    <t>2621823008001001</t>
  </si>
  <si>
    <t>R260422040</t>
  </si>
  <si>
    <t>2621823008001002</t>
  </si>
  <si>
    <t>2621823008001003</t>
  </si>
  <si>
    <t>2621823008996001</t>
  </si>
  <si>
    <t>2621823008996002</t>
  </si>
  <si>
    <t>2621823008996003</t>
  </si>
  <si>
    <t>https://airsblobstage.blob.core.windows.net/photo/purchasephoto/XY62790QF.webp</t>
  </si>
  <si>
    <t>2620823006</t>
  </si>
  <si>
    <t>XY62790QF</t>
  </si>
  <si>
    <t>297-62790QF</t>
  </si>
  <si>
    <t>62790QF</t>
  </si>
  <si>
    <t>高腰、後腰橡筋、天絲涼感牛仔企劃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</si>
  <si>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淺藍表布:萊賽爾纖維85%棉15%
黑表布:萊賽爾纖維50%聚酯纖維25%棉20%嫘縈5%
尺寸:XL.2XL.3XL</t>
  </si>
  <si>
    <t>2620823006001005</t>
  </si>
  <si>
    <t>R260422041</t>
  </si>
  <si>
    <t>2620823006001007</t>
  </si>
  <si>
    <t>2620823006001006</t>
  </si>
  <si>
    <t>2620823006996005</t>
  </si>
  <si>
    <t>2620823006996007</t>
  </si>
  <si>
    <t>2620823006996006</t>
  </si>
  <si>
    <t>https://airsblobstage.blob.core.windows.net/photo/purchasephoto/XY62793Q.webp</t>
  </si>
  <si>
    <t>2621824007</t>
  </si>
  <si>
    <t>XY62793Q</t>
  </si>
  <si>
    <t>297-62793Q</t>
  </si>
  <si>
    <t>62793Q</t>
  </si>
  <si>
    <t>【2.0 SKIN 親膚天絲丹寧】細肩帶收腰長洋裝</t>
  </si>
  <si>
    <t>天絲牛仔企劃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</si>
  <si>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黑表布:萊賽爾纖維50%聚酯纖維25%棉20%嫘縈5%
淺藍表布:萊賽爾纖維85%棉15%
尺寸:S.M.L</t>
  </si>
  <si>
    <t>2621824007001001</t>
  </si>
  <si>
    <t>R260422043</t>
  </si>
  <si>
    <t>2621824007001002</t>
  </si>
  <si>
    <t>2621824007001003</t>
  </si>
  <si>
    <t>2621824007996001</t>
  </si>
  <si>
    <t>2621824007996002</t>
  </si>
  <si>
    <t>2621824007996003</t>
  </si>
  <si>
    <t>https://airsblobstage.blob.core.windows.net/photo/purchasephoto/XY62797A.webp</t>
  </si>
  <si>
    <t>2620721018</t>
  </si>
  <si>
    <t>XY62797A</t>
  </si>
  <si>
    <t>297-62797A</t>
  </si>
  <si>
    <t>62797A</t>
  </si>
  <si>
    <t>【2.0 SKIN 親膚天絲丹寧】長袖短版襯衫</t>
  </si>
  <si>
    <t>長袖短版寬鬆襯衫</t>
  </si>
  <si>
    <t xml:space="preserve">跟62798A/62799A搭、上衣外套兩穿
天絲牛仔企劃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</si>
  <si>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淺藍:萊賽爾纖維85%棉15%
黑:萊賽爾纖維50%聚酯纖維25%棉20%嫘縈5%
尺寸:S、M、L</t>
  </si>
  <si>
    <t>2620721018001001</t>
  </si>
  <si>
    <t>R260422044</t>
  </si>
  <si>
    <t>2620721018001002</t>
  </si>
  <si>
    <t>2620721018001003</t>
  </si>
  <si>
    <t>2620721018996001</t>
  </si>
  <si>
    <t>2620721018996002</t>
  </si>
  <si>
    <t>2620721018996003</t>
  </si>
  <si>
    <t>https://airsblobstage.blob.core.windows.net/photo/purchasephoto/XY62797AF.webp</t>
  </si>
  <si>
    <t>2620821031</t>
  </si>
  <si>
    <t>XY62797AF</t>
  </si>
  <si>
    <t>297-62797AF</t>
  </si>
  <si>
    <t>62797AF</t>
  </si>
  <si>
    <t>天絲涼感牛仔企劃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</si>
  <si>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2620821031001005</t>
  </si>
  <si>
    <t>R260422045</t>
  </si>
  <si>
    <t>2620821031001007</t>
  </si>
  <si>
    <t>2620821031001006</t>
  </si>
  <si>
    <t>2620821031996005</t>
  </si>
  <si>
    <t>2620821031996007</t>
  </si>
  <si>
    <t>2620821031996006</t>
  </si>
  <si>
    <t>https://airsblobstage.blob.core.windows.net/photo/purchasephoto/XY62798A.webp</t>
  </si>
  <si>
    <t>2620723007</t>
  </si>
  <si>
    <t>XY62798A</t>
  </si>
  <si>
    <t>297-62798A</t>
  </si>
  <si>
    <t>62798A</t>
  </si>
  <si>
    <t>【2.0 SKIN 親膚天絲丹寧】中腰休閒小喇叭長褲</t>
  </si>
  <si>
    <t xml:space="preserve">跟62797A搭
天絲牛仔企劃、高腰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</si>
  <si>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 xml:space="preserve">淺藍:萊賽爾纖維85%棉15% 
黑:萊賽爾纖維50%聚酯纖維25%棉20%嫘縈5% 
尺寸:S、S+、M、M+、L
</t>
  </si>
  <si>
    <t>2620723007001017</t>
  </si>
  <si>
    <t>R260422046</t>
  </si>
  <si>
    <t>2620723007001001</t>
  </si>
  <si>
    <t>2620723007001018</t>
  </si>
  <si>
    <t>2620723007001002</t>
  </si>
  <si>
    <t>2620723007001003</t>
  </si>
  <si>
    <t>2620723007996017</t>
  </si>
  <si>
    <t>2620723007996001</t>
  </si>
  <si>
    <t>2620723007996018</t>
  </si>
  <si>
    <t>2620723007996002</t>
  </si>
  <si>
    <t>2620723007996003</t>
  </si>
  <si>
    <t>https://airsblobstage.blob.core.windows.net/photo/purchasephoto/XY62799A.webp</t>
  </si>
  <si>
    <t>2620722007</t>
  </si>
  <si>
    <t>XY62799A</t>
  </si>
  <si>
    <t>297-62799A</t>
  </si>
  <si>
    <t>62799A</t>
  </si>
  <si>
    <t>【2.0 SKIN 親膚天絲丹寧】休閒魚尾長裙</t>
  </si>
  <si>
    <t xml:space="preserve">跟62797A搭 
天絲牛仔企劃、高腰 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</si>
  <si>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2620722007001017</t>
  </si>
  <si>
    <t>R260422047</t>
  </si>
  <si>
    <t>2620722007001001</t>
  </si>
  <si>
    <t>2620722007001018</t>
  </si>
  <si>
    <t>2620722007001002</t>
  </si>
  <si>
    <t>2620722007001003</t>
  </si>
  <si>
    <t>2620722007996017</t>
  </si>
  <si>
    <t>2620722007996001</t>
  </si>
  <si>
    <t>2620722007996018</t>
  </si>
  <si>
    <t>2620722007996002</t>
  </si>
  <si>
    <t>2620722007996003</t>
  </si>
  <si>
    <t>內編26</t>
  </si>
  <si>
    <t>無鋼圈泳衣</t>
  </si>
  <si>
    <t>https://airsblobstage.blob.core.windows.net/photo/purchasephoto/圖片_20250918141514.webp</t>
  </si>
  <si>
    <t>2620110005</t>
  </si>
  <si>
    <t>SRSOP26001</t>
  </si>
  <si>
    <t>259-SRSOP26001</t>
  </si>
  <si>
    <t>人間芭比3.0  V領交叉抓褶後綁帶塑腹連身泳裝</t>
  </si>
  <si>
    <t>連身式泳裝</t>
  </si>
  <si>
    <t>內編 50</t>
  </si>
  <si>
    <t>黑/酒紅
表: 聚酯纖維93%  
彈性纖維7%  
夾層:尼龍77% 
彈性纖維 :23% 
裡 :尼龍 80%  
彈性纖維20%  
罩杯: PU 泡棉
白
"表: 聚酯纖維93%  
彈性纖維7%  
夾層:尼龍77% 
彈性纖維:23% 
裡 : 聚酯纖維82% 
彈性纖維18%  
罩杯: PU 泡棉</t>
  </si>
  <si>
    <t>2620110005001005</t>
  </si>
  <si>
    <t>R260422059</t>
  </si>
  <si>
    <t>2620110005001001</t>
  </si>
  <si>
    <t>2620110005001002</t>
  </si>
  <si>
    <t>2620110005001003</t>
  </si>
  <si>
    <t>3L</t>
  </si>
  <si>
    <t>2620110005001012</t>
  </si>
  <si>
    <t>2L</t>
  </si>
  <si>
    <t>2620110005001011</t>
  </si>
  <si>
    <t>低腰泳褲</t>
  </si>
  <si>
    <t>https://airsblobstage.blob.core.windows.net/photo/purchasephoto/圖片_20251117090411.webp</t>
  </si>
  <si>
    <t>2620110012</t>
  </si>
  <si>
    <t>SRSSE26012-2</t>
  </si>
  <si>
    <t>259-SRSSE26012-2</t>
  </si>
  <si>
    <t>852</t>
  </si>
  <si>
    <t>白咖</t>
  </si>
  <si>
    <t>INS風 多WAY撞色條紋針織串珠綁帶平口比基尼套裝</t>
  </si>
  <si>
    <t>內編36.3</t>
  </si>
  <si>
    <t>上身
"表: 聚酯纖維98% 
彈性纖維2%
裡:聚酯纖維100% 
 罩杯: PU 泡棉
下身
"表: 聚酯纖維98% 
彈性纖維2%
裡:尼龍82% 
彈性纖維:18%</t>
  </si>
  <si>
    <t>2620110012852001</t>
  </si>
  <si>
    <t>R260422061</t>
  </si>
  <si>
    <t>2620110012852002</t>
  </si>
  <si>
    <t>2620110012852003</t>
  </si>
  <si>
    <t>背心長洋</t>
  </si>
  <si>
    <t>R260424006</t>
  </si>
  <si>
    <t>R260424013</t>
  </si>
  <si>
    <t>2610122005017003</t>
  </si>
  <si>
    <t>R260424014</t>
  </si>
  <si>
    <t>R260428006</t>
  </si>
  <si>
    <t>20260428</t>
  </si>
  <si>
    <t>20260512</t>
  </si>
  <si>
    <t>R260428021</t>
  </si>
  <si>
    <t>2620110008044002</t>
  </si>
  <si>
    <t>2620110008044003</t>
  </si>
  <si>
    <t>https://airsblobstage.blob.core.windows.net/photo/purchasephoto/ZX11359.webp</t>
  </si>
  <si>
    <t>2620123001</t>
  </si>
  <si>
    <t>ZX11359</t>
  </si>
  <si>
    <t>331-11359</t>
  </si>
  <si>
    <t>11359</t>
  </si>
  <si>
    <t>【女團2.0】中腰收腹前短後長女團短褲</t>
  </si>
  <si>
    <t>W18</t>
  </si>
  <si>
    <t>2026-04-27</t>
  </si>
  <si>
    <t>女團企劃 中腰褲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</si>
  <si>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表布:嫘縈62% 尼龍33% 彈性纖維5%
尺寸:S M L</t>
  </si>
  <si>
    <t>2620123001001001</t>
  </si>
  <si>
    <t>R260429009</t>
  </si>
  <si>
    <t>2620123001001002</t>
  </si>
  <si>
    <t>2620123001001003</t>
  </si>
  <si>
    <t>2620123001210001</t>
  </si>
  <si>
    <t>2620123001210002</t>
  </si>
  <si>
    <t>2620123001210003</t>
  </si>
  <si>
    <t>https://airsblobstage.blob.core.windows.net/photo/purchasephoto/ZX11403A.webp</t>
  </si>
  <si>
    <t>2620727001</t>
  </si>
  <si>
    <t>ZX11403A</t>
  </si>
  <si>
    <t>331-11403A</t>
  </si>
  <si>
    <t>11403A</t>
  </si>
  <si>
    <t>直條紋桃心領細肩帶短版背心長袖寬版襯衫套裝</t>
  </si>
  <si>
    <t xml:space="preserve">背心後背打攬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</si>
  <si>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表布:嫘縈90%尼龍10%
裡布:聚酯纖維100%
尺寸:S、M、L</t>
  </si>
  <si>
    <t>2620727001002001</t>
  </si>
  <si>
    <t>R260429010</t>
  </si>
  <si>
    <t>2620727001002002</t>
  </si>
  <si>
    <t>2620727001002003</t>
  </si>
  <si>
    <t>https://airsblobstage.blob.core.windows.net/photo/purchasephoto/ML11553A.webp</t>
  </si>
  <si>
    <t>2620724002</t>
  </si>
  <si>
    <t>ML11553A</t>
  </si>
  <si>
    <t>207-11553A</t>
  </si>
  <si>
    <t>11553A</t>
  </si>
  <si>
    <t>V型翻領LOGO刺繡短袖合身短洋裝</t>
  </si>
  <si>
    <t>挖肩合身短洋</t>
  </si>
  <si>
    <t>表布:嫘縈45%棉45%彈性纖維10%
尺寸:S、M、L</t>
  </si>
  <si>
    <t>2620724002010001</t>
  </si>
  <si>
    <t>R260429013</t>
  </si>
  <si>
    <t>2620724002010002</t>
  </si>
  <si>
    <t>2620724002010003</t>
  </si>
  <si>
    <t>https://airsblobstage.blob.core.windows.net/photo/purchasephoto/ICH3521Q.webp</t>
  </si>
  <si>
    <t>2621821001</t>
  </si>
  <si>
    <t>ICH3521Q</t>
  </si>
  <si>
    <t>151-3521Q</t>
  </si>
  <si>
    <t>3521Q</t>
  </si>
  <si>
    <t>方領繞頸綁帶抓皺排扣開襟背心(附胸墊) 素色款/條紋款</t>
  </si>
  <si>
    <t>含可拆分離式胸棉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</si>
  <si>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素面表布:聚酯纖維58%嫘縈36%彈性纖維6%
條紋表布:聚酯纖維78%嫘縈18%彈性纖維4%
裡布:聚酯纖維97%彈性纖維3%
罩杯內層材質:聚酯纖維100%
尺寸:S.M.L</t>
  </si>
  <si>
    <t>2621821001035001</t>
  </si>
  <si>
    <t>R260429018</t>
  </si>
  <si>
    <t>2621821001035002</t>
  </si>
  <si>
    <t>2621821001035003</t>
  </si>
  <si>
    <t>https://airsblobstage.blob.core.windows.net/photo/purchasephoto/EB19619Q.webp</t>
  </si>
  <si>
    <t>2621821016</t>
  </si>
  <si>
    <t>EB19619Q</t>
  </si>
  <si>
    <t>83-19619Q</t>
  </si>
  <si>
    <t>19619Q</t>
  </si>
  <si>
    <t>【樂一通】 一字領拉格蘭短袖斑駁印花短版TEE(附胸墊)</t>
  </si>
  <si>
    <t>tweety聯名、含1.3公分可拆一體式胸棉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</si>
  <si>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表布:嫘縈46.5%棉46.5%彈性纖維7%
罩杯內層材質:聚酯纖維100%
尺寸:S.M.L</t>
  </si>
  <si>
    <t>R260429030</t>
  </si>
  <si>
    <t>2621821016002001</t>
  </si>
  <si>
    <t>2621821016002002</t>
  </si>
  <si>
    <t>2621821016002003</t>
  </si>
  <si>
    <t>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</si>
  <si>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https://airsblobstage.blob.core.windows.net/photo/purchasephoto/EB19768A.webp</t>
  </si>
  <si>
    <t>2620723003</t>
  </si>
  <si>
    <t>EB19768A</t>
  </si>
  <si>
    <t>83-19768A</t>
  </si>
  <si>
    <t>19768A</t>
  </si>
  <si>
    <t>雙扣水洗刷破修身小喇叭牛仔褲</t>
  </si>
  <si>
    <t xml:space="preserve">有出加長款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</si>
  <si>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表布:棉75%聚酯纖維23%彈性纖維2%
尺寸:S、S+、M、M+、L</t>
  </si>
  <si>
    <t>R260429034</t>
  </si>
  <si>
    <t>2620723003210017</t>
  </si>
  <si>
    <t>2620723003210001</t>
  </si>
  <si>
    <t>2620723003210018</t>
  </si>
  <si>
    <t>2620723003210002</t>
  </si>
  <si>
    <t>2620723003210003</t>
  </si>
  <si>
    <t>https://airsblobstage.blob.core.windows.net/photo/purchasephoto/EB19783Q.webp</t>
  </si>
  <si>
    <t>2621823004</t>
  </si>
  <si>
    <t>EB19783Q</t>
  </si>
  <si>
    <t>83-19783Q</t>
  </si>
  <si>
    <t>19783Q</t>
  </si>
  <si>
    <t>後口袋蝴蝶結刺繡斜紋直筒長褲</t>
  </si>
  <si>
    <t>2621823004002001</t>
  </si>
  <si>
    <t>R260429036</t>
  </si>
  <si>
    <t>2621823004002002</t>
  </si>
  <si>
    <t>2621823004002003</t>
  </si>
  <si>
    <t>https://airsblobstage.blob.core.windows.net/photo/purchasephoto/EB19783QF.webp</t>
  </si>
  <si>
    <t>2620823001</t>
  </si>
  <si>
    <t>EB19783QF</t>
  </si>
  <si>
    <t>83-19783QF</t>
  </si>
  <si>
    <t>19783QF</t>
  </si>
  <si>
    <t>高腰、A+後腰有橡筋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</si>
  <si>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2620823001001005</t>
  </si>
  <si>
    <t>R260429037</t>
  </si>
  <si>
    <t>2620823001001007</t>
  </si>
  <si>
    <t>2620823001001006</t>
  </si>
  <si>
    <t>https://airsblobstage.blob.core.windows.net/photo/purchasephoto/EB19784.webp</t>
  </si>
  <si>
    <t>2620127001</t>
  </si>
  <si>
    <t>EB19784</t>
  </si>
  <si>
    <t>83-19784</t>
  </si>
  <si>
    <t>19784</t>
  </si>
  <si>
    <t>V領繞頸肩帶排扣BRA背心短袖開襟羅紋針織衫套裝</t>
  </si>
  <si>
    <t>含可拆一體式胸棉1.3CM 內層內裡胸棉:前片半圈胸棉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</si>
  <si>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表布:聚酯纖維95% 彈性纖維5% 罩杯裡層材質:聚酯纖維100%
尺寸:S M L</t>
  </si>
  <si>
    <t>2620127001017001</t>
  </si>
  <si>
    <t>2620127001017002</t>
  </si>
  <si>
    <t>2620127001017003</t>
  </si>
  <si>
    <t>https://airsblobstage.blob.core.windows.net/photo/purchasephoto/EB19792Q.webp</t>
  </si>
  <si>
    <t>2611821041</t>
  </si>
  <si>
    <t>EB19792Q</t>
  </si>
  <si>
    <t>83-19792Q</t>
  </si>
  <si>
    <t>19792Q</t>
  </si>
  <si>
    <t>貼布繡字母方U領削肩細肩帶BRA背心</t>
  </si>
  <si>
    <t>2611821041002001</t>
  </si>
  <si>
    <t>R260429039</t>
  </si>
  <si>
    <t>2611821041002002</t>
  </si>
  <si>
    <t>2611821041002003</t>
  </si>
  <si>
    <t>https://airsblobstage.blob.core.windows.net/photo/purchasephoto/EB19798Q.webp</t>
  </si>
  <si>
    <t>2621821008</t>
  </si>
  <si>
    <t>EB19798Q</t>
  </si>
  <si>
    <t>83-19798Q</t>
  </si>
  <si>
    <t>19798Q</t>
  </si>
  <si>
    <t>不對稱領壓扣短袖短版上衣繞頸綁帶BRA背心套裝</t>
  </si>
  <si>
    <t>可開釦、真兩件、含一體式可拆胸棉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</si>
  <si>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表布:嫘縈92%彈性纖維8%
罩杯內層材質:聚酯纖維100%
尺寸:S.M.L</t>
  </si>
  <si>
    <t>2621821008002001</t>
  </si>
  <si>
    <t>2621821008002002</t>
  </si>
  <si>
    <t>2621821008002003</t>
  </si>
  <si>
    <t>2621821008025001</t>
  </si>
  <si>
    <t>2621821008025002</t>
  </si>
  <si>
    <t>2621821008025003</t>
  </si>
  <si>
    <t>R260429045</t>
  </si>
  <si>
    <t>https://airsblobstage.blob.core.windows.net/photo/purchasephoto/GT9067Q.webp</t>
  </si>
  <si>
    <t>2611821014</t>
  </si>
  <si>
    <t>GT9067Q</t>
  </si>
  <si>
    <t>131-9067Q</t>
  </si>
  <si>
    <t>9067Q</t>
  </si>
  <si>
    <t>圓領落肩長袖排扣木耳邊羅紋開襟衫</t>
  </si>
  <si>
    <t>2611821014002001</t>
  </si>
  <si>
    <t>2611821014002002</t>
  </si>
  <si>
    <t>2611821014002003</t>
  </si>
  <si>
    <t>https://airsblobstage.blob.core.windows.net/photo/purchasephoto/XY62775A.webp</t>
  </si>
  <si>
    <t>2620721004</t>
  </si>
  <si>
    <t>XY62775A</t>
  </si>
  <si>
    <t>297-62775A</t>
  </si>
  <si>
    <t>62775A</t>
  </si>
  <si>
    <t>平口繞頸綁帶側開衩後鏤空水洗雪花背心(附胸墊)</t>
  </si>
  <si>
    <t>表布:棉100%
配布:聚酯纖維100%
罩杯內層材質:聚酯纖維100%
尺寸:S、M、L</t>
  </si>
  <si>
    <t>2620721004010001</t>
  </si>
  <si>
    <t>R260429048</t>
  </si>
  <si>
    <t>2620721004010002</t>
  </si>
  <si>
    <t>2620721004010003</t>
  </si>
  <si>
    <t>2620721004210001</t>
  </si>
  <si>
    <t>2620721004210002</t>
  </si>
  <si>
    <t>2620721004210003</t>
  </si>
  <si>
    <t>https://airsblobstage.blob.core.windows.net/photo/purchasephoto/XY62776A.webp</t>
  </si>
  <si>
    <t>2620721001</t>
  </si>
  <si>
    <t>XY62776A</t>
  </si>
  <si>
    <t>297-62776A</t>
  </si>
  <si>
    <t>62776A</t>
  </si>
  <si>
    <t>貼鑽字母圓領短袖短版上衣</t>
  </si>
  <si>
    <t xml:space="preserve">表布:棉94%彈性纖維6%
尺寸:S、M、L
</t>
  </si>
  <si>
    <t>2620721001002001</t>
  </si>
  <si>
    <t>R260429049</t>
  </si>
  <si>
    <t>2620721001002002</t>
  </si>
  <si>
    <t>2620721001002003</t>
  </si>
  <si>
    <t>https://airsblobstage.blob.core.windows.net/photo/purchasephoto/XY62782.webp</t>
  </si>
  <si>
    <t>2620122001</t>
  </si>
  <si>
    <t>XY62782</t>
  </si>
  <si>
    <t>297-62782</t>
  </si>
  <si>
    <t>62782</t>
  </si>
  <si>
    <t>低腰一片式斜紋短裙(附腰帶)</t>
  </si>
  <si>
    <t>附皮帶 低腰裙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</si>
  <si>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表布:棉100%
尺寸:S M L</t>
  </si>
  <si>
    <t>R260429053</t>
  </si>
  <si>
    <t>R260429054</t>
  </si>
  <si>
    <t>https://airsblobstage.blob.core.windows.net/photo/purchasephoto/PY304201QF.webp</t>
  </si>
  <si>
    <t>2620829003</t>
  </si>
  <si>
    <t>PY304201QF</t>
  </si>
  <si>
    <t>6-304201QF</t>
  </si>
  <si>
    <t>304201QF</t>
  </si>
  <si>
    <t>橫條紋V領短袖排扣開襟針織衫(附披肩) 灰色系</t>
  </si>
  <si>
    <t>附披肩、A+獨家色(素灰)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</si>
  <si>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2號袋、襯紙、洗標/領標/成分標*2</t>
  </si>
  <si>
    <t>主紗:嫘縈100%
尺寸:XL.2XL</t>
  </si>
  <si>
    <t>2620829003035005</t>
  </si>
  <si>
    <t>R260429061</t>
  </si>
  <si>
    <t>2620829003035006</t>
  </si>
  <si>
    <t>https://airsblobstage.blob.core.windows.net/photo/purchasephoto/PY3042Q.webp</t>
  </si>
  <si>
    <t>2611829020</t>
  </si>
  <si>
    <t>PY3042Q</t>
  </si>
  <si>
    <t>6-3042Q</t>
  </si>
  <si>
    <t>3042Q</t>
  </si>
  <si>
    <t>橫條紋V領短袖排扣開襟針織衫(附披肩)</t>
  </si>
  <si>
    <t>主紗:嫘縈100%
尺寸:S.M</t>
  </si>
  <si>
    <t>2611829020002001</t>
  </si>
  <si>
    <t>R260429062</t>
  </si>
  <si>
    <t>2611829020002002</t>
  </si>
  <si>
    <t>2611829020035001</t>
  </si>
  <si>
    <t>2611829020035002</t>
  </si>
  <si>
    <t>https://airsblobstage.blob.core.windows.net/photo/purchasephoto/PY3042QF.webp</t>
  </si>
  <si>
    <t>2620829002</t>
  </si>
  <si>
    <t>PY3042QF</t>
  </si>
  <si>
    <t>6-3042QF</t>
  </si>
  <si>
    <t>3042QF</t>
  </si>
  <si>
    <t>橫條紋V領短袖排扣開襟針織衫(附披肩) 白色系</t>
  </si>
  <si>
    <t>附披肩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</si>
  <si>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2號袋、襯紙、洗/領/成分標*2</t>
  </si>
  <si>
    <t>2620829002002005</t>
  </si>
  <si>
    <t>R260429063</t>
  </si>
  <si>
    <t>2620829002002006</t>
  </si>
  <si>
    <t>https://airsblobstage.blob.core.windows.net/photo/purchasephoto/PY3046.webp</t>
  </si>
  <si>
    <t>2620129002</t>
  </si>
  <si>
    <t>PY3046</t>
  </si>
  <si>
    <t>6-3046</t>
  </si>
  <si>
    <t>3046</t>
  </si>
  <si>
    <t>愛心LOGO刺繡圓領短袖短版拉鍊開襟針織衫</t>
  </si>
  <si>
    <t>主紗:嫘縈100%
尺寸:S M</t>
  </si>
  <si>
    <t>2620129002002001</t>
  </si>
  <si>
    <t>R260429064</t>
  </si>
  <si>
    <t>2620129002002002</t>
  </si>
  <si>
    <t>2620129002010001</t>
  </si>
  <si>
    <t>2620129002010002</t>
  </si>
  <si>
    <t>2620129002025001</t>
  </si>
  <si>
    <t>2620129002025002</t>
  </si>
  <si>
    <t>https://airsblobstage.blob.core.windows.net/photo/purchasephoto/PY3046F.webp</t>
  </si>
  <si>
    <t>2620829001</t>
  </si>
  <si>
    <t>PY3046F</t>
  </si>
  <si>
    <t>6-3046F</t>
  </si>
  <si>
    <t>3046F</t>
  </si>
  <si>
    <t>2620829001002005</t>
  </si>
  <si>
    <t>R260429065</t>
  </si>
  <si>
    <t>2620829001002006</t>
  </si>
  <si>
    <t>2620829001010005</t>
  </si>
  <si>
    <t>2620829001010006</t>
  </si>
  <si>
    <t>2620829001025005</t>
  </si>
  <si>
    <t>2620829001025006</t>
  </si>
  <si>
    <t>https://airsblobstage.blob.core.windows.net/photo/purchasephoto/ZX11414A.webp</t>
  </si>
  <si>
    <t>2620724001</t>
  </si>
  <si>
    <t>ZX11414A</t>
  </si>
  <si>
    <t>331-11414A</t>
  </si>
  <si>
    <t>11414A</t>
  </si>
  <si>
    <t>細肩帶反摺平口抓皺設計條紋傘擺長洋裝(附胸墊)</t>
  </si>
  <si>
    <t>表布:聚酯纖維67%嫘縈30%彈性纖維3% 
裡布:聚酯纖維100% 
尺寸:S、M、L</t>
  </si>
  <si>
    <t>2620724001035001</t>
  </si>
  <si>
    <t>R260429072</t>
  </si>
  <si>
    <t>2620724001035002</t>
  </si>
  <si>
    <t>2620724001035003</t>
  </si>
  <si>
    <t>R260504003</t>
  </si>
  <si>
    <t>https://airsblobstage.blob.core.windows.net/photo/purchasephoto/AF12573Q.webp</t>
  </si>
  <si>
    <t>2621821006</t>
  </si>
  <si>
    <t>AF12573Q</t>
  </si>
  <si>
    <t>10-12573Q</t>
  </si>
  <si>
    <t>12573Q</t>
  </si>
  <si>
    <t>假兩件大圓領拉格蘭短袖合身上衣</t>
  </si>
  <si>
    <t>W19</t>
  </si>
  <si>
    <t>2026-05-04</t>
  </si>
  <si>
    <t>2026-05-04 09:00:00</t>
  </si>
  <si>
    <t>表布:嫘縈92%彈性纖維8%
配布:聚酯纖維85%嫘縈15%
尺寸:S.M.L</t>
  </si>
  <si>
    <t>2621821006002001</t>
  </si>
  <si>
    <t>R260506003</t>
  </si>
  <si>
    <t>2621821006002002</t>
  </si>
  <si>
    <t>2621821006002003</t>
  </si>
  <si>
    <t>2621821006035001</t>
  </si>
  <si>
    <t>2621821006035002</t>
  </si>
  <si>
    <t>2621821006035003</t>
  </si>
  <si>
    <t>表布:棉100% 裡布:聚酯纖維100%
尺寸:S M L</t>
  </si>
  <si>
    <t>R260506015</t>
  </si>
  <si>
    <t>https://airsblobstage.blob.core.windows.net/photo/purchasephoto/EB19715A.webp</t>
  </si>
  <si>
    <t>2620724004</t>
  </si>
  <si>
    <t>EB19715A</t>
  </si>
  <si>
    <t>83-19715A</t>
  </si>
  <si>
    <t>19715A</t>
  </si>
  <si>
    <t>腰綁帶細肩帶BRA背心長洋裝</t>
  </si>
  <si>
    <t xml:space="preserve">含可拆胸棉1.3CM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</si>
  <si>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2620724004017001</t>
  </si>
  <si>
    <t>R260506018</t>
  </si>
  <si>
    <t>2620724004017002</t>
  </si>
  <si>
    <t>2620724004017003</t>
  </si>
  <si>
    <t>2620724004210001</t>
  </si>
  <si>
    <t>2620724004210002</t>
  </si>
  <si>
    <t>2620724004210003</t>
  </si>
  <si>
    <t>R260506022</t>
  </si>
  <si>
    <t>2620823001002005</t>
  </si>
  <si>
    <t>2620823001002007</t>
  </si>
  <si>
    <t>2620823001002006</t>
  </si>
  <si>
    <t>2620127001002001</t>
  </si>
  <si>
    <t>R260506023</t>
  </si>
  <si>
    <t>2620127001002002</t>
  </si>
  <si>
    <t>2620127001002003</t>
  </si>
  <si>
    <t>R260506025</t>
  </si>
  <si>
    <t>https://airsblobstage.blob.core.windows.net/photo/purchasephoto/EB19851A.webp</t>
  </si>
  <si>
    <t>2620721007</t>
  </si>
  <si>
    <t>EB19851A</t>
  </si>
  <si>
    <t>83-19851A</t>
  </si>
  <si>
    <t>19851A</t>
  </si>
  <si>
    <t>099</t>
  </si>
  <si>
    <t>棕</t>
  </si>
  <si>
    <t>V型一字領拉格蘭短袖側抓皺短版BRA TOP</t>
  </si>
  <si>
    <t xml:space="preserve">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</si>
  <si>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表布:棉92%彈性纖維8%
裡布:聚酯纖維100%
罩杯內層材質:聚酯纖維100%
尺寸:S、M、L</t>
  </si>
  <si>
    <t>2620721007099001</t>
  </si>
  <si>
    <t>R260506027</t>
  </si>
  <si>
    <t>2620721007099002</t>
  </si>
  <si>
    <t>2620721007099003</t>
  </si>
  <si>
    <t>https://airsblobstage.blob.core.windows.net/photo/purchasephoto/GE90965Q.webp</t>
  </si>
  <si>
    <t>2621821005</t>
  </si>
  <si>
    <t>GE90965Q</t>
  </si>
  <si>
    <t>122-90965Q</t>
  </si>
  <si>
    <t>90965Q</t>
  </si>
  <si>
    <t>方領排扣開襟澎袖抓皺收腰短版上衣</t>
  </si>
  <si>
    <t>與GE90966Q成套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</si>
  <si>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表布:棉90%聚酯纖維10%
尺寸:S.M.L</t>
  </si>
  <si>
    <t>2621821005035001</t>
  </si>
  <si>
    <t>R260506034</t>
  </si>
  <si>
    <t>2621821005035002</t>
  </si>
  <si>
    <t>2621821005035003</t>
  </si>
  <si>
    <t>https://airsblobstage.blob.core.windows.net/photo/purchasephoto/GE90966Q.webp</t>
  </si>
  <si>
    <t>2621834001</t>
  </si>
  <si>
    <t>GE90966Q</t>
  </si>
  <si>
    <t>122-90966Q</t>
  </si>
  <si>
    <t>90966Q</t>
  </si>
  <si>
    <t>鬆緊腰抽繩綁帶側拼接開衩短褲裙</t>
  </si>
  <si>
    <t>與90965Q成套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</si>
  <si>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2621834001035001</t>
  </si>
  <si>
    <t>R260506035</t>
  </si>
  <si>
    <t>2621834001035002</t>
  </si>
  <si>
    <t>2621834001035003</t>
  </si>
  <si>
    <t>https://airsblobstage.blob.core.windows.net/photo/purchasephoto/GT9083Q.webp</t>
  </si>
  <si>
    <t>2621829002</t>
  </si>
  <si>
    <t>GT9083Q</t>
  </si>
  <si>
    <t>131-9083Q</t>
  </si>
  <si>
    <t>9083Q</t>
  </si>
  <si>
    <t>翻領雙向拉鍊短袖短版羅紋針織衫</t>
  </si>
  <si>
    <t>短袖短版合身針織</t>
  </si>
  <si>
    <t>與9084Q成套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</si>
  <si>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主紗:嫘縈90%尼龍10%
尺寸:S.M</t>
  </si>
  <si>
    <t>2621829002002001</t>
  </si>
  <si>
    <t>R260506037</t>
  </si>
  <si>
    <t>2621829002002002</t>
  </si>
  <si>
    <t>2621829002210001</t>
  </si>
  <si>
    <t>2621829002210002</t>
  </si>
  <si>
    <t>含可拆一體式胸棉1.3CM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</si>
  <si>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https://airsblobstage.blob.core.windows.net/photo/purchasephoto/ICH3505A.webp</t>
  </si>
  <si>
    <t>2620722003</t>
  </si>
  <si>
    <t>ICH3505A</t>
  </si>
  <si>
    <t>151-3505A</t>
  </si>
  <si>
    <t>3505A</t>
  </si>
  <si>
    <t>【奇蹟黑繃帶輕塑】高腰車褶線前修身直筒長裙</t>
  </si>
  <si>
    <t xml:space="preserve">跟ICH3504A搭一套 
企劃:修身線條系列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</si>
  <si>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表布:聚酯纖維90%彈性纖維10% 
尺寸:S、S+、M、M+、L</t>
  </si>
  <si>
    <t>2621821001002001</t>
  </si>
  <si>
    <t>R260506047</t>
  </si>
  <si>
    <t>2621821001002002</t>
  </si>
  <si>
    <t>2621821001002003</t>
  </si>
  <si>
    <t>https://airsblobstage.blob.core.windows.net/photo/purchasephoto/ICH3522Q.webp</t>
  </si>
  <si>
    <t>2621822001</t>
  </si>
  <si>
    <t>ICH3522Q</t>
  </si>
  <si>
    <t>151-3522Q</t>
  </si>
  <si>
    <t>3522Q</t>
  </si>
  <si>
    <t>鬆緊腰花苞短裙 素色款/條紋款</t>
  </si>
  <si>
    <t>素面表布:聚酯纖維58%嫘縈36%彈性纖維6%
條紋表布:聚酯纖維78%嫘縈18%彈性纖維4%
裡布:聚酯纖維97%彈性纖維3%
尺寸:S.M.L</t>
  </si>
  <si>
    <t>2621822001002001</t>
  </si>
  <si>
    <t>R260506048</t>
  </si>
  <si>
    <t>2621822001002002</t>
  </si>
  <si>
    <t>2621822001002003</t>
  </si>
  <si>
    <t>https://airsblobstage.blob.core.windows.net/photo/purchasephoto/PY18040.webp</t>
  </si>
  <si>
    <t>2620121020</t>
  </si>
  <si>
    <t>PY18040</t>
  </si>
  <si>
    <t>6-18040</t>
  </si>
  <si>
    <t>18040</t>
  </si>
  <si>
    <t>U領綁帶荷葉邊縮褶拼接羅紋短袖短版上衣</t>
  </si>
  <si>
    <t>表布:聚酯纖維93% 彈性纖維7%
尺寸:S M L</t>
  </si>
  <si>
    <t>2620121020002001</t>
  </si>
  <si>
    <t>R260506050</t>
  </si>
  <si>
    <t>2620121020002002</t>
  </si>
  <si>
    <t>2620121020002003</t>
  </si>
  <si>
    <t>2620121020035001</t>
  </si>
  <si>
    <t>2620121020035002</t>
  </si>
  <si>
    <t>2620121020035003</t>
  </si>
  <si>
    <t>https://airsblobstage.blob.core.windows.net/photo/purchasephoto/PY18040F.webp</t>
  </si>
  <si>
    <t>2620821026</t>
  </si>
  <si>
    <t>PY18040F</t>
  </si>
  <si>
    <t>6-18040F</t>
  </si>
  <si>
    <t>18040F</t>
  </si>
  <si>
    <t>黑A+獨家色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</si>
  <si>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表布:聚酯纖維93%彈性纖維7%
尺寸:XL.2XL.3XL</t>
  </si>
  <si>
    <t>2620821026035005</t>
  </si>
  <si>
    <t>R260506051</t>
  </si>
  <si>
    <t>2620821026035007</t>
  </si>
  <si>
    <t>2620821026035006</t>
  </si>
  <si>
    <t>R260506052</t>
  </si>
  <si>
    <t>R260506054</t>
  </si>
  <si>
    <t>https://airsblobstage.blob.core.windows.net/photo/purchasephoto/WX1107A.webp</t>
  </si>
  <si>
    <t>2620729001</t>
  </si>
  <si>
    <t>WX1107A</t>
  </si>
  <si>
    <t>337-1107A</t>
  </si>
  <si>
    <t>1107A</t>
  </si>
  <si>
    <t>假兩件繞頸坦克背心扭結短袖短版針織衫</t>
  </si>
  <si>
    <t xml:space="preserve">假兩件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</si>
  <si>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2620729001002001</t>
  </si>
  <si>
    <t>R260506059</t>
  </si>
  <si>
    <t>2620729001002002</t>
  </si>
  <si>
    <t>2620729001017001</t>
  </si>
  <si>
    <t>2620729001017002</t>
  </si>
  <si>
    <t>2620122001017001</t>
  </si>
  <si>
    <t>R260506061</t>
  </si>
  <si>
    <t>2620122001017002</t>
  </si>
  <si>
    <t>2620122001017003</t>
  </si>
  <si>
    <t>R260506065</t>
  </si>
  <si>
    <t>R260506069</t>
  </si>
  <si>
    <t>https://airsblobstage.blob.core.windows.net/photo/purchasephoto/XY62804A.webp</t>
  </si>
  <si>
    <t>2620723001</t>
  </si>
  <si>
    <t>XY62804A</t>
  </si>
  <si>
    <t>297-62804A</t>
  </si>
  <si>
    <t>62804A</t>
  </si>
  <si>
    <t>中低腰反摺褲管斜紋短褲</t>
  </si>
  <si>
    <t xml:space="preserve">中低腰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</si>
  <si>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https://airsblobstage.blob.core.windows.net/photo/purchasephoto/XY62815.webp</t>
  </si>
  <si>
    <t>2620121025</t>
  </si>
  <si>
    <t>XY62815</t>
  </si>
  <si>
    <t>297-62815</t>
  </si>
  <si>
    <t>62815</t>
  </si>
  <si>
    <t>假兩件桃心領花紋刺繡透膚雪紡繞頸綁帶傘擺背心(附胸墊)</t>
  </si>
  <si>
    <t>含可拆一體式胸棉1.3CM  假兩件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</si>
  <si>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表布:聚酯纖維100% 配布:聚酯纖維95% 彈性纖維5% 裡布:聚酯纖維100% 罩杯裡層材質:聚酯纖維100%
尺寸:S M L</t>
  </si>
  <si>
    <t>R260506071</t>
  </si>
  <si>
    <t>2620121025002001</t>
  </si>
  <si>
    <t>2620121025002002</t>
  </si>
  <si>
    <t>2620121025002003</t>
  </si>
  <si>
    <t>https://airsblobstage.blob.core.windows.net/photo/purchasephoto/XY62819Q.webp</t>
  </si>
  <si>
    <t>2621826001</t>
  </si>
  <si>
    <t>XY62819Q</t>
  </si>
  <si>
    <t>297-62819Q</t>
  </si>
  <si>
    <t>62819Q</t>
  </si>
  <si>
    <t>愛心線條織紋長袖短版連帽拉鍊外套</t>
  </si>
  <si>
    <t>合身外套</t>
  </si>
  <si>
    <t>雙頭拉鍊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</si>
  <si>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2號袋、襯紙、C18-藍色雙面愛心織標</t>
  </si>
  <si>
    <t>2621826001002001</t>
  </si>
  <si>
    <t>R260506072</t>
  </si>
  <si>
    <t>2621826001002002</t>
  </si>
  <si>
    <t>2621826001002003</t>
  </si>
  <si>
    <t>https://airsblobstage.blob.core.windows.net/photo/purchasephoto/ZX11402A.webp</t>
  </si>
  <si>
    <t>2620723002</t>
  </si>
  <si>
    <t>ZX11402A</t>
  </si>
  <si>
    <t>331-11402A</t>
  </si>
  <si>
    <t>11402A</t>
  </si>
  <si>
    <t>簡約雙褶寬管長褲</t>
  </si>
  <si>
    <t xml:space="preserve">跟ZX11398A搭一套、正常腰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</si>
  <si>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表布:聚酯纖維65%嫘縈30%彈性纖維5%
尺寸:S、M、L</t>
  </si>
  <si>
    <t>2620723002006001</t>
  </si>
  <si>
    <t>R260506077</t>
  </si>
  <si>
    <t>2620723002006002</t>
  </si>
  <si>
    <t>2620723002006003</t>
  </si>
  <si>
    <t>2620723002210001</t>
  </si>
  <si>
    <t>2620723002210002</t>
  </si>
  <si>
    <t>2620723002210003</t>
  </si>
  <si>
    <t>https://airsblobstage.blob.core.windows.net/photo/purchasephoto/ZX11419.webp</t>
  </si>
  <si>
    <t>2620121022</t>
  </si>
  <si>
    <t>ZX11419</t>
  </si>
  <si>
    <t>331-11419</t>
  </si>
  <si>
    <t>11419</t>
  </si>
  <si>
    <t>鈕扣抓褶後扭結透膚雪紡拼接線條紋理長袖襯衫</t>
  </si>
  <si>
    <t>表布:棉100% 配布:聚酯纖維100%
尺寸:F</t>
  </si>
  <si>
    <t>2620121022002004</t>
  </si>
  <si>
    <t>R260506079</t>
  </si>
  <si>
    <t>2620121022003004</t>
  </si>
  <si>
    <t>https://airsblobstage.blob.core.windows.net/photo/purchasephoto/20260801007.webp</t>
  </si>
  <si>
    <t>JL</t>
  </si>
  <si>
    <t>2620110027</t>
  </si>
  <si>
    <t>JLPA26002</t>
  </si>
  <si>
    <t>160-JLPA26002</t>
  </si>
  <si>
    <t>人間芭比 高腰傘襬束腹短褲裙</t>
  </si>
  <si>
    <t>高腰泳褲</t>
  </si>
  <si>
    <t>內編33</t>
  </si>
  <si>
    <t>黑.酒紅.藍綠
"表:尼龍 80% 
彈性纖維20% 
裡:尼龍77% 
彈性纖維 :23%
白
"表: 聚酯纖維82% 
彈性纖維18% 
裡:尼龍77% 
彈性纖維:23%</t>
  </si>
  <si>
    <t>2620110027001005</t>
  </si>
  <si>
    <t>2620110027001003</t>
  </si>
  <si>
    <t>2620110027002005</t>
  </si>
  <si>
    <t>2620110027002003</t>
  </si>
  <si>
    <t>內編25</t>
  </si>
  <si>
    <t>https://airsblobstage.blob.core.windows.net/photo/purchasephoto/圖片_20251201182557.webp</t>
  </si>
  <si>
    <t>2620110030</t>
  </si>
  <si>
    <t>SRSBI26003</t>
  </si>
  <si>
    <t>259-SRSBI26003</t>
  </si>
  <si>
    <t>DOUBLE PUSH2.0極致包覆立體織紋抓皺抽繩比基尼</t>
  </si>
  <si>
    <t xml:space="preserve">黑色,米白"表: 聚酯纖維96%   彈性纖維4% 罩杯: PU 泡棉"	
				</t>
  </si>
  <si>
    <t>2620110030019005</t>
  </si>
  <si>
    <t>2620110030019001</t>
  </si>
  <si>
    <t>2620110030019002</t>
  </si>
  <si>
    <t>2620110030019003</t>
  </si>
  <si>
    <t>https://airsblobstage.blob.core.windows.net/photo/purchasephoto/WeChat 截圖_20260119153927.webp</t>
  </si>
  <si>
    <t>2620110022</t>
  </si>
  <si>
    <t>SRSBI26007</t>
  </si>
  <si>
    <t>259-SRSBI26007</t>
  </si>
  <si>
    <t>DOUBLE PUSH 羅紋綁帶比基尼</t>
  </si>
  <si>
    <t>表:  聚酯纖維95% 
彈性纖維5%  
裡:尼龍 82% 
彈性纖維18%  
罩杯:PU泡棉</t>
  </si>
  <si>
    <t>R260506084</t>
  </si>
  <si>
    <t>2620110022010005</t>
  </si>
  <si>
    <t>2620110022010001</t>
  </si>
  <si>
    <t>2620110022010002</t>
  </si>
  <si>
    <t>2620110022010003</t>
  </si>
  <si>
    <t>2620110022010012</t>
  </si>
  <si>
    <t>2620110022010011</t>
  </si>
  <si>
    <t>https://airsblobstage.blob.core.windows.net/photo/purchasephoto/WeChat 截圖_20260120101133.webp</t>
  </si>
  <si>
    <t>2620110023</t>
  </si>
  <si>
    <t>SRSPA26010</t>
  </si>
  <si>
    <t>259-SRSPA26010</t>
  </si>
  <si>
    <t>低腰側綁帶純色泳褲</t>
  </si>
  <si>
    <t>2026-06-08 09:00:00</t>
  </si>
  <si>
    <t xml:space="preserve">內編 17
</t>
  </si>
  <si>
    <t>表:  聚酯纖維95% 
彈性纖維5%  
裡: 尼龍 82%
 彈性纖維18%</t>
  </si>
  <si>
    <t>2620110023010001</t>
  </si>
  <si>
    <t>2620110023010002</t>
  </si>
  <si>
    <t>https://airsblobstage.blob.core.windows.net/photo/purchasephoto/圖片_20260119084724.webp</t>
  </si>
  <si>
    <t>2620110049</t>
  </si>
  <si>
    <t>SRSPA26012</t>
  </si>
  <si>
    <t>259-SRSPA26012</t>
  </si>
  <si>
    <t>低腰細緻紋理雙側綁帶泳褲</t>
  </si>
  <si>
    <t>內編 16</t>
  </si>
  <si>
    <t>表: 聚酯纖維96%   
彈性纖維4% 
裡: 尼龍 82%
 彈性纖維18%</t>
  </si>
  <si>
    <t>2620110049019001</t>
  </si>
  <si>
    <t>2620110049019002</t>
  </si>
  <si>
    <t>2620110049019003</t>
  </si>
  <si>
    <t>20260522</t>
  </si>
  <si>
    <t>R260511002</t>
  </si>
  <si>
    <t>R260511004</t>
  </si>
  <si>
    <t>R260511036</t>
  </si>
  <si>
    <t>R260512004</t>
  </si>
  <si>
    <t>R260513022</t>
  </si>
  <si>
    <t>https://airsblobstage.blob.core.windows.net/photo/purchasephoto/AF12528QC.webp</t>
  </si>
  <si>
    <t>2621825001</t>
  </si>
  <si>
    <t>AF12528QC</t>
  </si>
  <si>
    <t>10-12528QC</t>
  </si>
  <si>
    <t>12528QC</t>
  </si>
  <si>
    <t>【樂一通】 崔弟款印花金屬扣眼裝飾流浪包</t>
  </si>
  <si>
    <t>2號袋、襯紙、D14-崔弟吊牌、F40-樂一通織標1、條碼吊牌上備註長寬24*18.5跟製造日期2025年12月</t>
  </si>
  <si>
    <t>表布:聚酯纖維60%棉40%
裡布:棉94%彈性纖維6%
尺寸:F</t>
  </si>
  <si>
    <t>2621825001035004</t>
  </si>
  <si>
    <t>R260513024</t>
  </si>
  <si>
    <t>R260513026</t>
  </si>
  <si>
    <t>https://airsblobstage.blob.core.windows.net/photo/purchasephoto/ZX11405Q.webp</t>
  </si>
  <si>
    <t>2621821025</t>
  </si>
  <si>
    <t>ZX11405Q</t>
  </si>
  <si>
    <t>331-11405Q</t>
  </si>
  <si>
    <t>11405Q</t>
  </si>
  <si>
    <t>V領荷葉交疊雙層傘擺雪紡格紋細肩帶上衣</t>
  </si>
  <si>
    <t>W20</t>
  </si>
  <si>
    <t>2026-05-11</t>
  </si>
  <si>
    <t>表布:聚酯纖維100%
裡布:聚酯纖維100%
尺寸:S.M.L</t>
  </si>
  <si>
    <t>2621821025001001</t>
  </si>
  <si>
    <t>R260513035</t>
  </si>
  <si>
    <t>2621821025001002</t>
  </si>
  <si>
    <t>2621821025001003</t>
  </si>
  <si>
    <t>2621821025017001</t>
  </si>
  <si>
    <t>2621821025017002</t>
  </si>
  <si>
    <t>2621821025017003</t>
  </si>
  <si>
    <t>https://airsblobstage.blob.core.windows.net/photo/purchasephoto/ZX11406A.webp</t>
  </si>
  <si>
    <t>2620724005</t>
  </si>
  <si>
    <t>ZX11406A</t>
  </si>
  <si>
    <t>331-11406A</t>
  </si>
  <si>
    <t>11406A</t>
  </si>
  <si>
    <t>美背鏤空抓摺後開衩皺褶紋理細肩帶長洋裝(附胸墊)</t>
  </si>
  <si>
    <t xml:space="preserve">含可拆胸棉1.3CM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</si>
  <si>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表布:聚酯纖維98%彈性纖維2%
配布:聚酯纖維100%
罩杯內層材質:聚酯纖維100%
尺寸:S、M、L</t>
  </si>
  <si>
    <t>2620724005002001</t>
  </si>
  <si>
    <t>R260513036</t>
  </si>
  <si>
    <t>2620724005002002</t>
  </si>
  <si>
    <t>2620724005002003</t>
  </si>
  <si>
    <t>2620724005017001</t>
  </si>
  <si>
    <t>2620724005017002</t>
  </si>
  <si>
    <t>2620724005017003</t>
  </si>
  <si>
    <t>https://airsblobstage.blob.core.windows.net/photo/purchasephoto/ZX11419F.webp</t>
  </si>
  <si>
    <t>2620821030</t>
  </si>
  <si>
    <t>ZX11419F</t>
  </si>
  <si>
    <t>331-11419F</t>
  </si>
  <si>
    <t>11419F</t>
  </si>
  <si>
    <t>黑色A+獨家色、兩穿(腰部調節釦可開)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</si>
  <si>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表布:棉100%配布:聚酯纖維100%
尺寸:FF</t>
  </si>
  <si>
    <t>2620821030002009</t>
  </si>
  <si>
    <t>R260513038</t>
  </si>
  <si>
    <t>表布:聚酯纖維100% 裡布:聚酯纖維100%
尺寸:S M L</t>
  </si>
  <si>
    <t>2620722003001017</t>
  </si>
  <si>
    <t>R260513046</t>
  </si>
  <si>
    <t>2620722003001001</t>
  </si>
  <si>
    <t>2620722003001018</t>
  </si>
  <si>
    <t>2620722003001002</t>
  </si>
  <si>
    <t>2620722003001003</t>
  </si>
  <si>
    <t>https://airsblobstage.blob.core.windows.net/photo/purchasephoto/ICH3520Q.webp</t>
  </si>
  <si>
    <t>2621823007</t>
  </si>
  <si>
    <t>ICH3520Q</t>
  </si>
  <si>
    <t>151-3520Q</t>
  </si>
  <si>
    <t>3520Q</t>
  </si>
  <si>
    <t>高腰繫帶斜紋休閒短褲</t>
  </si>
  <si>
    <t>高腰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</si>
  <si>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2621823007001001</t>
  </si>
  <si>
    <t>R260513050</t>
  </si>
  <si>
    <t>2621823007001002</t>
  </si>
  <si>
    <t>2621823007001003</t>
  </si>
  <si>
    <t>2621823007002001</t>
  </si>
  <si>
    <t>2621823007002002</t>
  </si>
  <si>
    <t>2621823007002003</t>
  </si>
  <si>
    <t>R260513053</t>
  </si>
  <si>
    <t>R260513060</t>
  </si>
  <si>
    <t>R260513062</t>
  </si>
  <si>
    <t>https://airsblobstage.blob.core.windows.net/photo/purchasephoto/EB19767Q.webp</t>
  </si>
  <si>
    <t>2621823001</t>
  </si>
  <si>
    <t>EB19767Q</t>
  </si>
  <si>
    <t>83-19767Q</t>
  </si>
  <si>
    <t>19767Q</t>
  </si>
  <si>
    <t>低腰修身小喇叭水洗牛仔褲</t>
  </si>
  <si>
    <t>表布:棉70%聚酯纖維28%彈性纖維2%
尺寸:S.M.L</t>
  </si>
  <si>
    <t>2621823001996001</t>
  </si>
  <si>
    <t>R260513065</t>
  </si>
  <si>
    <t>2621823001996002</t>
  </si>
  <si>
    <t>2621823001996003</t>
  </si>
  <si>
    <t>R260513066</t>
  </si>
  <si>
    <t>https://airsblobstage.blob.core.windows.net/photo/purchasephoto/EB19826Q.webp</t>
  </si>
  <si>
    <t>2621821023</t>
  </si>
  <si>
    <t>EB19826Q</t>
  </si>
  <si>
    <t>83-19826Q</t>
  </si>
  <si>
    <t>19826Q</t>
  </si>
  <si>
    <t>愛心刺繡圓領短袖撞色木耳邊短版上衣</t>
  </si>
  <si>
    <t>表布:聚酯纖維75%嫘縈17%彈性纖維8%
尺寸:S.M.L</t>
  </si>
  <si>
    <t>2621821023035001</t>
  </si>
  <si>
    <t>R260513070</t>
  </si>
  <si>
    <t>2621821023035002</t>
  </si>
  <si>
    <t>2621821023035003</t>
  </si>
  <si>
    <t>2620721007002001</t>
  </si>
  <si>
    <t>R260513071</t>
  </si>
  <si>
    <t>2620721007002002</t>
  </si>
  <si>
    <t>2620721007002003</t>
  </si>
  <si>
    <t>https://airsblobstage.blob.core.windows.net/photo/purchasephoto/GT9069Q.webp</t>
  </si>
  <si>
    <t>2621829003</t>
  </si>
  <si>
    <t>GT9069Q</t>
  </si>
  <si>
    <t>131-9069Q</t>
  </si>
  <si>
    <t>9069Q</t>
  </si>
  <si>
    <t>荷葉下擺側抓皺條紋平口針織背心(附胸墊)</t>
  </si>
  <si>
    <t>無肩帶合身內衣背心</t>
  </si>
  <si>
    <t>主紗:亞克力纖維55%棉45%
罩杯內層材質:聚酯纖維100%
尺寸:S.M</t>
  </si>
  <si>
    <t>2621829003002001</t>
  </si>
  <si>
    <t>R260513076</t>
  </si>
  <si>
    <t>2621829003002002</t>
  </si>
  <si>
    <t>https://airsblobstage.blob.core.windows.net/photo/purchasephoto/GT9078.webp</t>
  </si>
  <si>
    <t>2620121024</t>
  </si>
  <si>
    <t>GT9078</t>
  </si>
  <si>
    <t>131-9078</t>
  </si>
  <si>
    <t>9078</t>
  </si>
  <si>
    <t>小香風圓領打褶澎袖愛心排扣短版外套</t>
  </si>
  <si>
    <t>2620121024002001</t>
  </si>
  <si>
    <t>R260513077</t>
  </si>
  <si>
    <t>2620121024002002</t>
  </si>
  <si>
    <t>2620121024002003</t>
  </si>
  <si>
    <t>2620121024996001</t>
  </si>
  <si>
    <t>2620121024996002</t>
  </si>
  <si>
    <t>2620121024996003</t>
  </si>
  <si>
    <t>https://airsblobstage.blob.core.windows.net/photo/purchasephoto/GT9088.webp</t>
  </si>
  <si>
    <t>2620122004</t>
  </si>
  <si>
    <t>GT9088</t>
  </si>
  <si>
    <t>131-9088</t>
  </si>
  <si>
    <t>9088</t>
  </si>
  <si>
    <t>小香風鍊帶滾邊口袋短褲</t>
  </si>
  <si>
    <t>表布:聚酯纖維100%
尺寸:S M L</t>
  </si>
  <si>
    <t>2620122004002001</t>
  </si>
  <si>
    <t>R260513078</t>
  </si>
  <si>
    <t>2620122004002002</t>
  </si>
  <si>
    <t>2620122004002003</t>
  </si>
  <si>
    <t>2620122004996001</t>
  </si>
  <si>
    <t>2620122004996002</t>
  </si>
  <si>
    <t>2620122004996003</t>
  </si>
  <si>
    <t>2620723001002001</t>
  </si>
  <si>
    <t>R260513084</t>
  </si>
  <si>
    <t>2620723001002002</t>
  </si>
  <si>
    <t>2620723001002003</t>
  </si>
  <si>
    <t>含可拆胸棉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</si>
  <si>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https://airsblobstage.blob.core.windows.net/photo/purchasephoto/XY62846Q.webp</t>
  </si>
  <si>
    <t>2621822004</t>
  </si>
  <si>
    <t>XY62846Q</t>
  </si>
  <si>
    <t>297-62846Q</t>
  </si>
  <si>
    <t>62846Q</t>
  </si>
  <si>
    <t>前開衩不收邊直筒斜紋長裙</t>
  </si>
  <si>
    <t>與62845Q成套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</si>
  <si>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表布:棉100%
尺寸:S.S+.M.M+.L.L+</t>
  </si>
  <si>
    <t>2621822004017017</t>
  </si>
  <si>
    <t>R260513089</t>
  </si>
  <si>
    <t>2621822004017001</t>
  </si>
  <si>
    <t>2621822004017018</t>
  </si>
  <si>
    <t>2621822004017002</t>
  </si>
  <si>
    <t>L+</t>
  </si>
  <si>
    <t>2621822004017019</t>
  </si>
  <si>
    <t>2621822004017003</t>
  </si>
  <si>
    <t>R260513093</t>
  </si>
  <si>
    <t>https://airsblobstage.blob.core.windows.net/photo/purchasephoto/MS67855F.webp</t>
  </si>
  <si>
    <t>2620821027</t>
  </si>
  <si>
    <t>MS67855F</t>
  </si>
  <si>
    <t>213-67855F</t>
  </si>
  <si>
    <t>67855F</t>
  </si>
  <si>
    <t>V領細肩帶珍珠點綴網紗傘擺背心罩衫</t>
  </si>
  <si>
    <t>A+獨家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</si>
  <si>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2620821027001005</t>
  </si>
  <si>
    <t>R260513095</t>
  </si>
  <si>
    <t>2620821027001007</t>
  </si>
  <si>
    <t>2620821027001006</t>
  </si>
  <si>
    <t>R260513097</t>
  </si>
  <si>
    <t>2611821003001001</t>
  </si>
  <si>
    <t>R260513099</t>
  </si>
  <si>
    <t>2611821003001002</t>
  </si>
  <si>
    <t>2611821003001003</t>
  </si>
  <si>
    <t>2611821003006001</t>
  </si>
  <si>
    <t>2611821003006002</t>
  </si>
  <si>
    <t>2611821003006003</t>
  </si>
  <si>
    <t>https://airsblobstage.blob.core.windows.net/photo/purchasephoto/SHY2604QC .webp</t>
  </si>
  <si>
    <t>2611825012</t>
  </si>
  <si>
    <t>SHY2604QC</t>
  </si>
  <si>
    <t>406-2604QC</t>
  </si>
  <si>
    <t>2604QC</t>
  </si>
  <si>
    <t>【樂一通】 崔弟款佩斯利風格絲巾</t>
  </si>
  <si>
    <t>絲巾</t>
  </si>
  <si>
    <t xml:space="preserve">崔弟聯名小物(兩色)
尺寸: 長68.5CM * 寬68.5CM
</t>
  </si>
  <si>
    <t>包裝: 1號袋+聯名吊牌+Lady吊牌+條碼吊牌 (帝一)
側股車鏢 : 聯名織標+領標 +洗標+成分標 (帝一)</t>
  </si>
  <si>
    <t>材質: 96%聚酯纖維+4%彈力纖維
尺寸: F</t>
  </si>
  <si>
    <t>2611825012008004</t>
  </si>
  <si>
    <t>R260513100</t>
  </si>
  <si>
    <t>2611825012010004</t>
  </si>
  <si>
    <t>R260513101</t>
  </si>
  <si>
    <t>R260513106</t>
  </si>
  <si>
    <t>R260513113</t>
  </si>
  <si>
    <t>2620110027001002</t>
  </si>
  <si>
    <t>2620110027001011</t>
  </si>
  <si>
    <t>R260514003</t>
  </si>
  <si>
    <t>R260518002</t>
  </si>
  <si>
    <t>https://airsblobstage.blob.core.windows.net/photo/purchasephoto/ZX11411.webp</t>
  </si>
  <si>
    <t>2620121010</t>
  </si>
  <si>
    <t>ZX11411</t>
  </si>
  <si>
    <t>331-11411</t>
  </si>
  <si>
    <t>20260519</t>
  </si>
  <si>
    <t>11411</t>
  </si>
  <si>
    <t>【三麗鷗聯名】美背透紗貼布繡寬版襯衫</t>
  </si>
  <si>
    <t>20260602</t>
  </si>
  <si>
    <t>表布:聚酯纖維80% 棉20% 配布:聚酯纖維100%
尺寸:F</t>
  </si>
  <si>
    <t>2620121010015004</t>
  </si>
  <si>
    <t>https://airsblobstage.blob.core.windows.net/photo/purchasephoto/EB19694.webp</t>
  </si>
  <si>
    <t>2620121009</t>
  </si>
  <si>
    <t>EB19694</t>
  </si>
  <si>
    <t>83-19694</t>
  </si>
  <si>
    <t>19694</t>
  </si>
  <si>
    <t>【三麗鷗聯名】刺繡圖案字母平口上衣(附胸墊)</t>
  </si>
  <si>
    <t>表布:棉95% 彈性纖維5% 裡布:聚酯纖維100% 罩杯裡層材質:聚酯纖維100%
尺寸:S M L</t>
  </si>
  <si>
    <t>2620121009002001</t>
  </si>
  <si>
    <t>R260519010</t>
  </si>
  <si>
    <t>2620121009002002</t>
  </si>
  <si>
    <t>2620121009002003</t>
  </si>
  <si>
    <t>https://airsblobstage.blob.core.windows.net/photo/purchasephoto/EB19694F.webp</t>
  </si>
  <si>
    <t>2620821010</t>
  </si>
  <si>
    <t>EB19694F</t>
  </si>
  <si>
    <t>83-19694F</t>
  </si>
  <si>
    <t>19694F</t>
  </si>
  <si>
    <t>26SS KT聯名、A+訂製胸棉、含可拆一體式胸棉1CM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</si>
  <si>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表布:棉95%彈性纖維5%裡布:聚酯纖維100%罩杯裡層材質:聚酯纖維100%
尺寸:XL.2XL.3XL</t>
  </si>
  <si>
    <t>2620821010002005</t>
  </si>
  <si>
    <t>R260519011</t>
  </si>
  <si>
    <t>2620821010002007</t>
  </si>
  <si>
    <t>2620821010002006</t>
  </si>
  <si>
    <t>https://airsblobstage.blob.core.windows.net/photo/purchasephoto/EB19789.webp</t>
  </si>
  <si>
    <t>2620121017</t>
  </si>
  <si>
    <t>EB19789</t>
  </si>
  <si>
    <t>83-19789</t>
  </si>
  <si>
    <t>19789</t>
  </si>
  <si>
    <t>【三麗鷗聯名】不對稱領單袖扭結側綁帶印花短版上衣</t>
  </si>
  <si>
    <t>26SS KITTY聯名 26KT蝴蝶結吊卡 26KT蝴蝶結織標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黑色款因染製過程吸收較高染料濃度，相較於白色(原色)觸感會略顯緊實，此屬正常現象。經洗滌後即可逐漸還原親膚柔軟度。</t>
  </si>
  <si>
    <t>表布:棉95% 彈性纖維5%
尺寸:S M L</t>
  </si>
  <si>
    <t>2620121017001001</t>
  </si>
  <si>
    <t>2620121017001002</t>
  </si>
  <si>
    <t>2620121017001003</t>
  </si>
  <si>
    <t>https://airsblobstage.blob.core.windows.net/photo/purchasephoto/EB19919.webp</t>
  </si>
  <si>
    <t>2620121008</t>
  </si>
  <si>
    <t>EB19919</t>
  </si>
  <si>
    <t>83-19919</t>
  </si>
  <si>
    <t>19919</t>
  </si>
  <si>
    <t>【三麗鷗聯名】烤焦版KITTY前後印花短袖寬版TEE</t>
  </si>
  <si>
    <t>2620121008001004</t>
  </si>
  <si>
    <t>R260519013</t>
  </si>
  <si>
    <t>2620121008002004</t>
  </si>
  <si>
    <t>https://airsblobstage.blob.core.windows.net/photo/purchasephoto/EB19919F.webp</t>
  </si>
  <si>
    <t>2620821017</t>
  </si>
  <si>
    <t>EB19919F</t>
  </si>
  <si>
    <t>83-19919F</t>
  </si>
  <si>
    <t>19919F</t>
  </si>
  <si>
    <t>26SS KT聯名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
※ 黑色款因染製過程吸收較高染料濃度，相較於白色(原色)觸感會略顯緊實，此屬正常現象。經洗滌後即可逐漸還原親膚柔軟度。</t>
  </si>
  <si>
    <t>2620821017001009</t>
  </si>
  <si>
    <t>https://airsblobstage.blob.core.windows.net/photo/purchasephoto/GE00716.webp</t>
  </si>
  <si>
    <t>2620129003</t>
  </si>
  <si>
    <t>GE00716</t>
  </si>
  <si>
    <t>122-00716</t>
  </si>
  <si>
    <t>00716</t>
  </si>
  <si>
    <t>【三麗鷗聯名】KITTY刺繡圖案圓領小花排扣短袖開襟針織衫</t>
  </si>
  <si>
    <t>主紗:嫘縈100%
尺寸:S M L</t>
  </si>
  <si>
    <t>2620129003002001</t>
  </si>
  <si>
    <t>R260519015</t>
  </si>
  <si>
    <t>2620129003002002</t>
  </si>
  <si>
    <t>2620129003002003</t>
  </si>
  <si>
    <t>26SS KT聯名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</si>
  <si>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https://airsblobstage.blob.core.windows.net/photo/purchasephoto/XY62810.webp</t>
  </si>
  <si>
    <t>2620122002</t>
  </si>
  <si>
    <t>XY62810</t>
  </si>
  <si>
    <t>297-62810</t>
  </si>
  <si>
    <t>62810</t>
  </si>
  <si>
    <t>【三麗鷗聯名】 KITTY印花字母水洗牛仔短裙</t>
  </si>
  <si>
    <t xml:space="preserve">表布:棉80%聚酯纖維20%
裡布:聚酯纖維100%
尺寸:S M L
</t>
  </si>
  <si>
    <t>2620122002996001</t>
  </si>
  <si>
    <t>R260519018</t>
  </si>
  <si>
    <t>2620122002996002</t>
  </si>
  <si>
    <t>2620122002996003</t>
  </si>
  <si>
    <t>https://airsblobstage.blob.core.windows.net/photo/purchasephoto/X62810F.webp</t>
  </si>
  <si>
    <t>2620822002</t>
  </si>
  <si>
    <t>XY62810F</t>
  </si>
  <si>
    <t>297-62810F</t>
  </si>
  <si>
    <t>62810F</t>
  </si>
  <si>
    <t>26SS KT聯名、內裡有褲裡、後腰橡筋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</si>
  <si>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2號袋、襯紙、A02-B釦、F36-26KT蝴蝶結織標、D12-26KT蝴蝶結吊卡</t>
  </si>
  <si>
    <t>表布:棉80%聚酯纖維20%
裡布:聚酯纖維100%
尺寸:XL.2XL.3XL</t>
  </si>
  <si>
    <t>2620822002996005</t>
  </si>
  <si>
    <t>R260519019</t>
  </si>
  <si>
    <t>2620822002996007</t>
  </si>
  <si>
    <t>2620822002996006</t>
  </si>
  <si>
    <t>R260519020</t>
  </si>
  <si>
    <t>https://airsblobstage.blob.core.windows.net/photo/purchasephoto/XY8903C.webp</t>
  </si>
  <si>
    <t>2620125002</t>
  </si>
  <si>
    <t>XY8903C</t>
  </si>
  <si>
    <t>297-8903C</t>
  </si>
  <si>
    <t>8903C</t>
  </si>
  <si>
    <t>【三麗鷗聯名】 烤焦版KITTY貼布繡毛織肩背包 素色款/條紋款</t>
  </si>
  <si>
    <t>主紗:聚酯纖維40% 亞克力纖維40% 萊賽爾纖維20%
尺寸:F  寬35.5*長56</t>
  </si>
  <si>
    <t>2620125002006004</t>
  </si>
  <si>
    <t>R260519021</t>
  </si>
  <si>
    <t>2620125002017004</t>
  </si>
  <si>
    <t>R260519022</t>
  </si>
  <si>
    <t>R260519023</t>
  </si>
  <si>
    <t>https://airsblobstage.blob.core.windows.net/photo/purchasephoto/JY0045.webp</t>
  </si>
  <si>
    <t>JY</t>
  </si>
  <si>
    <t>2620129005</t>
  </si>
  <si>
    <t>JY0045</t>
  </si>
  <si>
    <t>401-0045</t>
  </si>
  <si>
    <t>0045</t>
  </si>
  <si>
    <t>【三麗鷗聯名】KITTY貼布繡圓領長袖網格針織衫</t>
  </si>
  <si>
    <t>長袖短版寬鬆針織</t>
  </si>
  <si>
    <t>2620129005002004</t>
  </si>
  <si>
    <t>R260519024</t>
  </si>
  <si>
    <t>2620129005015004</t>
  </si>
  <si>
    <t>https://airsblobstage.blob.core.windows.net/photo/purchasephoto/JY0045F.webp</t>
  </si>
  <si>
    <t>2620829006</t>
  </si>
  <si>
    <t>JY0045F</t>
  </si>
  <si>
    <t>401-0045F</t>
  </si>
  <si>
    <t>0045F</t>
  </si>
  <si>
    <t>26SS KT聯名、兩穿(斜肩)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</si>
  <si>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2620829006002005</t>
  </si>
  <si>
    <t>R260519025</t>
  </si>
  <si>
    <t>2620829006002006</t>
  </si>
  <si>
    <t>2620829006015005</t>
  </si>
  <si>
    <t>2620829006015006</t>
  </si>
  <si>
    <t>R260519027</t>
  </si>
  <si>
    <t>R260520001</t>
  </si>
  <si>
    <t>https://airsblobstage.blob.core.windows.net/photo/purchasephoto/ZX11409Q.webp</t>
  </si>
  <si>
    <t>2621821026</t>
  </si>
  <si>
    <t>ZX11409Q</t>
  </si>
  <si>
    <t>331-11409Q</t>
  </si>
  <si>
    <t>11409Q</t>
  </si>
  <si>
    <t>後下擺打褶捲袖扣帶設計長袖短版襯衫</t>
  </si>
  <si>
    <t>表布:嫘縈50%聚酯纖維25%尼龍25%
尺寸:S.M.L</t>
  </si>
  <si>
    <t>2621821026002001</t>
  </si>
  <si>
    <t>R260520010</t>
  </si>
  <si>
    <t>2621821026002002</t>
  </si>
  <si>
    <t>2621821026002003</t>
  </si>
  <si>
    <t>https://airsblobstage.blob.core.windows.net/photo/purchasephoto/ZX11417.webp</t>
  </si>
  <si>
    <t>2620124004</t>
  </si>
  <si>
    <t>ZX11417</t>
  </si>
  <si>
    <t>331-11417</t>
  </si>
  <si>
    <t>11417</t>
  </si>
  <si>
    <t>反摺一字領愛心刺繡花邊下擺蛋糕短洋裝(附胸墊)</t>
  </si>
  <si>
    <t>一字領短洋</t>
  </si>
  <si>
    <t>2620124004012001</t>
  </si>
  <si>
    <t>R260520011</t>
  </si>
  <si>
    <t>2620124004012002</t>
  </si>
  <si>
    <t>2620124004012003</t>
  </si>
  <si>
    <t>R260520012</t>
  </si>
  <si>
    <t>R260520015</t>
  </si>
  <si>
    <t>https://airsblobstage.blob.core.windows.net/photo/purchasephoto/EB19788.webp</t>
  </si>
  <si>
    <t>2620121003</t>
  </si>
  <si>
    <t>EB19788</t>
  </si>
  <si>
    <t>83-19788</t>
  </si>
  <si>
    <t>19788</t>
  </si>
  <si>
    <t>【三麗鷗聯名】烤焦版KITTY海星扶桑花印花短袖短版TEE</t>
  </si>
  <si>
    <t>2620121003002001</t>
  </si>
  <si>
    <t>R260520022</t>
  </si>
  <si>
    <t>2620121003002002</t>
  </si>
  <si>
    <t>2620121003002003</t>
  </si>
  <si>
    <t>2620121003015001</t>
  </si>
  <si>
    <t>2620121003015002</t>
  </si>
  <si>
    <t>2620121003015003</t>
  </si>
  <si>
    <t>https://airsblobstage.blob.core.windows.net/photo/purchasephoto/EB19788F.webp</t>
  </si>
  <si>
    <t>2620821013</t>
  </si>
  <si>
    <t>EB19788F</t>
  </si>
  <si>
    <t>83-19788F</t>
  </si>
  <si>
    <t>19788F</t>
  </si>
  <si>
    <t>表布:棉95%彈性纖維5%
尺寸:XL.2XL.3XL</t>
  </si>
  <si>
    <t>2620821013002005</t>
  </si>
  <si>
    <t>2620821013002007</t>
  </si>
  <si>
    <t>2620821013002006</t>
  </si>
  <si>
    <t>2620821013015005</t>
  </si>
  <si>
    <t>2620821013015007</t>
  </si>
  <si>
    <t>2620821013015006</t>
  </si>
  <si>
    <t>https://airsblobstage.blob.core.windows.net/photo/purchasephoto/EB19801Q.webp</t>
  </si>
  <si>
    <t>2621821028</t>
  </si>
  <si>
    <t>EB19801Q</t>
  </si>
  <si>
    <t>83-19801Q</t>
  </si>
  <si>
    <t>19801Q</t>
  </si>
  <si>
    <t>不對稱領單側綁帶短袖短版上衣(附胸墊)</t>
  </si>
  <si>
    <t>表布:嫘縈95%彈性纖維5%
裡布:聚酯纖維100%
罩杯內層材質:聚酯纖維100%
尺寸:S.M.L</t>
  </si>
  <si>
    <t>2621821028035001</t>
  </si>
  <si>
    <t>R260520024</t>
  </si>
  <si>
    <t>2621821028035002</t>
  </si>
  <si>
    <t>2621821028035003</t>
  </si>
  <si>
    <t>https://airsblobstage.blob.core.windows.net/photo/purchasephoto/EB19821A.webp</t>
  </si>
  <si>
    <t>2620721010</t>
  </si>
  <si>
    <t>EB19821A</t>
  </si>
  <si>
    <t>83-19821A</t>
  </si>
  <si>
    <t>19821A</t>
  </si>
  <si>
    <t>圓領側抓皺短袖短版TEE</t>
  </si>
  <si>
    <t>表布:嫘縈67%聚酯纖維28%彈性纖維5%
尺寸:S、M、L</t>
  </si>
  <si>
    <t>2620721010035001</t>
  </si>
  <si>
    <t>R260520025</t>
  </si>
  <si>
    <t>2620721010035002</t>
  </si>
  <si>
    <t>2620721010035003</t>
  </si>
  <si>
    <t>2621821023002001</t>
  </si>
  <si>
    <t>R260520026</t>
  </si>
  <si>
    <t>2621821023002002</t>
  </si>
  <si>
    <t>2621821023002003</t>
  </si>
  <si>
    <t>https://airsblobstage.blob.core.windows.net/photo/purchasephoto/EB19971.webp</t>
  </si>
  <si>
    <t>2620124009</t>
  </si>
  <si>
    <t>EB19971</t>
  </si>
  <si>
    <t>83-19971</t>
  </si>
  <si>
    <t>19971</t>
  </si>
  <si>
    <t>冰絲裸感繞頸鏤空細肩綁帶開衩長洋裝(附胸墊)</t>
  </si>
  <si>
    <t>冰絲裸感企劃 可拆式胸棉2CM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</si>
  <si>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表布:嫘縈88% 尼龍12% 裡布:聚酯纖維100% 罩杯裡層材質:聚酯纖維100%
尺寸:S M L</t>
  </si>
  <si>
    <t>2620124009002001</t>
  </si>
  <si>
    <t>2620124009002002</t>
  </si>
  <si>
    <t>2620124009002003</t>
  </si>
  <si>
    <t>https://airsblobstage.blob.core.windows.net/photo/purchasephoto/GE90967A.webp</t>
  </si>
  <si>
    <t>2620721011</t>
  </si>
  <si>
    <t>GE90967A</t>
  </si>
  <si>
    <t>122-90967A</t>
  </si>
  <si>
    <t>90967A</t>
  </si>
  <si>
    <t>不對稱下擺抓皺抽繩羅紋細肩帶BRA背心</t>
  </si>
  <si>
    <t xml:space="preserve">M字軌
含可拆一片式胸棉1.3CM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</si>
  <si>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表布:嫘縈90%彈性纖維10%
裡布:聚酯纖維100%
罩杯內層材質:聚酯纖維100%
尺寸:S、M、L</t>
  </si>
  <si>
    <t>2620721011002001</t>
  </si>
  <si>
    <t>R260520031</t>
  </si>
  <si>
    <t>2620721011002002</t>
  </si>
  <si>
    <t>2620721011002003</t>
  </si>
  <si>
    <t>2620721011010001</t>
  </si>
  <si>
    <t>2620721011010002</t>
  </si>
  <si>
    <t>2620721011010003</t>
  </si>
  <si>
    <t>R260520033</t>
  </si>
  <si>
    <t>https://airsblobstage.blob.core.windows.net/photo/purchasephoto/GT9071F.webp</t>
  </si>
  <si>
    <t>2620821028</t>
  </si>
  <si>
    <t>GT9071QF</t>
  </si>
  <si>
    <t>131-9071QF</t>
  </si>
  <si>
    <t>9071QF</t>
  </si>
  <si>
    <t>桃心領復古點點側抓皺平口花苞上衣(附胸墊)</t>
  </si>
  <si>
    <t>平口合身上衣</t>
  </si>
  <si>
    <t>A+訂製胸棉、含可拆一體式胸棉1CM
洗滌注意：
※ 首次洗滌時,深色/飽和色系 較易釋出多餘的固色劑, 屬於正常現象。
※ 深色衣物建議在首次穿著前先下水清洗, 有助釋出多餘染劑，減少掉色或移染, 可降低染色風險。  
※ 深色與淺色衣物請分開洗滌，避免互相染色或產生移染現象。
※ 穿搭時請避免與淺色衣物、配件、飾品一同搭配使用，以防止因摩擦或潮濕而導致染色。</t>
  </si>
  <si>
    <t>表布:棉100%裡布:聚酯纖維100%罩杯裡層材質:聚酯纖維100%
尺寸:XL.2XL.3XL</t>
  </si>
  <si>
    <t>2620821028003005</t>
  </si>
  <si>
    <t>R260520035</t>
  </si>
  <si>
    <t>2620821028003007</t>
  </si>
  <si>
    <t>2620821028003006</t>
  </si>
  <si>
    <t>2620821028210005</t>
  </si>
  <si>
    <t>2620821028210007</t>
  </si>
  <si>
    <t>2620821028210006</t>
  </si>
  <si>
    <t>https://airsblobstage.blob.core.windows.net/photo/purchasephoto/XY62805A.webp</t>
  </si>
  <si>
    <t>2620721013</t>
  </si>
  <si>
    <t>XY62805A</t>
  </si>
  <si>
    <t>297-62805A</t>
  </si>
  <si>
    <t>62805A</t>
  </si>
  <si>
    <t>側開衩反褶平口上衣(附胸墊)</t>
  </si>
  <si>
    <t xml:space="preserve">跟XY62806A搭一套
含可拆胸棉1.3CM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</si>
  <si>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黑表布:棉42.2%聚酯纖維29.8%嫘縈28%
白表布:棉100%
裡布:聚酯纖維100%
罩杯內層材質:聚酯纖維100%
尺寸:S、M、L</t>
  </si>
  <si>
    <t>2620721013001001</t>
  </si>
  <si>
    <t>R260520037</t>
  </si>
  <si>
    <t>2620721013001002</t>
  </si>
  <si>
    <t>2620721013001003</t>
  </si>
  <si>
    <t>2620721013002001</t>
  </si>
  <si>
    <t>2620721013002002</t>
  </si>
  <si>
    <t>2620721013002003</t>
  </si>
  <si>
    <t>https://airsblobstage.blob.core.windows.net/photo/purchasephoto/XY62806A.webp</t>
  </si>
  <si>
    <t>2620723006</t>
  </si>
  <si>
    <t>XY62806A</t>
  </si>
  <si>
    <t>297-62806A</t>
  </si>
  <si>
    <t>62806A</t>
  </si>
  <si>
    <t>高腰中直筒斜紋長褲</t>
  </si>
  <si>
    <t xml:space="preserve">跟XY62805A搭一套
後腰橡筋、高腰款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</si>
  <si>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黑表布:棉42.2%聚酯纖維29.8%嫘縈28% 
白表布:棉100%
尺寸:S、M、L</t>
  </si>
  <si>
    <t>2620723006001001</t>
  </si>
  <si>
    <t>R260520038</t>
  </si>
  <si>
    <t>2620723006001002</t>
  </si>
  <si>
    <t>2620723006001003</t>
  </si>
  <si>
    <t>2620723006002001</t>
  </si>
  <si>
    <t>2620723006002002</t>
  </si>
  <si>
    <t>2620723006002003</t>
  </si>
  <si>
    <t>https://airsblobstage.blob.core.windows.net/photo/purchasephoto/JY0049Q.webp</t>
  </si>
  <si>
    <t>2621824005</t>
  </si>
  <si>
    <t>JY0049Q</t>
  </si>
  <si>
    <t>401-0049Q</t>
  </si>
  <si>
    <t>0049Q</t>
  </si>
  <si>
    <t>圓領排扣撞色滾邊金屬LOGO綴飾短袖針織短洋裝</t>
  </si>
  <si>
    <t>2621824005210001</t>
  </si>
  <si>
    <t>R260520041</t>
  </si>
  <si>
    <t>2621824005210002</t>
  </si>
  <si>
    <t>R260520043</t>
  </si>
  <si>
    <t>R260520047</t>
  </si>
  <si>
    <t>R260522001</t>
  </si>
  <si>
    <t>R260522021</t>
  </si>
  <si>
    <t>R260522025</t>
  </si>
  <si>
    <t>R260522026</t>
  </si>
  <si>
    <t>R260522027</t>
  </si>
  <si>
    <t>R260522029</t>
  </si>
  <si>
    <t>R260522030</t>
  </si>
  <si>
    <t>https://airsblobstage.blob.core.windows.net/photo/purchasephoto/XY820CB.webp</t>
  </si>
  <si>
    <t>2610125004</t>
  </si>
  <si>
    <t>XY820C</t>
  </si>
  <si>
    <t>297-820C</t>
  </si>
  <si>
    <t>820C</t>
  </si>
  <si>
    <t>【三麗鷗聯名】帆布造型扣環拉鍊零錢包</t>
  </si>
  <si>
    <t xml:space="preserve">26SS KT聯名小物
 </t>
  </si>
  <si>
    <t xml:space="preserve">F09-A領標(無碼)
F08-A洗標
F06-A吊牌+吊粒 -帝一
F07-A成份標  -帝一
F36-26KT蝴蝶結織標 -帝一
D12-26KT蝴蝶結吊牌-帝一
聯名包裝吊卡-帝一
包裝袋:15*15公分-帝一
</t>
  </si>
  <si>
    <t>產地: 中國
材質:主布:100%棉
配布:再生皮革與合成材料
尺寸:F</t>
  </si>
  <si>
    <t>2610125004003004</t>
  </si>
  <si>
    <t>R260522032</t>
  </si>
  <si>
    <t>2610125004017004</t>
  </si>
  <si>
    <t>R260522033</t>
  </si>
  <si>
    <t>R260522034</t>
  </si>
  <si>
    <t>R260522035</t>
  </si>
  <si>
    <t>R260522036</t>
  </si>
  <si>
    <t>R260522037</t>
  </si>
  <si>
    <t>R260525001</t>
  </si>
  <si>
    <t>R260526012</t>
  </si>
  <si>
    <t>R260526015</t>
  </si>
  <si>
    <t>R260526019</t>
  </si>
  <si>
    <t>R260526020</t>
  </si>
  <si>
    <t>2620121017002001</t>
  </si>
  <si>
    <t>2620121017002002</t>
  </si>
  <si>
    <t>2620121017002003</t>
  </si>
  <si>
    <t>https://airsblobstage.blob.core.windows.net/photo/purchasephoto/XY62755.webp</t>
  </si>
  <si>
    <t>2620123002</t>
  </si>
  <si>
    <t>XY62755</t>
  </si>
  <si>
    <t>297-62755</t>
  </si>
  <si>
    <t>62755</t>
  </si>
  <si>
    <t>【三麗鷗聯名】低腰後腰頭KITTY貼布繡水洗牛仔寬褲</t>
  </si>
  <si>
    <t>26SS KITTY聯名 26KT蝴蝶結吊卡 26KT蝴蝶結織標 低腰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</si>
  <si>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2號袋 襯紙 D12-26KT蝴蝶結吊卡 F36-蝴蝶結織標 A02-B釦</t>
  </si>
  <si>
    <t>表布:棉80%聚酯纖維20%
尺寸:S M L</t>
  </si>
  <si>
    <t>2620123002996001</t>
  </si>
  <si>
    <t>R260526030</t>
  </si>
  <si>
    <t>2620123002996002</t>
  </si>
  <si>
    <t>2620123002996003</t>
  </si>
  <si>
    <t>R260526032</t>
  </si>
  <si>
    <t>R260526033</t>
  </si>
  <si>
    <t>https://airsblobstage.blob.core.windows.net/photo/purchasephoto/AF12656F.webp</t>
  </si>
  <si>
    <t>2620821042</t>
  </si>
  <si>
    <t>AF12656F</t>
  </si>
  <si>
    <t>10-12656F</t>
  </si>
  <si>
    <t>12656F</t>
  </si>
  <si>
    <t>不對稱領側繞頸綁帶短袖短版上衣</t>
  </si>
  <si>
    <t>W22</t>
  </si>
  <si>
    <t>2026-05-25</t>
  </si>
  <si>
    <t>短版合身挖肩上衣</t>
  </si>
  <si>
    <t xml:space="preserve">A+獨家	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</si>
  <si>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 xml:space="preserve">表布:嫘縈92%彈性纖維8%
尺寸:XL、2XL、3XL
</t>
  </si>
  <si>
    <t>2620821042001005</t>
  </si>
  <si>
    <t>R260526036</t>
  </si>
  <si>
    <t>2620821042001007</t>
  </si>
  <si>
    <t>2620821042001006</t>
  </si>
  <si>
    <t>2620821042002005</t>
  </si>
  <si>
    <t>2620821042002007</t>
  </si>
  <si>
    <t>2620821042002006</t>
  </si>
  <si>
    <t>2620821042035005</t>
  </si>
  <si>
    <t>2620821042035007</t>
  </si>
  <si>
    <t>2620821042035006</t>
  </si>
  <si>
    <t>R260526040</t>
  </si>
  <si>
    <t>https://airsblobstage.blob.core.windows.net/photo/purchasephoto/ZX11436Q.webp</t>
  </si>
  <si>
    <t>2621827002</t>
  </si>
  <si>
    <t>ZX11436Q</t>
  </si>
  <si>
    <t>331-11436Q</t>
  </si>
  <si>
    <t>11436Q</t>
  </si>
  <si>
    <t>細格紋泡泡紗抽皺綁帶短版細肩帶背心長袖長版襯衫套裝</t>
  </si>
  <si>
    <t>領標*2、洗標*2、成分標*2、2號袋、襯紙</t>
  </si>
  <si>
    <t>表布:聚酯纖維75%棉25%
配布:聚酯纖維100%
尺寸:S.M.L</t>
  </si>
  <si>
    <t>R260526043</t>
  </si>
  <si>
    <t>2621827002996001</t>
  </si>
  <si>
    <t>2621827002996002</t>
  </si>
  <si>
    <t>2621827002996003</t>
  </si>
  <si>
    <t>https://airsblobstage.blob.core.windows.net/photo/purchasephoto/ZX11436QF.webp</t>
  </si>
  <si>
    <t>2620827004</t>
  </si>
  <si>
    <t>ZX11436QF</t>
  </si>
  <si>
    <t>331-11436QF</t>
  </si>
  <si>
    <t>11436QF</t>
  </si>
  <si>
    <t>表布:聚酯纖維75%棉25%
配布:聚酯纖維100%
尺寸:XL、2XL、3XL</t>
  </si>
  <si>
    <t>2620827004001005</t>
  </si>
  <si>
    <t>R260526044</t>
  </si>
  <si>
    <t>2620827004001007</t>
  </si>
  <si>
    <t>2620827004001006</t>
  </si>
  <si>
    <t>2620827004003005</t>
  </si>
  <si>
    <t>2620827004003007</t>
  </si>
  <si>
    <t>2620827004003006</t>
  </si>
  <si>
    <t>https://airsblobstage.blob.core.windows.net/photo/purchasephoto/ML11528Q.webp</t>
  </si>
  <si>
    <t>2621824008</t>
  </si>
  <si>
    <t>ML11528Q</t>
  </si>
  <si>
    <t>207-11528Q</t>
  </si>
  <si>
    <t>11528Q</t>
  </si>
  <si>
    <t>V領美背綁帶雙色條紋串珠細肩帶蛋糕長洋裝(附胸墊)</t>
  </si>
  <si>
    <t>3號袋、襯紙、胸殼</t>
  </si>
  <si>
    <t>表布:聚酯纖維100%
裡布:聚酯纖維100%
罩杯內層材質:聚酯纖維100%
尺寸:S.M.L</t>
  </si>
  <si>
    <t>2621824008003001</t>
  </si>
  <si>
    <t>R260526045</t>
  </si>
  <si>
    <t>2621824008003002</t>
  </si>
  <si>
    <t>2621824008003003</t>
  </si>
  <si>
    <t>R260526052</t>
  </si>
  <si>
    <t>https://airsblobstage.blob.core.windows.net/photo/purchasephoto/ICH3516Q.webp</t>
  </si>
  <si>
    <t>2621834003</t>
  </si>
  <si>
    <t>ICH3516Q</t>
  </si>
  <si>
    <t>151-3516Q</t>
  </si>
  <si>
    <t>3516Q</t>
  </si>
  <si>
    <t>中腰襯衫袖綁帶條紋泡泡紗排扣短褲裙</t>
  </si>
  <si>
    <t>褲裙、中腰、釦可開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</si>
  <si>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表布:棉70%聚酯纖維30%
尺寸:S.M.L</t>
  </si>
  <si>
    <t>2621834003002001</t>
  </si>
  <si>
    <t>R260526053</t>
  </si>
  <si>
    <t>2621834003002002</t>
  </si>
  <si>
    <t>R260526060</t>
  </si>
  <si>
    <t>https://airsblobstage.blob.core.windows.net/photo/purchasephoto/EB19797Q.webp</t>
  </si>
  <si>
    <t>2621821031</t>
  </si>
  <si>
    <t>EB19797Q</t>
  </si>
  <si>
    <t>83-19797Q</t>
  </si>
  <si>
    <t>19797Q</t>
  </si>
  <si>
    <t>AiR零著感莫代爾細肩帶平口BRA TOP</t>
  </si>
  <si>
    <t>「涼感、無感 新升級胸棉BT」企劃、含不可拆胸棉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</si>
  <si>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表布:嫘縈92%彈性纖維8%
裡布:聚酯纖維100%
罩杯內層材質:彈性纖維100%
尺寸:S.S+.M.M+.L.L+</t>
  </si>
  <si>
    <t>2621821031001017</t>
  </si>
  <si>
    <t>2621821031001001</t>
  </si>
  <si>
    <t>2621821031001018</t>
  </si>
  <si>
    <t>2621821031001002</t>
  </si>
  <si>
    <t>2621821031001019</t>
  </si>
  <si>
    <t>2621821031001003</t>
  </si>
  <si>
    <t>2621821031002017</t>
  </si>
  <si>
    <t>2621821031002001</t>
  </si>
  <si>
    <t>2621821031002018</t>
  </si>
  <si>
    <t>2621821031002002</t>
  </si>
  <si>
    <t>2621821031002019</t>
  </si>
  <si>
    <t>2621821031002003</t>
  </si>
  <si>
    <t>2621821031035017</t>
  </si>
  <si>
    <t>2621821031035001</t>
  </si>
  <si>
    <t>2621821031035018</t>
  </si>
  <si>
    <t>2621821031035002</t>
  </si>
  <si>
    <t>2621821031035019</t>
  </si>
  <si>
    <t>2621821031035003</t>
  </si>
  <si>
    <t>2620721010002001</t>
  </si>
  <si>
    <t>R260526063</t>
  </si>
  <si>
    <t>2620721010002002</t>
  </si>
  <si>
    <t>2620721010002003</t>
  </si>
  <si>
    <t>2620721010017001</t>
  </si>
  <si>
    <t>2620721010017002</t>
  </si>
  <si>
    <t>2620721010017003</t>
  </si>
  <si>
    <t>https://airsblobstage.blob.core.windows.net/photo/purchasephoto/EB19934A.webp</t>
  </si>
  <si>
    <t>2620728002</t>
  </si>
  <si>
    <t>EB19934A</t>
  </si>
  <si>
    <t>83-19934A</t>
  </si>
  <si>
    <t>19934A</t>
  </si>
  <si>
    <t>U領牛仔排扣繞頸斜紋背心連身寬褲</t>
  </si>
  <si>
    <t>背心連身長褲</t>
  </si>
  <si>
    <t>2620728002210001</t>
  </si>
  <si>
    <t>R260526066</t>
  </si>
  <si>
    <t>2620728002210002</t>
  </si>
  <si>
    <t>2620728002210003</t>
  </si>
  <si>
    <t>R260526067</t>
  </si>
  <si>
    <t>https://airsblobstage.blob.core.windows.net/photo/purchasephoto/EB20033 (2).webp</t>
  </si>
  <si>
    <t>2620123004</t>
  </si>
  <si>
    <t>EB20033</t>
  </si>
  <si>
    <t>83-20033</t>
  </si>
  <si>
    <t>20033</t>
  </si>
  <si>
    <t>高腰純色修身斜紋短褲</t>
  </si>
  <si>
    <t>2620123004002001</t>
  </si>
  <si>
    <t>R260526068</t>
  </si>
  <si>
    <t>2620123004002002</t>
  </si>
  <si>
    <t>2620123004002003</t>
  </si>
  <si>
    <t>https://airsblobstage.blob.core.windows.net/photo/purchasephoto/EB20033F.webp</t>
  </si>
  <si>
    <t>2620823009</t>
  </si>
  <si>
    <t>EB20033F</t>
  </si>
  <si>
    <t>83-20033F</t>
  </si>
  <si>
    <t>20033F</t>
  </si>
  <si>
    <t xml:space="preserve">高腰	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</si>
  <si>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表布:棉100%
尺寸:XL、2XL、3XL</t>
  </si>
  <si>
    <t>2620823009001005</t>
  </si>
  <si>
    <t>R260526069</t>
  </si>
  <si>
    <t>2620823009001007</t>
  </si>
  <si>
    <t>2620823009001006</t>
  </si>
  <si>
    <t>2620823009002005</t>
  </si>
  <si>
    <t>2620823009002007</t>
  </si>
  <si>
    <t>2620823009002006</t>
  </si>
  <si>
    <t>R260526070</t>
  </si>
  <si>
    <t>R260526071</t>
  </si>
  <si>
    <t>2610121016006001</t>
  </si>
  <si>
    <t>2610121016006002</t>
  </si>
  <si>
    <t>2610121016006003</t>
  </si>
  <si>
    <t>https://airsblobstage.blob.core.windows.net/photo/purchasephoto/GT9071Q.webp</t>
  </si>
  <si>
    <t>2621821027</t>
  </si>
  <si>
    <t>GT9071Q</t>
  </si>
  <si>
    <t>131-9071Q</t>
  </si>
  <si>
    <t>9071Q</t>
  </si>
  <si>
    <t>復古點點側抓皺平口花苞上衣(附胸墊)</t>
  </si>
  <si>
    <t>表布:棉100%
裡布:聚酯纖維100%
罩杯內層材質:聚酯纖維100%
尺寸:S.M.L</t>
  </si>
  <si>
    <t>2621821027003001</t>
  </si>
  <si>
    <t>R260526073</t>
  </si>
  <si>
    <t>2621821027003002</t>
  </si>
  <si>
    <t>2621821027003003</t>
  </si>
  <si>
    <t>2621821027210001</t>
  </si>
  <si>
    <t>2621821027210002</t>
  </si>
  <si>
    <t>2621821027210003</t>
  </si>
  <si>
    <t>https://airsblobstage.blob.core.windows.net/photo/purchasephoto/GT9080Q.webp</t>
  </si>
  <si>
    <t>2621829005</t>
  </si>
  <si>
    <t>GT9080Q</t>
  </si>
  <si>
    <t>131-9080Q</t>
  </si>
  <si>
    <t>9080Q</t>
  </si>
  <si>
    <t>開衩層次感鏤空線條針織平口背心(附胸墊)</t>
  </si>
  <si>
    <t>與9081Q成套、含1.3公分可拆一體式胸棉
 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</si>
  <si>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主紗:嫘縈80%尼龍20%
裡布:聚酯纖維100%
罩杯內層材質:聚酯纖維100%
尺寸:S.M</t>
  </si>
  <si>
    <t>2621829005001001</t>
  </si>
  <si>
    <t>R260526074</t>
  </si>
  <si>
    <t>2621829005001002</t>
  </si>
  <si>
    <t>R260526076</t>
  </si>
  <si>
    <t>R260526078</t>
  </si>
  <si>
    <t>R260526081</t>
  </si>
  <si>
    <t>https://airsblobstage.blob.core.windows.net/photo/purchasephoto/XY62823Q.webp</t>
  </si>
  <si>
    <t>2621824009</t>
  </si>
  <si>
    <t>XY62823Q</t>
  </si>
  <si>
    <t>297-62823Q</t>
  </si>
  <si>
    <t>62823Q</t>
  </si>
  <si>
    <t>法式方領抽皺綁帶澎袖蕾絲緹花傘擺短洋裝</t>
  </si>
  <si>
    <t>表布:尼龍90%彈性纖維10%
裡布:聚酯纖維100%
尺寸:S.M.L</t>
  </si>
  <si>
    <t>2621824009001001</t>
  </si>
  <si>
    <t>R260526082</t>
  </si>
  <si>
    <t>2621824009001002</t>
  </si>
  <si>
    <t>2621824009001003</t>
  </si>
  <si>
    <t>2621824009002001</t>
  </si>
  <si>
    <t>2621824009002002</t>
  </si>
  <si>
    <t>2621824009002003</t>
  </si>
  <si>
    <t>https://airsblobstage.blob.core.windows.net/photo/purchasephoto/XY62847Q.webp</t>
  </si>
  <si>
    <t>2621823010</t>
  </si>
  <si>
    <t>XY62847Q</t>
  </si>
  <si>
    <t>297-62847Q</t>
  </si>
  <si>
    <t>62847Q</t>
  </si>
  <si>
    <t>簡約打摺休閒寬褲</t>
  </si>
  <si>
    <t>白色有褲裡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</si>
  <si>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表布:聚酯纖維100%
白色裡布:聚酯纖維100%
尺寸:S.M.L</t>
  </si>
  <si>
    <t>2621823010210001</t>
  </si>
  <si>
    <t>R260526083</t>
  </si>
  <si>
    <t>2621823010210002</t>
  </si>
  <si>
    <t>2621823010210003</t>
  </si>
  <si>
    <t>https://airsblobstage.blob.core.windows.net/photo/purchasephoto/MS67831.webp</t>
  </si>
  <si>
    <t>2620124014</t>
  </si>
  <si>
    <t>MS67831</t>
  </si>
  <si>
    <t>213-67831</t>
  </si>
  <si>
    <t>67831</t>
  </si>
  <si>
    <t>繞頸鍊帶V型鏤空削肩開衩蛋糕長洋裝(附胸墊)</t>
  </si>
  <si>
    <t>表布:尼龍55%聚酯纖維45%
裡布:聚酯纖維100%
罩杯內層材質:聚酯纖維100%
尺寸:S、M、L</t>
  </si>
  <si>
    <t>2620124014002001</t>
  </si>
  <si>
    <t>R260526087</t>
  </si>
  <si>
    <t>2620124014002002</t>
  </si>
  <si>
    <t>2620124014002003</t>
  </si>
  <si>
    <t>2620124014996001</t>
  </si>
  <si>
    <t>2620124014996002</t>
  </si>
  <si>
    <t>2620124014996003</t>
  </si>
  <si>
    <t>R260526098</t>
  </si>
  <si>
    <t>R260526099</t>
  </si>
  <si>
    <t>R260526105</t>
  </si>
  <si>
    <t>2620110027002002</t>
  </si>
  <si>
    <t>R260528014</t>
  </si>
  <si>
    <t>20260612</t>
  </si>
  <si>
    <t>R260601008</t>
  </si>
  <si>
    <t>2610821013002005</t>
  </si>
  <si>
    <t>R260603012</t>
  </si>
  <si>
    <t>2610821013002007</t>
  </si>
  <si>
    <t>2610821013002006</t>
  </si>
  <si>
    <t>R260603014</t>
  </si>
  <si>
    <t>https://airsblobstage.blob.core.windows.net/photo/purchasephoto/ZX11441Q.webp</t>
  </si>
  <si>
    <t>2621824013</t>
  </si>
  <si>
    <t>ZX11441Q</t>
  </si>
  <si>
    <t>331-11441Q</t>
  </si>
  <si>
    <t>11441Q</t>
  </si>
  <si>
    <t>串珠抽繩肩帶刺繡花紋削肩背心長洋裝( 附串珠繫腰繩&amp;胸墊)</t>
  </si>
  <si>
    <t>2026-06-01 09:00:00</t>
  </si>
  <si>
    <t>表布:聚酯纖維98.9%彈性纖維1.1%
裡布:聚酯纖維100%
罩杯內層材質:聚酯纖維100%
尺寸:S.M.L</t>
  </si>
  <si>
    <t>R260603015</t>
  </si>
  <si>
    <t>2621824013017001</t>
  </si>
  <si>
    <t>2621824013017002</t>
  </si>
  <si>
    <t>2621824013017003</t>
  </si>
  <si>
    <t>https://airsblobstage.blob.core.windows.net/photo/purchasephoto/ZX11444A.webp</t>
  </si>
  <si>
    <t>2620728003</t>
  </si>
  <si>
    <t>ZX11444A</t>
  </si>
  <si>
    <t>331-11444A</t>
  </si>
  <si>
    <t>11444A</t>
  </si>
  <si>
    <t>繞頸削肩美背鏤空交叉綁帶荷葉邊背心連身短褲(附胸墊)</t>
  </si>
  <si>
    <t>含一體式可拆胸棉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</si>
  <si>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表布:嫘縈90%彈性纖維10%
裡布:聚酯纖維100%
罩杯內層材質:聚酯纖維100%
尺寸:S.M.L</t>
  </si>
  <si>
    <t>2620728003002001</t>
  </si>
  <si>
    <t>R260603016</t>
  </si>
  <si>
    <t>2620728003002002</t>
  </si>
  <si>
    <t>2620728003002003</t>
  </si>
  <si>
    <t>https://airsblobstage.blob.core.windows.net/photo/purchasephoto/ZX11456Q.webp</t>
  </si>
  <si>
    <t>2621821041</t>
  </si>
  <si>
    <t>ZX11456Q</t>
  </si>
  <si>
    <t>331-11456Q</t>
  </si>
  <si>
    <t>11456Q</t>
  </si>
  <si>
    <t>單口袋後拼接落肩長袖寬版襯衫</t>
  </si>
  <si>
    <t>可與11457Q搭配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</si>
  <si>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2621821041996004</t>
  </si>
  <si>
    <t>R260603019</t>
  </si>
  <si>
    <t>011</t>
  </si>
  <si>
    <t>綠</t>
  </si>
  <si>
    <t>R260603027</t>
  </si>
  <si>
    <t>R260603037</t>
  </si>
  <si>
    <t>https://airsblobstage.blob.core.windows.net/photo/purchasephoto/BB26001KC.webp</t>
  </si>
  <si>
    <t>TBB</t>
  </si>
  <si>
    <t>2620225009</t>
  </si>
  <si>
    <t>BB-26001KC</t>
  </si>
  <si>
    <t>411--26001KC</t>
  </si>
  <si>
    <t>-26001KC</t>
  </si>
  <si>
    <t>IP</t>
  </si>
  <si>
    <t xml:space="preserve">單價: 台幣354
上面價格為 /4.6匯率
</t>
  </si>
  <si>
    <t>聚酯纖維</t>
  </si>
  <si>
    <t>2620225009011016</t>
  </si>
  <si>
    <t>R260603040</t>
  </si>
  <si>
    <t>2620225009012016</t>
  </si>
  <si>
    <t>2620225009015016</t>
  </si>
  <si>
    <t>2620225009017016</t>
  </si>
  <si>
    <t>078</t>
  </si>
  <si>
    <t>淺紫</t>
  </si>
  <si>
    <t>2620225009078016</t>
  </si>
  <si>
    <t>156</t>
  </si>
  <si>
    <t>桃紅</t>
  </si>
  <si>
    <t>2620225009156016</t>
  </si>
  <si>
    <t>2620225009996016</t>
  </si>
  <si>
    <t>https://airsblobstage.blob.core.windows.net/photo/purchasephoto/BB26002KC.webp</t>
  </si>
  <si>
    <t>2620225010</t>
  </si>
  <si>
    <t>BB-26002KC</t>
  </si>
  <si>
    <t>411--26002KC</t>
  </si>
  <si>
    <t>-26002KC</t>
  </si>
  <si>
    <t xml:space="preserve">單價: 台幣774
上面價格為 /4.6匯率
</t>
  </si>
  <si>
    <t>聚酯纖維 100%</t>
  </si>
  <si>
    <t>2620225010003016</t>
  </si>
  <si>
    <t>R260603041</t>
  </si>
  <si>
    <t>2620225010017016</t>
  </si>
  <si>
    <t>https://airsblobstage.blob.core.windows.net/photo/purchasephoto/BB26003KC.webp</t>
  </si>
  <si>
    <t>2620225011</t>
  </si>
  <si>
    <t>BB-26003KC</t>
  </si>
  <si>
    <t>411--26003KC</t>
  </si>
  <si>
    <t>-26003KC</t>
  </si>
  <si>
    <t xml:space="preserve">單價: 台幣390
上面價格為 /4.6匯率
</t>
  </si>
  <si>
    <t>聚酯纖維100%</t>
  </si>
  <si>
    <t>2620225011011016</t>
  </si>
  <si>
    <t>R260603042</t>
  </si>
  <si>
    <t>2620225011015016</t>
  </si>
  <si>
    <t>https://airsblobstage.blob.core.windows.net/photo/purchasephoto/BB26004KC.webp</t>
  </si>
  <si>
    <t>2620225013</t>
  </si>
  <si>
    <t>BB-26004KC</t>
  </si>
  <si>
    <t>411--26004KC</t>
  </si>
  <si>
    <t>-26004KC</t>
  </si>
  <si>
    <t>單價: 台幣414
上面價格為 /4.6匯率</t>
  </si>
  <si>
    <t>2620225013011016</t>
  </si>
  <si>
    <t>R260603043</t>
  </si>
  <si>
    <t>2620225013025016</t>
  </si>
  <si>
    <t>https://airsblobstage.blob.core.windows.net/photo/purchasephoto/BB26005KC.webp</t>
  </si>
  <si>
    <t>2620225012</t>
  </si>
  <si>
    <t>BB-26005KC</t>
  </si>
  <si>
    <t>411--26005KC</t>
  </si>
  <si>
    <t>-26005KC</t>
  </si>
  <si>
    <t xml:space="preserve">單價: 台幣294
上面價格為 /4.6匯率
</t>
  </si>
  <si>
    <t>2620225012015016</t>
  </si>
  <si>
    <t>R260603044</t>
  </si>
  <si>
    <t>https://airsblobstage.blob.core.windows.net/photo/purchasephoto/EB19869A.webp</t>
  </si>
  <si>
    <t>2620721017</t>
  </si>
  <si>
    <t>EB19869A</t>
  </si>
  <si>
    <t>83-19869A</t>
  </si>
  <si>
    <t>19869A</t>
  </si>
  <si>
    <t>AiR零著感莫代爾圓領削肩BRA TOP</t>
  </si>
  <si>
    <t xml:space="preserve">EB19869A EB19856A兩款同料，「涼感、無感 新升級胸棉BT」企劃，不可拆胸棉，M字軌條碼標，有出加長款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</si>
  <si>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表布:嫘縈92%彈性纖維8% 
裡布:聚酯纖維100% 
罩杯內層材質:聚酯纖維100% 
尺寸:S、S+、M、M+、L、L+</t>
  </si>
  <si>
    <t>2620721017001017</t>
  </si>
  <si>
    <t>R260603045</t>
  </si>
  <si>
    <t>2620721017001001</t>
  </si>
  <si>
    <t>2620721017001018</t>
  </si>
  <si>
    <t>2620721017001002</t>
  </si>
  <si>
    <t>2620721017001019</t>
  </si>
  <si>
    <t>2620721017001003</t>
  </si>
  <si>
    <t>2620721017002017</t>
  </si>
  <si>
    <t>2620721017002001</t>
  </si>
  <si>
    <t>2620721017002018</t>
  </si>
  <si>
    <t>2620721017002002</t>
  </si>
  <si>
    <t>2620721017002019</t>
  </si>
  <si>
    <t>2620721017002003</t>
  </si>
  <si>
    <t>https://airsblobstage.blob.core.windows.net/photo/purchasephoto/EB19876Q.webp</t>
  </si>
  <si>
    <t>2621821030</t>
  </si>
  <si>
    <t>EB19876Q</t>
  </si>
  <si>
    <t>83-19876Q</t>
  </si>
  <si>
    <t>19876Q</t>
  </si>
  <si>
    <t>AiR零著感莫代爾不對稱領綁帶短袖BRA TOP</t>
  </si>
  <si>
    <t>表布:嫘縈92%彈性纖維8%
裡布:聚酯纖維100%
罩杯內層材質:彈性纖維100%
尺寸:S.M.L</t>
  </si>
  <si>
    <t>2621821030002001</t>
  </si>
  <si>
    <t>R260603046</t>
  </si>
  <si>
    <t>2621821030002002</t>
  </si>
  <si>
    <t>2621821030002003</t>
  </si>
  <si>
    <t>https://airsblobstage.blob.core.windows.net/photo/purchasephoto/EB19912.webp</t>
  </si>
  <si>
    <t>2620123005</t>
  </si>
  <si>
    <t>EB19912</t>
  </si>
  <si>
    <t>83-19912</t>
  </si>
  <si>
    <t>19912</t>
  </si>
  <si>
    <t>雙層腰頭不收邊反摺鉚釘裝飾牛仔短褲(附皮帶)</t>
  </si>
  <si>
    <t xml:space="preserve">附皮帶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</si>
  <si>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表布:棉89%聚酯纖維11%
尺寸:S、M、L</t>
  </si>
  <si>
    <t>2620123005035001</t>
  </si>
  <si>
    <t>R260603048</t>
  </si>
  <si>
    <t>2620123005035002</t>
  </si>
  <si>
    <t>2620123005035003</t>
  </si>
  <si>
    <t>https://airsblobstage.blob.core.windows.net/photo/purchasephoto/EB19912F.webp</t>
  </si>
  <si>
    <t>2620823007</t>
  </si>
  <si>
    <t>EB19912F</t>
  </si>
  <si>
    <t>83-19912F</t>
  </si>
  <si>
    <t>19912F</t>
  </si>
  <si>
    <t xml:space="preserve">附皮帶、A+後腰有橡筋	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</si>
  <si>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表布:聚酯纖維11%棉89%
尺寸:XL、2XL、3XL</t>
  </si>
  <si>
    <t>2620823007035005</t>
  </si>
  <si>
    <t>R260603049</t>
  </si>
  <si>
    <t>2620823007035007</t>
  </si>
  <si>
    <t>2620823007035006</t>
  </si>
  <si>
    <t>【AIR空氣棉零重力】完美腰線DNA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</si>
  <si>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表布:嫘縈55%聚酯纖維40%彈性纖維5%
尺寸:S.M.L</t>
  </si>
  <si>
    <t>https://airsblobstage.blob.core.windows.net/photo/purchasephoto/EB19999Q.webp</t>
  </si>
  <si>
    <t>2621823013</t>
  </si>
  <si>
    <t>EB19999Q</t>
  </si>
  <si>
    <t>83-19999Q</t>
  </si>
  <si>
    <t>19999Q</t>
  </si>
  <si>
    <t>【AIR空氣棉零重力】完美腰線DNA雙扣高腰短褲</t>
  </si>
  <si>
    <t>2621823013001001</t>
  </si>
  <si>
    <t>R260603053</t>
  </si>
  <si>
    <t>2621823013001002</t>
  </si>
  <si>
    <t>2621823013001003</t>
  </si>
  <si>
    <t>2621823013002001</t>
  </si>
  <si>
    <t>2621823013002002</t>
  </si>
  <si>
    <t>2621823013002003</t>
  </si>
  <si>
    <t>https://airsblobstage.blob.core.windows.net/photo/purchasephoto/EB20012A.webp</t>
  </si>
  <si>
    <t>2620722010</t>
  </si>
  <si>
    <t>EB20012A</t>
  </si>
  <si>
    <t>83-20012A</t>
  </si>
  <si>
    <t>20012A</t>
  </si>
  <si>
    <t>斜向拼接魚尾長裙</t>
  </si>
  <si>
    <t>表布:尼龍95%彈性纖維5%
裡布:嫘縈95%彈性纖維5%
尺寸:S.M.L</t>
  </si>
  <si>
    <t>2620722010001001</t>
  </si>
  <si>
    <t>R260603054</t>
  </si>
  <si>
    <t>2620722010001002</t>
  </si>
  <si>
    <t>2620722010001003</t>
  </si>
  <si>
    <t>R260603057</t>
  </si>
  <si>
    <t>R260603059</t>
  </si>
  <si>
    <t>https://airsblobstage.blob.core.windows.net/photo/purchasephoto/GE90979Q.webp</t>
  </si>
  <si>
    <t>2621821036</t>
  </si>
  <si>
    <t>GE90979Q</t>
  </si>
  <si>
    <t>122-90979Q</t>
  </si>
  <si>
    <t>90979Q</t>
  </si>
  <si>
    <t>V領細肩帶後鏤空綁帶花苞上衣(附胸墊)</t>
  </si>
  <si>
    <t>表布:聚酯纖維98%彈性纖維2%
裡布:聚酯纖維100%
罩杯內層材質:聚酯纖維100%
尺寸:S.M.L</t>
  </si>
  <si>
    <t>2621821036002001</t>
  </si>
  <si>
    <t>R260603061</t>
  </si>
  <si>
    <t>2621821036002002</t>
  </si>
  <si>
    <t>2621821036002003</t>
  </si>
  <si>
    <t>R260603063</t>
  </si>
  <si>
    <t>2621829005002001</t>
  </si>
  <si>
    <t>R260603064</t>
  </si>
  <si>
    <t>2621829005002002</t>
  </si>
  <si>
    <t>https://airsblobstage.blob.core.windows.net/photo/purchasephoto/HG26001KC.webp</t>
  </si>
  <si>
    <t>THR</t>
  </si>
  <si>
    <t>2620225004</t>
  </si>
  <si>
    <t>THR-26001KC</t>
  </si>
  <si>
    <t>412--26001KC</t>
  </si>
  <si>
    <t>娃娃</t>
  </si>
  <si>
    <t>單價: 台幣135
上面價格為 /4.6匯率</t>
  </si>
  <si>
    <t>2620225004002016</t>
  </si>
  <si>
    <t>R260603065</t>
  </si>
  <si>
    <t>2620225004015016</t>
  </si>
  <si>
    <t>2620225004023016</t>
  </si>
  <si>
    <t>https://airsblobstage.blob.core.windows.net/photo/purchasephoto/XY62863A.webp</t>
  </si>
  <si>
    <t>2620721030</t>
  </si>
  <si>
    <t>XY62863A</t>
  </si>
  <si>
    <t>297-62863A</t>
  </si>
  <si>
    <t>62863A</t>
  </si>
  <si>
    <t>荷葉一字領直線織紋短版上衣(附胸墊)</t>
  </si>
  <si>
    <t>表布:嫘縈77%尼龍20%彈性纖維3%
裡布:聚酯纖維100%
罩杯內層材質:聚酯纖維100%
尺寸:S.M.L</t>
  </si>
  <si>
    <t>2620721030002001</t>
  </si>
  <si>
    <t>R260603067</t>
  </si>
  <si>
    <t>2620721030002002</t>
  </si>
  <si>
    <t>2620721030002003</t>
  </si>
  <si>
    <t>https://airsblobstage.blob.core.windows.net/photo/purchasephoto/HG26002KC.webp</t>
  </si>
  <si>
    <t>2620225005</t>
  </si>
  <si>
    <t>THR-26002KC</t>
  </si>
  <si>
    <t>412--26002KC</t>
  </si>
  <si>
    <t>單價: 台幣220
上面價格為 /4.6匯率</t>
  </si>
  <si>
    <t>2620225005002016</t>
  </si>
  <si>
    <t>R260603068</t>
  </si>
  <si>
    <t>2620225005015016</t>
  </si>
  <si>
    <t>2620225005023016</t>
  </si>
  <si>
    <t>https://airsblobstage.blob.core.windows.net/photo/purchasephoto/XY62869A.webp</t>
  </si>
  <si>
    <t>2620721029</t>
  </si>
  <si>
    <t>XY62869A</t>
  </si>
  <si>
    <t>297-62869A</t>
  </si>
  <si>
    <t>62869A</t>
  </si>
  <si>
    <t>V領削肩包扣合身西裝背心(附胸墊)</t>
  </si>
  <si>
    <t>和XY62869A、XY62870A同料、釦可開、含分離式可拆胸棉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</si>
  <si>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表布:聚酯纖維75%嫘縈18%彈性纖維7%
尺寸:S.M.L</t>
  </si>
  <si>
    <t>2620721029006001</t>
  </si>
  <si>
    <t>R260603069</t>
  </si>
  <si>
    <t>2620721029006002</t>
  </si>
  <si>
    <t>2620721029006003</t>
  </si>
  <si>
    <t>https://airsblobstage.blob.core.windows.net/photo/purchasephoto/XY62870A.webp</t>
  </si>
  <si>
    <t>2620723012</t>
  </si>
  <si>
    <t>XY62870A</t>
  </si>
  <si>
    <t>297-62870A</t>
  </si>
  <si>
    <t>62870A</t>
  </si>
  <si>
    <t>雙褶寬版西裝長褲</t>
  </si>
  <si>
    <t>與XY62869A、XY62870A同料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</t>
  </si>
  <si>
    <t>2620723012002001</t>
  </si>
  <si>
    <t>R260603070</t>
  </si>
  <si>
    <t>2620723012002002</t>
  </si>
  <si>
    <t>2620723012002003</t>
  </si>
  <si>
    <t>2620723012006001</t>
  </si>
  <si>
    <t>2620723012006002</t>
  </si>
  <si>
    <t>2620723012006003</t>
  </si>
  <si>
    <t>https://airsblobstage.blob.core.windows.net/photo/purchasephoto/HG26003KC.webp</t>
  </si>
  <si>
    <t>2620225006</t>
  </si>
  <si>
    <t>THR-26003KC</t>
  </si>
  <si>
    <t>412--26003KC</t>
  </si>
  <si>
    <t xml:space="preserve">單價: 台幣158
上面價格為 /4.6匯率
</t>
  </si>
  <si>
    <t xml:space="preserve">聚酯纖維100% </t>
  </si>
  <si>
    <t>2620225006002016</t>
  </si>
  <si>
    <t>R260603071</t>
  </si>
  <si>
    <t>2620225006015016</t>
  </si>
  <si>
    <t>https://airsblobstage.blob.core.windows.net/photo/purchasephoto/XY6939.webp</t>
  </si>
  <si>
    <t>2620129011</t>
  </si>
  <si>
    <t>XY6939</t>
  </si>
  <si>
    <t>297-6939</t>
  </si>
  <si>
    <t>6939</t>
  </si>
  <si>
    <t>V領交叉綁帶荷葉下擺細肩帶鏤空針織背心</t>
  </si>
  <si>
    <t xml:space="preserve">主紗:亞克力纖維100%
尺寸:S、M
</t>
  </si>
  <si>
    <t>2620129011008001</t>
  </si>
  <si>
    <t>R260603072</t>
  </si>
  <si>
    <t>2620129011008002</t>
  </si>
  <si>
    <t>2620225007</t>
  </si>
  <si>
    <t>THR-26004KC</t>
  </si>
  <si>
    <t>412--26004KC</t>
  </si>
  <si>
    <t>單價: 台幣248
上面價格為 /4.6匯率</t>
  </si>
  <si>
    <t>2620225007015016</t>
  </si>
  <si>
    <t>R260603073</t>
  </si>
  <si>
    <t>https://airsblobstage.blob.core.windows.net/photo/purchasephoto/XY6947.webp</t>
  </si>
  <si>
    <t>2620122009</t>
  </si>
  <si>
    <t>XY6947</t>
  </si>
  <si>
    <t>297-6947</t>
  </si>
  <si>
    <t>6947</t>
  </si>
  <si>
    <t>斜向拼接鏤空透膚針織A字長裙</t>
  </si>
  <si>
    <t xml:space="preserve">褲裡		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</si>
  <si>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主紗:亞克力纖維100%	
裡布:聚酯纖維100%
尺寸:S、M</t>
  </si>
  <si>
    <t>2620122009008001</t>
  </si>
  <si>
    <t>R260603074</t>
  </si>
  <si>
    <t>2620122009008002</t>
  </si>
  <si>
    <t>https://airsblobstage.blob.core.windows.net/photo/purchasephoto/HG26005KC.webp</t>
  </si>
  <si>
    <t>2620225008</t>
  </si>
  <si>
    <t>THR-26005KC</t>
  </si>
  <si>
    <t>412--26005KC</t>
  </si>
  <si>
    <t>2620225008002016</t>
  </si>
  <si>
    <t>R260603075</t>
  </si>
  <si>
    <t>https://airsblobstage.blob.core.windows.net/photo/purchasephoto/MS67837.webp</t>
  </si>
  <si>
    <t>2620124012</t>
  </si>
  <si>
    <t>MS67837</t>
  </si>
  <si>
    <t>213-67837</t>
  </si>
  <si>
    <t>67837</t>
  </si>
  <si>
    <t>【女團馬甲】桃心領寬肩帶收腰傘擺短洋裝(附胸墊)</t>
  </si>
  <si>
    <t xml:space="preserve">含可拆胸棉3CM
馬甲女團輕塑企劃 B08胸棉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</si>
  <si>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表布:嫘縈62%尼龍33%彈性纖維5%
裡布:尼龍90%彈性纖維10%
罩杯內層材質:聚酯纖維100%
尺寸:S、M、L</t>
  </si>
  <si>
    <t>2620124012001001</t>
  </si>
  <si>
    <t>R260603082</t>
  </si>
  <si>
    <t>2620124012001002</t>
  </si>
  <si>
    <t>2620124012001003</t>
  </si>
  <si>
    <t>2620124012002001</t>
  </si>
  <si>
    <t>2620124012002002</t>
  </si>
  <si>
    <t>2620124012002003</t>
  </si>
  <si>
    <t>https://airsblobstage.blob.core.windows.net/photo/purchasephoto/SHY2619.webp</t>
  </si>
  <si>
    <t>2620121043</t>
  </si>
  <si>
    <t>SHY2619</t>
  </si>
  <si>
    <t>406-2619</t>
  </si>
  <si>
    <t>2619</t>
  </si>
  <si>
    <t>方領不對稱下擺側抓皺短袖短版BRA TOP</t>
  </si>
  <si>
    <t xml:space="preserve">含不可拆胸棉
洗滌注意：
※ 首次洗滌時,深色/飽和色系 較易釋出多餘的固色劑, 屬於正常現象。
※ 深色衣物建議在首次穿著前先下水清洗, 有助釋出多餘染劑，減少掉色或移染, 可降低染色風險。
※ 深色與淺色衣物請分開洗滌，避免互相染色或產生移染現象。
※ 穿搭時請避免與淺色衣物、配件、飾品一同搭配使用，以防止因摩擦或潮濕而導致染色。
</t>
  </si>
  <si>
    <t>2620121043002004</t>
  </si>
  <si>
    <t>R260603089</t>
  </si>
  <si>
    <t>014</t>
  </si>
  <si>
    <t>灰</t>
  </si>
  <si>
    <t>2620121043014004</t>
  </si>
  <si>
    <t>2620110023010005</t>
  </si>
  <si>
    <t>R260603098</t>
  </si>
  <si>
    <t>2620110023010003</t>
  </si>
  <si>
    <t>R260608005</t>
  </si>
  <si>
    <t>預購款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</si>
</sst>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615"/>
  <sheetViews>
    <sheetView tabSelected="1" topLeftCell="D1" workbookViewId="0">
      <pane ySplit="1" topLeftCell="A2" activePane="bottomLeft" state="frozen"/>
      <selection pane="bottomLeft" activeCell="L9" sqref="L9"/>
    </sheetView>
  </sheetViews>
  <sheetFormatPr defaultRowHeight="15.7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s="1" t="s">
        <v>4509</v>
      </c>
    </row>
    <row r="2" spans="1:60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S2" t="s">
        <v>75</v>
      </c>
      <c r="T2" t="s">
        <v>76</v>
      </c>
      <c r="U2" t="s">
        <v>77</v>
      </c>
      <c r="V2" t="s">
        <v>78</v>
      </c>
      <c r="W2">
        <v>1580</v>
      </c>
      <c r="X2">
        <v>64.989999999999995</v>
      </c>
      <c r="Y2">
        <v>209</v>
      </c>
      <c r="Z2">
        <v>1139000</v>
      </c>
      <c r="AA2">
        <v>869000</v>
      </c>
      <c r="AB2">
        <v>0</v>
      </c>
      <c r="AD2" t="s">
        <v>79</v>
      </c>
      <c r="AE2">
        <v>2</v>
      </c>
      <c r="AJ2">
        <v>250</v>
      </c>
      <c r="AK2">
        <v>250</v>
      </c>
      <c r="AL2">
        <v>550</v>
      </c>
      <c r="AM2">
        <v>249</v>
      </c>
      <c r="AN2">
        <v>0</v>
      </c>
      <c r="AO2">
        <v>249</v>
      </c>
      <c r="AP2" t="s">
        <v>80</v>
      </c>
      <c r="AQ2" t="s">
        <v>75</v>
      </c>
      <c r="AV2" t="s">
        <v>81</v>
      </c>
      <c r="AW2" t="s">
        <v>69</v>
      </c>
      <c r="AX2" t="s">
        <v>82</v>
      </c>
      <c r="AY2" t="s">
        <v>83</v>
      </c>
      <c r="BD2" t="s">
        <v>84</v>
      </c>
      <c r="BE2" t="s">
        <v>85</v>
      </c>
      <c r="BF2" t="s">
        <v>86</v>
      </c>
      <c r="BG2" t="s">
        <v>87</v>
      </c>
      <c r="BH2" t="str">
        <f>IF(COUNTIF(工作表1!A:A, $C2)&gt;0, "預購款", "非預購款")</f>
        <v>非預購款</v>
      </c>
    </row>
    <row r="3" spans="1:60" x14ac:dyDescent="0.25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88</v>
      </c>
      <c r="J3" t="s">
        <v>89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74</v>
      </c>
      <c r="S3" t="s">
        <v>75</v>
      </c>
      <c r="T3" t="s">
        <v>76</v>
      </c>
      <c r="U3" t="s">
        <v>77</v>
      </c>
      <c r="V3" t="s">
        <v>78</v>
      </c>
      <c r="W3">
        <v>1580</v>
      </c>
      <c r="X3">
        <v>64.989999999999995</v>
      </c>
      <c r="Y3">
        <v>209</v>
      </c>
      <c r="Z3">
        <v>1139000</v>
      </c>
      <c r="AA3">
        <v>869000</v>
      </c>
      <c r="AB3">
        <v>0</v>
      </c>
      <c r="AD3" t="s">
        <v>79</v>
      </c>
      <c r="AE3">
        <v>2</v>
      </c>
      <c r="AJ3">
        <v>300</v>
      </c>
      <c r="AK3">
        <v>300</v>
      </c>
      <c r="AL3">
        <v>550</v>
      </c>
      <c r="AM3">
        <v>300</v>
      </c>
      <c r="AN3">
        <v>0</v>
      </c>
      <c r="AO3">
        <v>300</v>
      </c>
      <c r="AP3" t="s">
        <v>80</v>
      </c>
      <c r="AQ3" t="s">
        <v>75</v>
      </c>
      <c r="AV3" t="s">
        <v>81</v>
      </c>
      <c r="AW3" t="s">
        <v>69</v>
      </c>
      <c r="AX3" t="s">
        <v>82</v>
      </c>
      <c r="AY3" t="s">
        <v>83</v>
      </c>
      <c r="BD3" t="s">
        <v>90</v>
      </c>
      <c r="BE3" t="s">
        <v>85</v>
      </c>
      <c r="BF3" t="s">
        <v>86</v>
      </c>
      <c r="BG3" t="s">
        <v>87</v>
      </c>
      <c r="BH3" t="str">
        <f>IF(COUNTIF(工作表1!A:A, $C3)&gt;0, "預購款", "非預購款")</f>
        <v>非預購款</v>
      </c>
    </row>
    <row r="4" spans="1:60" x14ac:dyDescent="0.25">
      <c r="A4" t="s">
        <v>91</v>
      </c>
      <c r="B4" t="s">
        <v>60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 t="s">
        <v>66</v>
      </c>
      <c r="I4" t="s">
        <v>97</v>
      </c>
      <c r="J4" t="s">
        <v>98</v>
      </c>
      <c r="K4" t="s">
        <v>69</v>
      </c>
      <c r="L4" t="s">
        <v>99</v>
      </c>
      <c r="M4" t="s">
        <v>71</v>
      </c>
      <c r="N4" t="s">
        <v>100</v>
      </c>
      <c r="O4" t="s">
        <v>101</v>
      </c>
      <c r="P4" t="s">
        <v>102</v>
      </c>
      <c r="S4" t="s">
        <v>103</v>
      </c>
      <c r="T4" t="s">
        <v>76</v>
      </c>
      <c r="U4" t="s">
        <v>104</v>
      </c>
      <c r="V4" t="s">
        <v>99</v>
      </c>
      <c r="W4">
        <v>1180</v>
      </c>
      <c r="X4">
        <v>49.99</v>
      </c>
      <c r="Y4">
        <v>155</v>
      </c>
      <c r="Z4">
        <v>859000</v>
      </c>
      <c r="AA4">
        <v>472000</v>
      </c>
      <c r="AB4">
        <v>0</v>
      </c>
      <c r="AD4" t="s">
        <v>79</v>
      </c>
      <c r="AE4">
        <v>2</v>
      </c>
      <c r="AJ4">
        <v>200</v>
      </c>
      <c r="AK4">
        <v>200</v>
      </c>
      <c r="AL4">
        <v>400</v>
      </c>
      <c r="AM4">
        <v>200</v>
      </c>
      <c r="AN4">
        <v>0</v>
      </c>
      <c r="AO4">
        <v>200</v>
      </c>
      <c r="AP4" t="s">
        <v>80</v>
      </c>
      <c r="AQ4" t="s">
        <v>105</v>
      </c>
      <c r="AV4" t="s">
        <v>81</v>
      </c>
      <c r="AW4" t="s">
        <v>69</v>
      </c>
      <c r="AX4" t="s">
        <v>106</v>
      </c>
      <c r="AY4" t="s">
        <v>107</v>
      </c>
      <c r="BD4" t="s">
        <v>108</v>
      </c>
      <c r="BE4" t="s">
        <v>109</v>
      </c>
      <c r="BF4" t="s">
        <v>86</v>
      </c>
      <c r="BG4" t="s">
        <v>110</v>
      </c>
      <c r="BH4" t="str">
        <f>IF(COUNTIF(工作表1!A:A, $C4)&gt;0, "預購款", "非預購款")</f>
        <v>非預購款</v>
      </c>
    </row>
    <row r="5" spans="1:60" x14ac:dyDescent="0.25">
      <c r="A5" t="s">
        <v>91</v>
      </c>
      <c r="B5" t="s">
        <v>60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66</v>
      </c>
      <c r="I5" t="s">
        <v>111</v>
      </c>
      <c r="J5" t="s">
        <v>112</v>
      </c>
      <c r="K5" t="s">
        <v>69</v>
      </c>
      <c r="L5" t="s">
        <v>99</v>
      </c>
      <c r="M5" t="s">
        <v>71</v>
      </c>
      <c r="N5" t="s">
        <v>100</v>
      </c>
      <c r="O5" t="s">
        <v>101</v>
      </c>
      <c r="P5" t="s">
        <v>102</v>
      </c>
      <c r="S5" t="s">
        <v>103</v>
      </c>
      <c r="T5" t="s">
        <v>76</v>
      </c>
      <c r="U5" t="s">
        <v>104</v>
      </c>
      <c r="V5" t="s">
        <v>99</v>
      </c>
      <c r="W5">
        <v>1180</v>
      </c>
      <c r="X5">
        <v>49.99</v>
      </c>
      <c r="Y5">
        <v>155</v>
      </c>
      <c r="Z5">
        <v>859000</v>
      </c>
      <c r="AA5">
        <v>472000</v>
      </c>
      <c r="AB5">
        <v>0</v>
      </c>
      <c r="AD5" t="s">
        <v>79</v>
      </c>
      <c r="AE5">
        <v>2</v>
      </c>
      <c r="AJ5">
        <v>200</v>
      </c>
      <c r="AK5">
        <v>200</v>
      </c>
      <c r="AL5">
        <v>400</v>
      </c>
      <c r="AM5">
        <v>200</v>
      </c>
      <c r="AN5">
        <v>0</v>
      </c>
      <c r="AO5">
        <v>200</v>
      </c>
      <c r="AP5" t="s">
        <v>80</v>
      </c>
      <c r="AQ5" t="s">
        <v>105</v>
      </c>
      <c r="AV5" t="s">
        <v>81</v>
      </c>
      <c r="AW5" t="s">
        <v>69</v>
      </c>
      <c r="AX5" t="s">
        <v>106</v>
      </c>
      <c r="AY5" t="s">
        <v>107</v>
      </c>
      <c r="BD5" t="s">
        <v>113</v>
      </c>
      <c r="BE5" t="s">
        <v>109</v>
      </c>
      <c r="BF5" t="s">
        <v>86</v>
      </c>
      <c r="BG5" t="s">
        <v>110</v>
      </c>
      <c r="BH5" t="str">
        <f>IF(COUNTIF(工作表1!A:A, $C5)&gt;0, "預購款", "非預購款")</f>
        <v>非預購款</v>
      </c>
    </row>
    <row r="6" spans="1:60" x14ac:dyDescent="0.25">
      <c r="A6" t="s">
        <v>114</v>
      </c>
      <c r="B6" t="s">
        <v>60</v>
      </c>
      <c r="C6" t="s">
        <v>115</v>
      </c>
      <c r="D6" t="s">
        <v>116</v>
      </c>
      <c r="E6" t="s">
        <v>117</v>
      </c>
      <c r="F6" t="s">
        <v>95</v>
      </c>
      <c r="G6" t="s">
        <v>118</v>
      </c>
      <c r="H6" t="s">
        <v>119</v>
      </c>
      <c r="I6" t="s">
        <v>120</v>
      </c>
      <c r="J6" t="s">
        <v>121</v>
      </c>
      <c r="K6" t="s">
        <v>69</v>
      </c>
      <c r="L6" t="s">
        <v>122</v>
      </c>
      <c r="M6" t="s">
        <v>71</v>
      </c>
      <c r="N6" t="s">
        <v>100</v>
      </c>
      <c r="O6" t="s">
        <v>101</v>
      </c>
      <c r="P6" t="s">
        <v>102</v>
      </c>
      <c r="S6" t="s">
        <v>103</v>
      </c>
      <c r="T6" t="s">
        <v>76</v>
      </c>
      <c r="U6" t="s">
        <v>123</v>
      </c>
      <c r="V6" t="s">
        <v>124</v>
      </c>
      <c r="W6">
        <v>1080</v>
      </c>
      <c r="X6">
        <v>44.99</v>
      </c>
      <c r="Y6">
        <v>139</v>
      </c>
      <c r="Z6">
        <v>779000</v>
      </c>
      <c r="AA6">
        <v>486000</v>
      </c>
      <c r="AB6">
        <v>0</v>
      </c>
      <c r="AD6" t="s">
        <v>79</v>
      </c>
      <c r="AE6">
        <v>2</v>
      </c>
      <c r="AJ6">
        <v>80</v>
      </c>
      <c r="AK6">
        <v>80</v>
      </c>
      <c r="AL6">
        <v>450</v>
      </c>
      <c r="AM6">
        <v>80</v>
      </c>
      <c r="AN6">
        <v>0</v>
      </c>
      <c r="AO6">
        <v>80</v>
      </c>
      <c r="AP6" t="s">
        <v>80</v>
      </c>
      <c r="AQ6" t="s">
        <v>125</v>
      </c>
      <c r="AV6" t="s">
        <v>81</v>
      </c>
      <c r="AW6" t="s">
        <v>69</v>
      </c>
      <c r="AX6" t="s">
        <v>126</v>
      </c>
      <c r="AY6" t="s">
        <v>127</v>
      </c>
      <c r="BD6" t="s">
        <v>128</v>
      </c>
      <c r="BE6" t="s">
        <v>129</v>
      </c>
      <c r="BF6" t="s">
        <v>86</v>
      </c>
      <c r="BG6" t="s">
        <v>110</v>
      </c>
      <c r="BH6" t="str">
        <f>IF(COUNTIF(工作表1!A:A, $C6)&gt;0, "預購款", "非預購款")</f>
        <v>非預購款</v>
      </c>
    </row>
    <row r="7" spans="1:60" x14ac:dyDescent="0.25">
      <c r="A7" t="s">
        <v>114</v>
      </c>
      <c r="B7" t="s">
        <v>60</v>
      </c>
      <c r="C7" t="s">
        <v>115</v>
      </c>
      <c r="D7" t="s">
        <v>116</v>
      </c>
      <c r="E7" t="s">
        <v>117</v>
      </c>
      <c r="F7" t="s">
        <v>95</v>
      </c>
      <c r="G7" t="s">
        <v>118</v>
      </c>
      <c r="H7" t="s">
        <v>130</v>
      </c>
      <c r="I7" t="s">
        <v>120</v>
      </c>
      <c r="J7" t="s">
        <v>121</v>
      </c>
      <c r="K7" t="s">
        <v>69</v>
      </c>
      <c r="L7" t="s">
        <v>122</v>
      </c>
      <c r="M7" t="s">
        <v>71</v>
      </c>
      <c r="N7" t="s">
        <v>100</v>
      </c>
      <c r="O7" t="s">
        <v>101</v>
      </c>
      <c r="P7" t="s">
        <v>102</v>
      </c>
      <c r="S7" t="s">
        <v>103</v>
      </c>
      <c r="T7" t="s">
        <v>76</v>
      </c>
      <c r="U7" t="s">
        <v>123</v>
      </c>
      <c r="V7" t="s">
        <v>124</v>
      </c>
      <c r="W7">
        <v>1080</v>
      </c>
      <c r="X7">
        <v>44.99</v>
      </c>
      <c r="Y7">
        <v>139</v>
      </c>
      <c r="Z7">
        <v>779000</v>
      </c>
      <c r="AA7">
        <v>486000</v>
      </c>
      <c r="AB7">
        <v>0</v>
      </c>
      <c r="AD7" t="s">
        <v>79</v>
      </c>
      <c r="AE7">
        <v>2</v>
      </c>
      <c r="AJ7">
        <v>80</v>
      </c>
      <c r="AK7">
        <v>80</v>
      </c>
      <c r="AL7">
        <v>450</v>
      </c>
      <c r="AM7">
        <v>80</v>
      </c>
      <c r="AN7">
        <v>0</v>
      </c>
      <c r="AO7">
        <v>80</v>
      </c>
      <c r="AP7" t="s">
        <v>80</v>
      </c>
      <c r="AQ7" t="s">
        <v>125</v>
      </c>
      <c r="AV7" t="s">
        <v>81</v>
      </c>
      <c r="AW7" t="s">
        <v>69</v>
      </c>
      <c r="AX7" t="s">
        <v>126</v>
      </c>
      <c r="AY7" t="s">
        <v>127</v>
      </c>
      <c r="BD7" t="s">
        <v>131</v>
      </c>
      <c r="BE7" t="s">
        <v>129</v>
      </c>
      <c r="BF7" t="s">
        <v>86</v>
      </c>
      <c r="BG7" t="s">
        <v>110</v>
      </c>
      <c r="BH7" t="str">
        <f>IF(COUNTIF(工作表1!A:A, $C7)&gt;0, "預購款", "非預購款")</f>
        <v>非預購款</v>
      </c>
    </row>
    <row r="8" spans="1:60" x14ac:dyDescent="0.25">
      <c r="A8" t="s">
        <v>114</v>
      </c>
      <c r="B8" t="s">
        <v>60</v>
      </c>
      <c r="C8" t="s">
        <v>115</v>
      </c>
      <c r="D8" t="s">
        <v>116</v>
      </c>
      <c r="E8" t="s">
        <v>117</v>
      </c>
      <c r="F8" t="s">
        <v>95</v>
      </c>
      <c r="G8" t="s">
        <v>118</v>
      </c>
      <c r="H8" t="s">
        <v>132</v>
      </c>
      <c r="I8" t="s">
        <v>120</v>
      </c>
      <c r="J8" t="s">
        <v>121</v>
      </c>
      <c r="K8" t="s">
        <v>69</v>
      </c>
      <c r="L8" t="s">
        <v>122</v>
      </c>
      <c r="M8" t="s">
        <v>71</v>
      </c>
      <c r="N8" t="s">
        <v>100</v>
      </c>
      <c r="O8" t="s">
        <v>101</v>
      </c>
      <c r="P8" t="s">
        <v>102</v>
      </c>
      <c r="S8" t="s">
        <v>103</v>
      </c>
      <c r="T8" t="s">
        <v>76</v>
      </c>
      <c r="U8" t="s">
        <v>123</v>
      </c>
      <c r="V8" t="s">
        <v>124</v>
      </c>
      <c r="W8">
        <v>1080</v>
      </c>
      <c r="X8">
        <v>44.99</v>
      </c>
      <c r="Y8">
        <v>139</v>
      </c>
      <c r="Z8">
        <v>779000</v>
      </c>
      <c r="AA8">
        <v>486000</v>
      </c>
      <c r="AB8">
        <v>0</v>
      </c>
      <c r="AD8" t="s">
        <v>79</v>
      </c>
      <c r="AE8">
        <v>2</v>
      </c>
      <c r="AJ8">
        <v>60</v>
      </c>
      <c r="AK8">
        <v>60</v>
      </c>
      <c r="AL8">
        <v>450</v>
      </c>
      <c r="AM8">
        <v>60</v>
      </c>
      <c r="AN8">
        <v>0</v>
      </c>
      <c r="AO8">
        <v>60</v>
      </c>
      <c r="AP8" t="s">
        <v>80</v>
      </c>
      <c r="AQ8" t="s">
        <v>125</v>
      </c>
      <c r="AV8" t="s">
        <v>81</v>
      </c>
      <c r="AW8" t="s">
        <v>69</v>
      </c>
      <c r="AX8" t="s">
        <v>126</v>
      </c>
      <c r="AY8" t="s">
        <v>127</v>
      </c>
      <c r="BD8" t="s">
        <v>133</v>
      </c>
      <c r="BE8" t="s">
        <v>129</v>
      </c>
      <c r="BF8" t="s">
        <v>86</v>
      </c>
      <c r="BG8" t="s">
        <v>110</v>
      </c>
      <c r="BH8" t="str">
        <f>IF(COUNTIF(工作表1!A:A, $C8)&gt;0, "預購款", "非預購款")</f>
        <v>非預購款</v>
      </c>
    </row>
    <row r="9" spans="1:60" x14ac:dyDescent="0.25">
      <c r="A9" t="s">
        <v>114</v>
      </c>
      <c r="B9" t="s">
        <v>60</v>
      </c>
      <c r="C9" t="s">
        <v>115</v>
      </c>
      <c r="D9" t="s">
        <v>116</v>
      </c>
      <c r="E9" t="s">
        <v>117</v>
      </c>
      <c r="F9" t="s">
        <v>95</v>
      </c>
      <c r="G9" t="s">
        <v>118</v>
      </c>
      <c r="H9" t="s">
        <v>119</v>
      </c>
      <c r="I9" t="s">
        <v>134</v>
      </c>
      <c r="J9" t="s">
        <v>135</v>
      </c>
      <c r="K9" t="s">
        <v>69</v>
      </c>
      <c r="L9" t="s">
        <v>122</v>
      </c>
      <c r="M9" t="s">
        <v>71</v>
      </c>
      <c r="N9" t="s">
        <v>100</v>
      </c>
      <c r="O9" t="s">
        <v>101</v>
      </c>
      <c r="P9" t="s">
        <v>102</v>
      </c>
      <c r="S9" t="s">
        <v>103</v>
      </c>
      <c r="T9" t="s">
        <v>76</v>
      </c>
      <c r="U9" t="s">
        <v>123</v>
      </c>
      <c r="V9" t="s">
        <v>124</v>
      </c>
      <c r="W9">
        <v>1080</v>
      </c>
      <c r="X9">
        <v>44.99</v>
      </c>
      <c r="Y9">
        <v>139</v>
      </c>
      <c r="Z9">
        <v>779000</v>
      </c>
      <c r="AA9">
        <v>486000</v>
      </c>
      <c r="AB9">
        <v>0</v>
      </c>
      <c r="AD9" t="s">
        <v>79</v>
      </c>
      <c r="AE9">
        <v>2</v>
      </c>
      <c r="AJ9">
        <v>80</v>
      </c>
      <c r="AK9">
        <v>80</v>
      </c>
      <c r="AL9">
        <v>450</v>
      </c>
      <c r="AM9">
        <v>80</v>
      </c>
      <c r="AN9">
        <v>0</v>
      </c>
      <c r="AO9">
        <v>80</v>
      </c>
      <c r="AP9" t="s">
        <v>80</v>
      </c>
      <c r="AQ9" t="s">
        <v>125</v>
      </c>
      <c r="AV9" t="s">
        <v>81</v>
      </c>
      <c r="AW9" t="s">
        <v>69</v>
      </c>
      <c r="AX9" t="s">
        <v>126</v>
      </c>
      <c r="AY9" t="s">
        <v>127</v>
      </c>
      <c r="BD9" t="s">
        <v>136</v>
      </c>
      <c r="BE9" t="s">
        <v>129</v>
      </c>
      <c r="BF9" t="s">
        <v>86</v>
      </c>
      <c r="BG9" t="s">
        <v>110</v>
      </c>
      <c r="BH9" t="str">
        <f>IF(COUNTIF(工作表1!A:A, $C9)&gt;0, "預購款", "非預購款")</f>
        <v>非預購款</v>
      </c>
    </row>
    <row r="10" spans="1:60" x14ac:dyDescent="0.25">
      <c r="A10" t="s">
        <v>114</v>
      </c>
      <c r="B10" t="s">
        <v>60</v>
      </c>
      <c r="C10" t="s">
        <v>115</v>
      </c>
      <c r="D10" t="s">
        <v>116</v>
      </c>
      <c r="E10" t="s">
        <v>117</v>
      </c>
      <c r="F10" t="s">
        <v>95</v>
      </c>
      <c r="G10" t="s">
        <v>118</v>
      </c>
      <c r="H10" t="s">
        <v>130</v>
      </c>
      <c r="I10" t="s">
        <v>134</v>
      </c>
      <c r="J10" t="s">
        <v>135</v>
      </c>
      <c r="K10" t="s">
        <v>69</v>
      </c>
      <c r="L10" t="s">
        <v>122</v>
      </c>
      <c r="M10" t="s">
        <v>71</v>
      </c>
      <c r="N10" t="s">
        <v>100</v>
      </c>
      <c r="O10" t="s">
        <v>101</v>
      </c>
      <c r="P10" t="s">
        <v>102</v>
      </c>
      <c r="S10" t="s">
        <v>103</v>
      </c>
      <c r="T10" t="s">
        <v>76</v>
      </c>
      <c r="U10" t="s">
        <v>123</v>
      </c>
      <c r="V10" t="s">
        <v>124</v>
      </c>
      <c r="W10">
        <v>1080</v>
      </c>
      <c r="X10">
        <v>44.99</v>
      </c>
      <c r="Y10">
        <v>139</v>
      </c>
      <c r="Z10">
        <v>779000</v>
      </c>
      <c r="AA10">
        <v>486000</v>
      </c>
      <c r="AB10">
        <v>0</v>
      </c>
      <c r="AD10" t="s">
        <v>79</v>
      </c>
      <c r="AE10">
        <v>2</v>
      </c>
      <c r="AJ10">
        <v>100</v>
      </c>
      <c r="AK10">
        <v>100</v>
      </c>
      <c r="AL10">
        <v>450</v>
      </c>
      <c r="AM10">
        <v>100</v>
      </c>
      <c r="AN10">
        <v>0</v>
      </c>
      <c r="AO10">
        <v>100</v>
      </c>
      <c r="AP10" t="s">
        <v>80</v>
      </c>
      <c r="AQ10" t="s">
        <v>125</v>
      </c>
      <c r="AV10" t="s">
        <v>81</v>
      </c>
      <c r="AW10" t="s">
        <v>69</v>
      </c>
      <c r="AX10" t="s">
        <v>126</v>
      </c>
      <c r="AY10" t="s">
        <v>127</v>
      </c>
      <c r="BD10" t="s">
        <v>137</v>
      </c>
      <c r="BE10" t="s">
        <v>129</v>
      </c>
      <c r="BF10" t="s">
        <v>86</v>
      </c>
      <c r="BG10" t="s">
        <v>110</v>
      </c>
      <c r="BH10" t="str">
        <f>IF(COUNTIF(工作表1!A:A, $C10)&gt;0, "預購款", "非預購款")</f>
        <v>非預購款</v>
      </c>
    </row>
    <row r="11" spans="1:60" x14ac:dyDescent="0.25">
      <c r="A11" t="s">
        <v>114</v>
      </c>
      <c r="B11" t="s">
        <v>60</v>
      </c>
      <c r="C11" t="s">
        <v>115</v>
      </c>
      <c r="D11" t="s">
        <v>116</v>
      </c>
      <c r="E11" t="s">
        <v>117</v>
      </c>
      <c r="F11" t="s">
        <v>95</v>
      </c>
      <c r="G11" t="s">
        <v>118</v>
      </c>
      <c r="H11" t="s">
        <v>132</v>
      </c>
      <c r="I11" t="s">
        <v>134</v>
      </c>
      <c r="J11" t="s">
        <v>135</v>
      </c>
      <c r="K11" t="s">
        <v>69</v>
      </c>
      <c r="L11" t="s">
        <v>122</v>
      </c>
      <c r="M11" t="s">
        <v>71</v>
      </c>
      <c r="N11" t="s">
        <v>100</v>
      </c>
      <c r="O11" t="s">
        <v>101</v>
      </c>
      <c r="P11" t="s">
        <v>102</v>
      </c>
      <c r="S11" t="s">
        <v>103</v>
      </c>
      <c r="T11" t="s">
        <v>76</v>
      </c>
      <c r="U11" t="s">
        <v>123</v>
      </c>
      <c r="V11" t="s">
        <v>124</v>
      </c>
      <c r="W11">
        <v>1080</v>
      </c>
      <c r="X11">
        <v>44.99</v>
      </c>
      <c r="Y11">
        <v>139</v>
      </c>
      <c r="Z11">
        <v>779000</v>
      </c>
      <c r="AA11">
        <v>486000</v>
      </c>
      <c r="AB11">
        <v>0</v>
      </c>
      <c r="AD11" t="s">
        <v>79</v>
      </c>
      <c r="AE11">
        <v>2</v>
      </c>
      <c r="AJ11">
        <v>50</v>
      </c>
      <c r="AK11">
        <v>50</v>
      </c>
      <c r="AL11">
        <v>450</v>
      </c>
      <c r="AM11">
        <v>50</v>
      </c>
      <c r="AN11">
        <v>0</v>
      </c>
      <c r="AO11">
        <v>50</v>
      </c>
      <c r="AP11" t="s">
        <v>80</v>
      </c>
      <c r="AQ11" t="s">
        <v>125</v>
      </c>
      <c r="AV11" t="s">
        <v>81</v>
      </c>
      <c r="AW11" t="s">
        <v>69</v>
      </c>
      <c r="AX11" t="s">
        <v>126</v>
      </c>
      <c r="AY11" t="s">
        <v>127</v>
      </c>
      <c r="BD11" t="s">
        <v>138</v>
      </c>
      <c r="BE11" t="s">
        <v>129</v>
      </c>
      <c r="BF11" t="s">
        <v>86</v>
      </c>
      <c r="BG11" t="s">
        <v>110</v>
      </c>
      <c r="BH11" t="str">
        <f>IF(COUNTIF(工作表1!A:A, $C11)&gt;0, "預購款", "非預購款")</f>
        <v>非預購款</v>
      </c>
    </row>
    <row r="12" spans="1:60" x14ac:dyDescent="0.25">
      <c r="B12" t="s">
        <v>60</v>
      </c>
      <c r="C12" t="s">
        <v>139</v>
      </c>
      <c r="D12" t="s">
        <v>140</v>
      </c>
      <c r="E12" t="s">
        <v>141</v>
      </c>
      <c r="F12" t="s">
        <v>142</v>
      </c>
      <c r="G12" t="s">
        <v>143</v>
      </c>
      <c r="H12" t="s">
        <v>119</v>
      </c>
      <c r="I12" t="s">
        <v>120</v>
      </c>
      <c r="J12" t="s">
        <v>121</v>
      </c>
      <c r="K12" t="s">
        <v>69</v>
      </c>
      <c r="L12" t="s">
        <v>144</v>
      </c>
      <c r="M12" t="s">
        <v>71</v>
      </c>
      <c r="N12" t="s">
        <v>100</v>
      </c>
      <c r="O12" t="s">
        <v>101</v>
      </c>
      <c r="P12" t="s">
        <v>102</v>
      </c>
      <c r="S12" t="s">
        <v>145</v>
      </c>
      <c r="T12" t="s">
        <v>76</v>
      </c>
      <c r="U12" t="s">
        <v>146</v>
      </c>
      <c r="V12" t="s">
        <v>144</v>
      </c>
      <c r="W12">
        <v>1380</v>
      </c>
      <c r="X12">
        <v>54.99</v>
      </c>
      <c r="Y12">
        <v>179</v>
      </c>
      <c r="Z12">
        <v>989000</v>
      </c>
      <c r="AA12">
        <v>248400</v>
      </c>
      <c r="AB12">
        <v>0</v>
      </c>
      <c r="AD12" t="s">
        <v>79</v>
      </c>
      <c r="AE12">
        <v>2</v>
      </c>
      <c r="AJ12">
        <v>45</v>
      </c>
      <c r="AK12">
        <v>45</v>
      </c>
      <c r="AL12">
        <v>180</v>
      </c>
      <c r="AM12">
        <v>47</v>
      </c>
      <c r="AN12">
        <v>0</v>
      </c>
      <c r="AO12">
        <v>47</v>
      </c>
      <c r="AP12" t="s">
        <v>80</v>
      </c>
      <c r="AQ12" t="s">
        <v>125</v>
      </c>
      <c r="AV12" t="s">
        <v>81</v>
      </c>
      <c r="AW12" t="s">
        <v>69</v>
      </c>
      <c r="AX12" t="s">
        <v>126</v>
      </c>
      <c r="AY12" t="s">
        <v>147</v>
      </c>
      <c r="BD12" t="s">
        <v>148</v>
      </c>
      <c r="BE12" t="s">
        <v>149</v>
      </c>
      <c r="BF12" t="s">
        <v>86</v>
      </c>
      <c r="BG12" t="s">
        <v>150</v>
      </c>
      <c r="BH12" t="str">
        <f>IF(COUNTIF(工作表1!A:A, $C12)&gt;0, "預購款", "非預購款")</f>
        <v>非預購款</v>
      </c>
    </row>
    <row r="13" spans="1:60" x14ac:dyDescent="0.25">
      <c r="B13" t="s">
        <v>60</v>
      </c>
      <c r="C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130</v>
      </c>
      <c r="I13" t="s">
        <v>120</v>
      </c>
      <c r="J13" t="s">
        <v>121</v>
      </c>
      <c r="K13" t="s">
        <v>69</v>
      </c>
      <c r="L13" t="s">
        <v>144</v>
      </c>
      <c r="M13" t="s">
        <v>71</v>
      </c>
      <c r="N13" t="s">
        <v>100</v>
      </c>
      <c r="O13" t="s">
        <v>101</v>
      </c>
      <c r="P13" t="s">
        <v>102</v>
      </c>
      <c r="S13" t="s">
        <v>145</v>
      </c>
      <c r="T13" t="s">
        <v>76</v>
      </c>
      <c r="U13" t="s">
        <v>146</v>
      </c>
      <c r="V13" t="s">
        <v>144</v>
      </c>
      <c r="W13">
        <v>1380</v>
      </c>
      <c r="X13">
        <v>54.99</v>
      </c>
      <c r="Y13">
        <v>179</v>
      </c>
      <c r="Z13">
        <v>989000</v>
      </c>
      <c r="AA13">
        <v>248400</v>
      </c>
      <c r="AB13">
        <v>0</v>
      </c>
      <c r="AD13" t="s">
        <v>79</v>
      </c>
      <c r="AE13">
        <v>2</v>
      </c>
      <c r="AJ13">
        <v>30</v>
      </c>
      <c r="AK13">
        <v>30</v>
      </c>
      <c r="AL13">
        <v>180</v>
      </c>
      <c r="AM13">
        <v>32</v>
      </c>
      <c r="AN13">
        <v>0</v>
      </c>
      <c r="AO13">
        <v>32</v>
      </c>
      <c r="AP13" t="s">
        <v>80</v>
      </c>
      <c r="AQ13" t="s">
        <v>125</v>
      </c>
      <c r="AV13" t="s">
        <v>81</v>
      </c>
      <c r="AW13" t="s">
        <v>69</v>
      </c>
      <c r="AX13" t="s">
        <v>126</v>
      </c>
      <c r="AY13" t="s">
        <v>147</v>
      </c>
      <c r="BD13" t="s">
        <v>151</v>
      </c>
      <c r="BE13" t="s">
        <v>149</v>
      </c>
      <c r="BF13" t="s">
        <v>86</v>
      </c>
      <c r="BG13" t="s">
        <v>150</v>
      </c>
      <c r="BH13" t="str">
        <f>IF(COUNTIF(工作表1!A:A, $C13)&gt;0, "預購款", "非預購款")</f>
        <v>非預購款</v>
      </c>
    </row>
    <row r="14" spans="1:60" x14ac:dyDescent="0.25">
      <c r="B14" t="s">
        <v>60</v>
      </c>
      <c r="C14" t="s">
        <v>139</v>
      </c>
      <c r="D14" t="s">
        <v>140</v>
      </c>
      <c r="E14" t="s">
        <v>141</v>
      </c>
      <c r="F14" t="s">
        <v>142</v>
      </c>
      <c r="G14" t="s">
        <v>143</v>
      </c>
      <c r="H14" t="s">
        <v>132</v>
      </c>
      <c r="I14" t="s">
        <v>120</v>
      </c>
      <c r="J14" t="s">
        <v>121</v>
      </c>
      <c r="K14" t="s">
        <v>69</v>
      </c>
      <c r="L14" t="s">
        <v>144</v>
      </c>
      <c r="M14" t="s">
        <v>71</v>
      </c>
      <c r="N14" t="s">
        <v>100</v>
      </c>
      <c r="O14" t="s">
        <v>101</v>
      </c>
      <c r="P14" t="s">
        <v>102</v>
      </c>
      <c r="S14" t="s">
        <v>145</v>
      </c>
      <c r="T14" t="s">
        <v>76</v>
      </c>
      <c r="U14" t="s">
        <v>146</v>
      </c>
      <c r="V14" t="s">
        <v>144</v>
      </c>
      <c r="W14">
        <v>1380</v>
      </c>
      <c r="X14">
        <v>54.99</v>
      </c>
      <c r="Y14">
        <v>179</v>
      </c>
      <c r="Z14">
        <v>989000</v>
      </c>
      <c r="AA14">
        <v>248400</v>
      </c>
      <c r="AB14">
        <v>0</v>
      </c>
      <c r="AD14" t="s">
        <v>79</v>
      </c>
      <c r="AE14">
        <v>2</v>
      </c>
      <c r="AJ14">
        <v>15</v>
      </c>
      <c r="AK14">
        <v>15</v>
      </c>
      <c r="AL14">
        <v>180</v>
      </c>
      <c r="AM14">
        <v>15</v>
      </c>
      <c r="AN14">
        <v>0</v>
      </c>
      <c r="AO14">
        <v>15</v>
      </c>
      <c r="AP14" t="s">
        <v>80</v>
      </c>
      <c r="AQ14" t="s">
        <v>125</v>
      </c>
      <c r="AV14" t="s">
        <v>81</v>
      </c>
      <c r="AW14" t="s">
        <v>69</v>
      </c>
      <c r="AX14" t="s">
        <v>126</v>
      </c>
      <c r="AY14" t="s">
        <v>147</v>
      </c>
      <c r="BD14" t="s">
        <v>152</v>
      </c>
      <c r="BE14" t="s">
        <v>149</v>
      </c>
      <c r="BF14" t="s">
        <v>86</v>
      </c>
      <c r="BG14" t="s">
        <v>150</v>
      </c>
      <c r="BH14" t="str">
        <f>IF(COUNTIF(工作表1!A:A, $C14)&gt;0, "預購款", "非預購款")</f>
        <v>非預購款</v>
      </c>
    </row>
    <row r="15" spans="1:60" x14ac:dyDescent="0.25">
      <c r="B15" t="s">
        <v>60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119</v>
      </c>
      <c r="I15" t="s">
        <v>134</v>
      </c>
      <c r="J15" t="s">
        <v>135</v>
      </c>
      <c r="K15" t="s">
        <v>69</v>
      </c>
      <c r="L15" t="s">
        <v>144</v>
      </c>
      <c r="M15" t="s">
        <v>71</v>
      </c>
      <c r="N15" t="s">
        <v>100</v>
      </c>
      <c r="O15" t="s">
        <v>101</v>
      </c>
      <c r="P15" t="s">
        <v>102</v>
      </c>
      <c r="S15" t="s">
        <v>145</v>
      </c>
      <c r="T15" t="s">
        <v>76</v>
      </c>
      <c r="U15" t="s">
        <v>146</v>
      </c>
      <c r="V15" t="s">
        <v>144</v>
      </c>
      <c r="W15">
        <v>1380</v>
      </c>
      <c r="X15">
        <v>54.99</v>
      </c>
      <c r="Y15">
        <v>179</v>
      </c>
      <c r="Z15">
        <v>989000</v>
      </c>
      <c r="AA15">
        <v>248400</v>
      </c>
      <c r="AB15">
        <v>0</v>
      </c>
      <c r="AD15" t="s">
        <v>79</v>
      </c>
      <c r="AE15">
        <v>2</v>
      </c>
      <c r="AJ15">
        <v>45</v>
      </c>
      <c r="AK15">
        <v>45</v>
      </c>
      <c r="AL15">
        <v>180</v>
      </c>
      <c r="AM15">
        <v>47</v>
      </c>
      <c r="AN15">
        <v>0</v>
      </c>
      <c r="AO15">
        <v>47</v>
      </c>
      <c r="AP15" t="s">
        <v>80</v>
      </c>
      <c r="AQ15" t="s">
        <v>125</v>
      </c>
      <c r="AV15" t="s">
        <v>81</v>
      </c>
      <c r="AW15" t="s">
        <v>69</v>
      </c>
      <c r="AX15" t="s">
        <v>126</v>
      </c>
      <c r="AY15" t="s">
        <v>147</v>
      </c>
      <c r="BD15" t="s">
        <v>153</v>
      </c>
      <c r="BE15" t="s">
        <v>149</v>
      </c>
      <c r="BF15" t="s">
        <v>86</v>
      </c>
      <c r="BG15" t="s">
        <v>150</v>
      </c>
      <c r="BH15" t="str">
        <f>IF(COUNTIF(工作表1!A:A, $C15)&gt;0, "預購款", "非預購款")</f>
        <v>非預購款</v>
      </c>
    </row>
    <row r="16" spans="1:60" x14ac:dyDescent="0.25">
      <c r="B16" t="s">
        <v>60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130</v>
      </c>
      <c r="I16" t="s">
        <v>134</v>
      </c>
      <c r="J16" t="s">
        <v>135</v>
      </c>
      <c r="K16" t="s">
        <v>69</v>
      </c>
      <c r="L16" t="s">
        <v>144</v>
      </c>
      <c r="M16" t="s">
        <v>71</v>
      </c>
      <c r="N16" t="s">
        <v>100</v>
      </c>
      <c r="O16" t="s">
        <v>101</v>
      </c>
      <c r="P16" t="s">
        <v>102</v>
      </c>
      <c r="S16" t="s">
        <v>145</v>
      </c>
      <c r="T16" t="s">
        <v>76</v>
      </c>
      <c r="U16" t="s">
        <v>146</v>
      </c>
      <c r="V16" t="s">
        <v>144</v>
      </c>
      <c r="W16">
        <v>1380</v>
      </c>
      <c r="X16">
        <v>54.99</v>
      </c>
      <c r="Y16">
        <v>179</v>
      </c>
      <c r="Z16">
        <v>989000</v>
      </c>
      <c r="AA16">
        <v>248400</v>
      </c>
      <c r="AB16">
        <v>0</v>
      </c>
      <c r="AD16" t="s">
        <v>79</v>
      </c>
      <c r="AE16">
        <v>2</v>
      </c>
      <c r="AJ16">
        <v>30</v>
      </c>
      <c r="AK16">
        <v>30</v>
      </c>
      <c r="AL16">
        <v>180</v>
      </c>
      <c r="AM16">
        <v>31</v>
      </c>
      <c r="AN16">
        <v>0</v>
      </c>
      <c r="AO16">
        <v>31</v>
      </c>
      <c r="AP16" t="s">
        <v>80</v>
      </c>
      <c r="AQ16" t="s">
        <v>125</v>
      </c>
      <c r="AV16" t="s">
        <v>81</v>
      </c>
      <c r="AW16" t="s">
        <v>69</v>
      </c>
      <c r="AX16" t="s">
        <v>126</v>
      </c>
      <c r="AY16" t="s">
        <v>147</v>
      </c>
      <c r="BD16" t="s">
        <v>154</v>
      </c>
      <c r="BE16" t="s">
        <v>149</v>
      </c>
      <c r="BF16" t="s">
        <v>86</v>
      </c>
      <c r="BG16" t="s">
        <v>150</v>
      </c>
      <c r="BH16" t="str">
        <f>IF(COUNTIF(工作表1!A:A, $C16)&gt;0, "預購款", "非預購款")</f>
        <v>非預購款</v>
      </c>
    </row>
    <row r="17" spans="1:60" x14ac:dyDescent="0.25">
      <c r="B17" t="s">
        <v>60</v>
      </c>
      <c r="C17" t="s">
        <v>139</v>
      </c>
      <c r="D17" t="s">
        <v>140</v>
      </c>
      <c r="E17" t="s">
        <v>141</v>
      </c>
      <c r="F17" t="s">
        <v>142</v>
      </c>
      <c r="G17" t="s">
        <v>143</v>
      </c>
      <c r="H17" t="s">
        <v>132</v>
      </c>
      <c r="I17" t="s">
        <v>134</v>
      </c>
      <c r="J17" t="s">
        <v>135</v>
      </c>
      <c r="K17" t="s">
        <v>69</v>
      </c>
      <c r="L17" t="s">
        <v>144</v>
      </c>
      <c r="M17" t="s">
        <v>71</v>
      </c>
      <c r="N17" t="s">
        <v>100</v>
      </c>
      <c r="O17" t="s">
        <v>101</v>
      </c>
      <c r="P17" t="s">
        <v>102</v>
      </c>
      <c r="S17" t="s">
        <v>145</v>
      </c>
      <c r="T17" t="s">
        <v>76</v>
      </c>
      <c r="U17" t="s">
        <v>146</v>
      </c>
      <c r="V17" t="s">
        <v>144</v>
      </c>
      <c r="W17">
        <v>1380</v>
      </c>
      <c r="X17">
        <v>54.99</v>
      </c>
      <c r="Y17">
        <v>179</v>
      </c>
      <c r="Z17">
        <v>989000</v>
      </c>
      <c r="AA17">
        <v>248400</v>
      </c>
      <c r="AB17">
        <v>0</v>
      </c>
      <c r="AD17" t="s">
        <v>79</v>
      </c>
      <c r="AE17">
        <v>2</v>
      </c>
      <c r="AJ17">
        <v>15</v>
      </c>
      <c r="AK17">
        <v>15</v>
      </c>
      <c r="AL17">
        <v>180</v>
      </c>
      <c r="AM17">
        <v>16</v>
      </c>
      <c r="AN17">
        <v>0</v>
      </c>
      <c r="AO17">
        <v>16</v>
      </c>
      <c r="AP17" t="s">
        <v>80</v>
      </c>
      <c r="AQ17" t="s">
        <v>125</v>
      </c>
      <c r="AV17" t="s">
        <v>81</v>
      </c>
      <c r="AW17" t="s">
        <v>69</v>
      </c>
      <c r="AX17" t="s">
        <v>126</v>
      </c>
      <c r="AY17" t="s">
        <v>147</v>
      </c>
      <c r="BD17" t="s">
        <v>155</v>
      </c>
      <c r="BE17" t="s">
        <v>149</v>
      </c>
      <c r="BF17" t="s">
        <v>86</v>
      </c>
      <c r="BG17" t="s">
        <v>150</v>
      </c>
      <c r="BH17" t="str">
        <f>IF(COUNTIF(工作表1!A:A, $C17)&gt;0, "預購款", "非預購款")</f>
        <v>非預購款</v>
      </c>
    </row>
    <row r="18" spans="1:60" x14ac:dyDescent="0.25">
      <c r="A18" t="s">
        <v>156</v>
      </c>
      <c r="B18" t="s">
        <v>60</v>
      </c>
      <c r="C18" t="s">
        <v>157</v>
      </c>
      <c r="D18" t="s">
        <v>158</v>
      </c>
      <c r="E18" t="s">
        <v>159</v>
      </c>
      <c r="F18" t="s">
        <v>160</v>
      </c>
      <c r="G18" t="s">
        <v>161</v>
      </c>
      <c r="H18" t="s">
        <v>66</v>
      </c>
      <c r="I18" t="s">
        <v>162</v>
      </c>
      <c r="J18" t="s">
        <v>163</v>
      </c>
      <c r="K18" t="s">
        <v>69</v>
      </c>
      <c r="L18" t="s">
        <v>164</v>
      </c>
      <c r="M18" t="s">
        <v>71</v>
      </c>
      <c r="N18" t="s">
        <v>100</v>
      </c>
      <c r="O18" t="s">
        <v>101</v>
      </c>
      <c r="P18" t="s">
        <v>102</v>
      </c>
      <c r="S18" t="s">
        <v>165</v>
      </c>
      <c r="T18" t="s">
        <v>76</v>
      </c>
      <c r="U18" t="s">
        <v>150</v>
      </c>
      <c r="V18" t="s">
        <v>166</v>
      </c>
      <c r="W18">
        <v>1280</v>
      </c>
      <c r="X18">
        <v>49.99</v>
      </c>
      <c r="Y18">
        <v>169</v>
      </c>
      <c r="Z18">
        <v>919000</v>
      </c>
      <c r="AA18">
        <v>153600</v>
      </c>
      <c r="AB18">
        <v>0</v>
      </c>
      <c r="AD18" t="s">
        <v>79</v>
      </c>
      <c r="AE18">
        <v>2</v>
      </c>
      <c r="AJ18">
        <v>40</v>
      </c>
      <c r="AK18">
        <v>40</v>
      </c>
      <c r="AL18">
        <v>120</v>
      </c>
      <c r="AM18">
        <v>40</v>
      </c>
      <c r="AN18">
        <v>0</v>
      </c>
      <c r="AO18">
        <v>40</v>
      </c>
      <c r="AP18" t="s">
        <v>80</v>
      </c>
      <c r="AQ18" t="s">
        <v>167</v>
      </c>
      <c r="AV18" t="s">
        <v>81</v>
      </c>
      <c r="AW18" t="s">
        <v>69</v>
      </c>
      <c r="AX18" t="s">
        <v>126</v>
      </c>
      <c r="AY18" t="s">
        <v>168</v>
      </c>
      <c r="BD18" t="s">
        <v>169</v>
      </c>
      <c r="BE18" t="s">
        <v>170</v>
      </c>
      <c r="BF18" t="s">
        <v>86</v>
      </c>
      <c r="BG18" t="s">
        <v>87</v>
      </c>
      <c r="BH18" t="str">
        <f>IF(COUNTIF(工作表1!A:A, $C18)&gt;0, "預購款", "非預購款")</f>
        <v>非預購款</v>
      </c>
    </row>
    <row r="19" spans="1:60" x14ac:dyDescent="0.25">
      <c r="A19" t="s">
        <v>156</v>
      </c>
      <c r="B19" t="s">
        <v>60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66</v>
      </c>
      <c r="I19" t="s">
        <v>171</v>
      </c>
      <c r="J19" t="s">
        <v>172</v>
      </c>
      <c r="K19" t="s">
        <v>69</v>
      </c>
      <c r="L19" t="s">
        <v>164</v>
      </c>
      <c r="M19" t="s">
        <v>71</v>
      </c>
      <c r="N19" t="s">
        <v>100</v>
      </c>
      <c r="O19" t="s">
        <v>101</v>
      </c>
      <c r="P19" t="s">
        <v>102</v>
      </c>
      <c r="S19" t="s">
        <v>165</v>
      </c>
      <c r="T19" t="s">
        <v>76</v>
      </c>
      <c r="U19" t="s">
        <v>150</v>
      </c>
      <c r="V19" t="s">
        <v>166</v>
      </c>
      <c r="W19">
        <v>1280</v>
      </c>
      <c r="X19">
        <v>49.99</v>
      </c>
      <c r="Y19">
        <v>169</v>
      </c>
      <c r="Z19">
        <v>919000</v>
      </c>
      <c r="AA19">
        <v>153600</v>
      </c>
      <c r="AB19">
        <v>0</v>
      </c>
      <c r="AD19" t="s">
        <v>79</v>
      </c>
      <c r="AE19">
        <v>2</v>
      </c>
      <c r="AJ19">
        <v>80</v>
      </c>
      <c r="AK19">
        <v>80</v>
      </c>
      <c r="AL19">
        <v>120</v>
      </c>
      <c r="AM19">
        <v>80</v>
      </c>
      <c r="AN19">
        <v>0</v>
      </c>
      <c r="AO19">
        <v>80</v>
      </c>
      <c r="AP19" t="s">
        <v>80</v>
      </c>
      <c r="AQ19" t="s">
        <v>167</v>
      </c>
      <c r="AV19" t="s">
        <v>81</v>
      </c>
      <c r="AW19" t="s">
        <v>69</v>
      </c>
      <c r="AX19" t="s">
        <v>126</v>
      </c>
      <c r="AY19" t="s">
        <v>168</v>
      </c>
      <c r="BD19" t="s">
        <v>173</v>
      </c>
      <c r="BE19" t="s">
        <v>170</v>
      </c>
      <c r="BF19" t="s">
        <v>86</v>
      </c>
      <c r="BG19" t="s">
        <v>87</v>
      </c>
      <c r="BH19" t="str">
        <f>IF(COUNTIF(工作表1!A:A, $C19)&gt;0, "預購款", "非預購款")</f>
        <v>非預購款</v>
      </c>
    </row>
    <row r="20" spans="1:60" x14ac:dyDescent="0.25">
      <c r="A20" t="s">
        <v>91</v>
      </c>
      <c r="B20" t="s">
        <v>60</v>
      </c>
      <c r="C20" t="s">
        <v>92</v>
      </c>
      <c r="D20" t="s">
        <v>93</v>
      </c>
      <c r="E20" t="s">
        <v>94</v>
      </c>
      <c r="F20" t="s">
        <v>174</v>
      </c>
      <c r="G20" t="s">
        <v>96</v>
      </c>
      <c r="H20" t="s">
        <v>66</v>
      </c>
      <c r="I20" t="s">
        <v>97</v>
      </c>
      <c r="J20" t="s">
        <v>98</v>
      </c>
      <c r="K20" t="s">
        <v>69</v>
      </c>
      <c r="L20" t="s">
        <v>99</v>
      </c>
      <c r="M20" t="s">
        <v>71</v>
      </c>
      <c r="N20" t="s">
        <v>100</v>
      </c>
      <c r="O20" t="s">
        <v>101</v>
      </c>
      <c r="P20" t="s">
        <v>102</v>
      </c>
      <c r="S20" t="s">
        <v>175</v>
      </c>
      <c r="T20" t="s">
        <v>76</v>
      </c>
      <c r="U20" t="s">
        <v>104</v>
      </c>
      <c r="V20" t="s">
        <v>99</v>
      </c>
      <c r="W20">
        <v>1180</v>
      </c>
      <c r="X20">
        <v>49.99</v>
      </c>
      <c r="Y20">
        <v>155</v>
      </c>
      <c r="Z20">
        <v>859000</v>
      </c>
      <c r="AA20">
        <v>483800</v>
      </c>
      <c r="AB20">
        <v>0</v>
      </c>
      <c r="AD20" t="s">
        <v>79</v>
      </c>
      <c r="AE20">
        <v>2</v>
      </c>
      <c r="AJ20">
        <v>140</v>
      </c>
      <c r="AK20">
        <v>140</v>
      </c>
      <c r="AL20">
        <v>410</v>
      </c>
      <c r="AM20">
        <v>140</v>
      </c>
      <c r="AN20">
        <v>0</v>
      </c>
      <c r="AO20">
        <v>140</v>
      </c>
      <c r="AP20" t="s">
        <v>80</v>
      </c>
      <c r="AQ20" t="s">
        <v>176</v>
      </c>
      <c r="AV20" t="s">
        <v>81</v>
      </c>
      <c r="AW20" t="s">
        <v>69</v>
      </c>
      <c r="AX20" t="s">
        <v>106</v>
      </c>
      <c r="AY20" t="s">
        <v>107</v>
      </c>
      <c r="BD20" t="s">
        <v>108</v>
      </c>
      <c r="BE20" t="s">
        <v>177</v>
      </c>
      <c r="BF20" t="s">
        <v>86</v>
      </c>
      <c r="BG20" t="s">
        <v>110</v>
      </c>
      <c r="BH20" t="str">
        <f>IF(COUNTIF(工作表1!A:A, $C20)&gt;0, "預購款", "非預購款")</f>
        <v>非預購款</v>
      </c>
    </row>
    <row r="21" spans="1:60" x14ac:dyDescent="0.25">
      <c r="A21" t="s">
        <v>91</v>
      </c>
      <c r="B21" t="s">
        <v>60</v>
      </c>
      <c r="C21" t="s">
        <v>92</v>
      </c>
      <c r="D21" t="s">
        <v>93</v>
      </c>
      <c r="E21" t="s">
        <v>94</v>
      </c>
      <c r="F21" t="s">
        <v>174</v>
      </c>
      <c r="G21" t="s">
        <v>96</v>
      </c>
      <c r="H21" t="s">
        <v>66</v>
      </c>
      <c r="I21" t="s">
        <v>111</v>
      </c>
      <c r="J21" t="s">
        <v>112</v>
      </c>
      <c r="K21" t="s">
        <v>69</v>
      </c>
      <c r="L21" t="s">
        <v>99</v>
      </c>
      <c r="M21" t="s">
        <v>71</v>
      </c>
      <c r="N21" t="s">
        <v>100</v>
      </c>
      <c r="O21" t="s">
        <v>101</v>
      </c>
      <c r="P21" t="s">
        <v>102</v>
      </c>
      <c r="S21" t="s">
        <v>175</v>
      </c>
      <c r="T21" t="s">
        <v>76</v>
      </c>
      <c r="U21" t="s">
        <v>104</v>
      </c>
      <c r="V21" t="s">
        <v>99</v>
      </c>
      <c r="W21">
        <v>1180</v>
      </c>
      <c r="X21">
        <v>49.99</v>
      </c>
      <c r="Y21">
        <v>155</v>
      </c>
      <c r="Z21">
        <v>859000</v>
      </c>
      <c r="AA21">
        <v>483800</v>
      </c>
      <c r="AB21">
        <v>0</v>
      </c>
      <c r="AD21" t="s">
        <v>79</v>
      </c>
      <c r="AE21">
        <v>2</v>
      </c>
      <c r="AJ21">
        <v>270</v>
      </c>
      <c r="AK21">
        <v>270</v>
      </c>
      <c r="AL21">
        <v>410</v>
      </c>
      <c r="AM21">
        <v>268</v>
      </c>
      <c r="AN21">
        <v>0</v>
      </c>
      <c r="AO21">
        <v>268</v>
      </c>
      <c r="AP21" t="s">
        <v>80</v>
      </c>
      <c r="AQ21" t="s">
        <v>176</v>
      </c>
      <c r="AV21" t="s">
        <v>81</v>
      </c>
      <c r="AW21" t="s">
        <v>69</v>
      </c>
      <c r="AX21" t="s">
        <v>106</v>
      </c>
      <c r="AY21" t="s">
        <v>107</v>
      </c>
      <c r="BD21" t="s">
        <v>113</v>
      </c>
      <c r="BE21" t="s">
        <v>177</v>
      </c>
      <c r="BF21" t="s">
        <v>86</v>
      </c>
      <c r="BG21" t="s">
        <v>110</v>
      </c>
      <c r="BH21" t="str">
        <f>IF(COUNTIF(工作表1!A:A, $C21)&gt;0, "預購款", "非預購款")</f>
        <v>非預購款</v>
      </c>
    </row>
    <row r="22" spans="1:60" x14ac:dyDescent="0.25">
      <c r="A22" t="s">
        <v>114</v>
      </c>
      <c r="B22" t="s">
        <v>60</v>
      </c>
      <c r="C22" t="s">
        <v>115</v>
      </c>
      <c r="D22" t="s">
        <v>116</v>
      </c>
      <c r="E22" t="s">
        <v>117</v>
      </c>
      <c r="F22" t="s">
        <v>178</v>
      </c>
      <c r="G22" t="s">
        <v>118</v>
      </c>
      <c r="H22" t="s">
        <v>119</v>
      </c>
      <c r="I22" t="s">
        <v>134</v>
      </c>
      <c r="J22" t="s">
        <v>135</v>
      </c>
      <c r="K22" t="s">
        <v>69</v>
      </c>
      <c r="L22" t="s">
        <v>122</v>
      </c>
      <c r="M22" t="s">
        <v>71</v>
      </c>
      <c r="N22" t="s">
        <v>100</v>
      </c>
      <c r="O22" t="s">
        <v>101</v>
      </c>
      <c r="P22" t="s">
        <v>102</v>
      </c>
      <c r="S22" t="s">
        <v>179</v>
      </c>
      <c r="T22" t="s">
        <v>76</v>
      </c>
      <c r="U22" t="s">
        <v>123</v>
      </c>
      <c r="V22" t="s">
        <v>124</v>
      </c>
      <c r="W22">
        <v>1080</v>
      </c>
      <c r="X22">
        <v>44.99</v>
      </c>
      <c r="Y22">
        <v>139</v>
      </c>
      <c r="Z22">
        <v>779000</v>
      </c>
      <c r="AA22">
        <v>172800</v>
      </c>
      <c r="AB22">
        <v>0</v>
      </c>
      <c r="AD22" t="s">
        <v>79</v>
      </c>
      <c r="AE22">
        <v>1</v>
      </c>
      <c r="AJ22">
        <v>80</v>
      </c>
      <c r="AK22">
        <v>80</v>
      </c>
      <c r="AL22">
        <v>160</v>
      </c>
      <c r="AM22">
        <v>80</v>
      </c>
      <c r="AN22">
        <v>0</v>
      </c>
      <c r="AO22">
        <v>80</v>
      </c>
      <c r="AP22" t="s">
        <v>80</v>
      </c>
      <c r="AQ22" t="s">
        <v>176</v>
      </c>
      <c r="AV22" t="s">
        <v>81</v>
      </c>
      <c r="AW22" t="s">
        <v>69</v>
      </c>
      <c r="AX22" t="s">
        <v>126</v>
      </c>
      <c r="AY22" t="s">
        <v>127</v>
      </c>
      <c r="BD22" t="s">
        <v>136</v>
      </c>
      <c r="BE22" t="s">
        <v>180</v>
      </c>
      <c r="BF22" t="s">
        <v>86</v>
      </c>
      <c r="BG22" t="s">
        <v>110</v>
      </c>
      <c r="BH22" t="str">
        <f>IF(COUNTIF(工作表1!A:A, $C22)&gt;0, "預購款", "非預購款")</f>
        <v>非預購款</v>
      </c>
    </row>
    <row r="23" spans="1:60" x14ac:dyDescent="0.25">
      <c r="A23" t="s">
        <v>114</v>
      </c>
      <c r="B23" t="s">
        <v>60</v>
      </c>
      <c r="C23" t="s">
        <v>115</v>
      </c>
      <c r="D23" t="s">
        <v>116</v>
      </c>
      <c r="E23" t="s">
        <v>117</v>
      </c>
      <c r="F23" t="s">
        <v>178</v>
      </c>
      <c r="G23" t="s">
        <v>118</v>
      </c>
      <c r="H23" t="s">
        <v>130</v>
      </c>
      <c r="I23" t="s">
        <v>134</v>
      </c>
      <c r="J23" t="s">
        <v>135</v>
      </c>
      <c r="K23" t="s">
        <v>69</v>
      </c>
      <c r="L23" t="s">
        <v>122</v>
      </c>
      <c r="M23" t="s">
        <v>71</v>
      </c>
      <c r="N23" t="s">
        <v>100</v>
      </c>
      <c r="O23" t="s">
        <v>101</v>
      </c>
      <c r="P23" t="s">
        <v>102</v>
      </c>
      <c r="S23" t="s">
        <v>179</v>
      </c>
      <c r="T23" t="s">
        <v>76</v>
      </c>
      <c r="U23" t="s">
        <v>123</v>
      </c>
      <c r="V23" t="s">
        <v>124</v>
      </c>
      <c r="W23">
        <v>1080</v>
      </c>
      <c r="X23">
        <v>44.99</v>
      </c>
      <c r="Y23">
        <v>139</v>
      </c>
      <c r="Z23">
        <v>779000</v>
      </c>
      <c r="AA23">
        <v>172800</v>
      </c>
      <c r="AB23">
        <v>0</v>
      </c>
      <c r="AD23" t="s">
        <v>79</v>
      </c>
      <c r="AE23">
        <v>1</v>
      </c>
      <c r="AJ23">
        <v>50</v>
      </c>
      <c r="AK23">
        <v>50</v>
      </c>
      <c r="AL23">
        <v>160</v>
      </c>
      <c r="AM23">
        <v>48</v>
      </c>
      <c r="AN23">
        <v>0</v>
      </c>
      <c r="AO23">
        <v>48</v>
      </c>
      <c r="AP23" t="s">
        <v>80</v>
      </c>
      <c r="AQ23" t="s">
        <v>176</v>
      </c>
      <c r="AV23" t="s">
        <v>81</v>
      </c>
      <c r="AW23" t="s">
        <v>69</v>
      </c>
      <c r="AX23" t="s">
        <v>126</v>
      </c>
      <c r="AY23" t="s">
        <v>127</v>
      </c>
      <c r="BD23" t="s">
        <v>137</v>
      </c>
      <c r="BE23" t="s">
        <v>180</v>
      </c>
      <c r="BF23" t="s">
        <v>86</v>
      </c>
      <c r="BG23" t="s">
        <v>110</v>
      </c>
      <c r="BH23" t="str">
        <f>IF(COUNTIF(工作表1!A:A, $C23)&gt;0, "預購款", "非預購款")</f>
        <v>非預購款</v>
      </c>
    </row>
    <row r="24" spans="1:60" x14ac:dyDescent="0.25">
      <c r="A24" t="s">
        <v>114</v>
      </c>
      <c r="B24" t="s">
        <v>60</v>
      </c>
      <c r="C24" t="s">
        <v>115</v>
      </c>
      <c r="D24" t="s">
        <v>116</v>
      </c>
      <c r="E24" t="s">
        <v>117</v>
      </c>
      <c r="F24" t="s">
        <v>178</v>
      </c>
      <c r="G24" t="s">
        <v>118</v>
      </c>
      <c r="H24" t="s">
        <v>132</v>
      </c>
      <c r="I24" t="s">
        <v>134</v>
      </c>
      <c r="J24" t="s">
        <v>135</v>
      </c>
      <c r="K24" t="s">
        <v>69</v>
      </c>
      <c r="L24" t="s">
        <v>122</v>
      </c>
      <c r="M24" t="s">
        <v>71</v>
      </c>
      <c r="N24" t="s">
        <v>100</v>
      </c>
      <c r="O24" t="s">
        <v>101</v>
      </c>
      <c r="P24" t="s">
        <v>102</v>
      </c>
      <c r="S24" t="s">
        <v>179</v>
      </c>
      <c r="T24" t="s">
        <v>76</v>
      </c>
      <c r="U24" t="s">
        <v>123</v>
      </c>
      <c r="V24" t="s">
        <v>124</v>
      </c>
      <c r="W24">
        <v>1080</v>
      </c>
      <c r="X24">
        <v>44.99</v>
      </c>
      <c r="Y24">
        <v>139</v>
      </c>
      <c r="Z24">
        <v>779000</v>
      </c>
      <c r="AA24">
        <v>172800</v>
      </c>
      <c r="AB24">
        <v>0</v>
      </c>
      <c r="AD24" t="s">
        <v>79</v>
      </c>
      <c r="AE24">
        <v>1</v>
      </c>
      <c r="AJ24">
        <v>30</v>
      </c>
      <c r="AK24">
        <v>30</v>
      </c>
      <c r="AL24">
        <v>160</v>
      </c>
      <c r="AM24">
        <v>29</v>
      </c>
      <c r="AN24">
        <v>0</v>
      </c>
      <c r="AO24">
        <v>29</v>
      </c>
      <c r="AP24" t="s">
        <v>80</v>
      </c>
      <c r="AQ24" t="s">
        <v>176</v>
      </c>
      <c r="AV24" t="s">
        <v>81</v>
      </c>
      <c r="AW24" t="s">
        <v>69</v>
      </c>
      <c r="AX24" t="s">
        <v>126</v>
      </c>
      <c r="AY24" t="s">
        <v>127</v>
      </c>
      <c r="BD24" t="s">
        <v>138</v>
      </c>
      <c r="BE24" t="s">
        <v>180</v>
      </c>
      <c r="BF24" t="s">
        <v>86</v>
      </c>
      <c r="BG24" t="s">
        <v>110</v>
      </c>
      <c r="BH24" t="str">
        <f>IF(COUNTIF(工作表1!A:A, $C24)&gt;0, "預購款", "非預購款")</f>
        <v>非預購款</v>
      </c>
    </row>
    <row r="25" spans="1:60" x14ac:dyDescent="0.25">
      <c r="A25" t="s">
        <v>156</v>
      </c>
      <c r="B25" t="s">
        <v>60</v>
      </c>
      <c r="C25" t="s">
        <v>157</v>
      </c>
      <c r="D25" t="s">
        <v>158</v>
      </c>
      <c r="E25" t="s">
        <v>159</v>
      </c>
      <c r="F25" t="s">
        <v>181</v>
      </c>
      <c r="G25" t="s">
        <v>161</v>
      </c>
      <c r="H25" t="s">
        <v>66</v>
      </c>
      <c r="I25" t="s">
        <v>162</v>
      </c>
      <c r="J25" t="s">
        <v>163</v>
      </c>
      <c r="K25" t="s">
        <v>69</v>
      </c>
      <c r="L25" t="s">
        <v>164</v>
      </c>
      <c r="M25" t="s">
        <v>71</v>
      </c>
      <c r="N25" t="s">
        <v>100</v>
      </c>
      <c r="O25" t="s">
        <v>101</v>
      </c>
      <c r="P25" t="s">
        <v>102</v>
      </c>
      <c r="S25" t="s">
        <v>176</v>
      </c>
      <c r="T25" t="s">
        <v>76</v>
      </c>
      <c r="U25" t="s">
        <v>150</v>
      </c>
      <c r="V25" t="s">
        <v>166</v>
      </c>
      <c r="W25">
        <v>1280</v>
      </c>
      <c r="X25">
        <v>49.99</v>
      </c>
      <c r="Y25">
        <v>169</v>
      </c>
      <c r="Z25">
        <v>919000</v>
      </c>
      <c r="AA25">
        <v>192000</v>
      </c>
      <c r="AB25">
        <v>0</v>
      </c>
      <c r="AD25" t="s">
        <v>79</v>
      </c>
      <c r="AE25">
        <v>2</v>
      </c>
      <c r="AJ25">
        <v>50</v>
      </c>
      <c r="AK25">
        <v>50</v>
      </c>
      <c r="AL25">
        <v>150</v>
      </c>
      <c r="AM25">
        <v>50</v>
      </c>
      <c r="AN25">
        <v>0</v>
      </c>
      <c r="AO25">
        <v>50</v>
      </c>
      <c r="AP25" t="s">
        <v>80</v>
      </c>
      <c r="AQ25" t="s">
        <v>176</v>
      </c>
      <c r="AV25" t="s">
        <v>81</v>
      </c>
      <c r="AW25" t="s">
        <v>69</v>
      </c>
      <c r="AX25" t="s">
        <v>126</v>
      </c>
      <c r="AY25" t="s">
        <v>168</v>
      </c>
      <c r="BD25" t="s">
        <v>169</v>
      </c>
      <c r="BE25" t="s">
        <v>182</v>
      </c>
      <c r="BF25" t="s">
        <v>86</v>
      </c>
      <c r="BG25" t="s">
        <v>87</v>
      </c>
      <c r="BH25" t="str">
        <f>IF(COUNTIF(工作表1!A:A, $C25)&gt;0, "預購款", "非預購款")</f>
        <v>非預購款</v>
      </c>
    </row>
    <row r="26" spans="1:60" x14ac:dyDescent="0.25">
      <c r="A26" t="s">
        <v>156</v>
      </c>
      <c r="B26" t="s">
        <v>60</v>
      </c>
      <c r="C26" t="s">
        <v>157</v>
      </c>
      <c r="D26" t="s">
        <v>158</v>
      </c>
      <c r="E26" t="s">
        <v>159</v>
      </c>
      <c r="F26" t="s">
        <v>181</v>
      </c>
      <c r="G26" t="s">
        <v>161</v>
      </c>
      <c r="H26" t="s">
        <v>66</v>
      </c>
      <c r="I26" t="s">
        <v>171</v>
      </c>
      <c r="J26" t="s">
        <v>172</v>
      </c>
      <c r="K26" t="s">
        <v>69</v>
      </c>
      <c r="L26" t="s">
        <v>164</v>
      </c>
      <c r="M26" t="s">
        <v>71</v>
      </c>
      <c r="N26" t="s">
        <v>100</v>
      </c>
      <c r="O26" t="s">
        <v>101</v>
      </c>
      <c r="P26" t="s">
        <v>102</v>
      </c>
      <c r="S26" t="s">
        <v>176</v>
      </c>
      <c r="T26" t="s">
        <v>76</v>
      </c>
      <c r="U26" t="s">
        <v>150</v>
      </c>
      <c r="V26" t="s">
        <v>166</v>
      </c>
      <c r="W26">
        <v>1280</v>
      </c>
      <c r="X26">
        <v>49.99</v>
      </c>
      <c r="Y26">
        <v>169</v>
      </c>
      <c r="Z26">
        <v>919000</v>
      </c>
      <c r="AA26">
        <v>192000</v>
      </c>
      <c r="AB26">
        <v>0</v>
      </c>
      <c r="AD26" t="s">
        <v>79</v>
      </c>
      <c r="AE26">
        <v>2</v>
      </c>
      <c r="AJ26">
        <v>100</v>
      </c>
      <c r="AK26">
        <v>100</v>
      </c>
      <c r="AL26">
        <v>150</v>
      </c>
      <c r="AM26">
        <v>100</v>
      </c>
      <c r="AN26">
        <v>0</v>
      </c>
      <c r="AO26">
        <v>100</v>
      </c>
      <c r="AP26" t="s">
        <v>80</v>
      </c>
      <c r="AQ26" t="s">
        <v>176</v>
      </c>
      <c r="AV26" t="s">
        <v>81</v>
      </c>
      <c r="AW26" t="s">
        <v>69</v>
      </c>
      <c r="AX26" t="s">
        <v>126</v>
      </c>
      <c r="AY26" t="s">
        <v>168</v>
      </c>
      <c r="BD26" t="s">
        <v>173</v>
      </c>
      <c r="BE26" t="s">
        <v>182</v>
      </c>
      <c r="BF26" t="s">
        <v>86</v>
      </c>
      <c r="BG26" t="s">
        <v>87</v>
      </c>
      <c r="BH26" t="str">
        <f>IF(COUNTIF(工作表1!A:A, $C26)&gt;0, "預購款", "非預購款")</f>
        <v>非預購款</v>
      </c>
    </row>
    <row r="27" spans="1:60" x14ac:dyDescent="0.25">
      <c r="A27" t="s">
        <v>156</v>
      </c>
      <c r="B27" t="s">
        <v>60</v>
      </c>
      <c r="C27" t="s">
        <v>157</v>
      </c>
      <c r="D27" t="s">
        <v>158</v>
      </c>
      <c r="E27" t="s">
        <v>159</v>
      </c>
      <c r="F27" t="s">
        <v>179</v>
      </c>
      <c r="G27" t="s">
        <v>161</v>
      </c>
      <c r="H27" t="s">
        <v>66</v>
      </c>
      <c r="I27" t="s">
        <v>162</v>
      </c>
      <c r="J27" t="s">
        <v>163</v>
      </c>
      <c r="K27" t="s">
        <v>69</v>
      </c>
      <c r="L27" t="s">
        <v>164</v>
      </c>
      <c r="M27" t="s">
        <v>71</v>
      </c>
      <c r="N27" t="s">
        <v>100</v>
      </c>
      <c r="O27" t="s">
        <v>101</v>
      </c>
      <c r="P27" t="s">
        <v>102</v>
      </c>
      <c r="S27" t="s">
        <v>183</v>
      </c>
      <c r="T27" t="s">
        <v>76</v>
      </c>
      <c r="U27" t="s">
        <v>150</v>
      </c>
      <c r="V27" t="s">
        <v>166</v>
      </c>
      <c r="W27">
        <v>1280</v>
      </c>
      <c r="X27">
        <v>49.99</v>
      </c>
      <c r="Y27">
        <v>169</v>
      </c>
      <c r="Z27">
        <v>919000</v>
      </c>
      <c r="AA27">
        <v>192000</v>
      </c>
      <c r="AB27">
        <v>0</v>
      </c>
      <c r="AD27" t="s">
        <v>79</v>
      </c>
      <c r="AE27">
        <v>2</v>
      </c>
      <c r="AJ27">
        <v>50</v>
      </c>
      <c r="AK27">
        <v>50</v>
      </c>
      <c r="AL27">
        <v>150</v>
      </c>
      <c r="AM27">
        <v>50</v>
      </c>
      <c r="AN27">
        <v>0</v>
      </c>
      <c r="AO27">
        <v>50</v>
      </c>
      <c r="AP27" t="s">
        <v>80</v>
      </c>
      <c r="AQ27" t="s">
        <v>184</v>
      </c>
      <c r="AV27" t="s">
        <v>81</v>
      </c>
      <c r="AW27" t="s">
        <v>69</v>
      </c>
      <c r="AX27" t="s">
        <v>126</v>
      </c>
      <c r="AY27" t="s">
        <v>168</v>
      </c>
      <c r="BD27" t="s">
        <v>169</v>
      </c>
      <c r="BE27" t="s">
        <v>185</v>
      </c>
      <c r="BF27" t="s">
        <v>86</v>
      </c>
      <c r="BG27" t="s">
        <v>87</v>
      </c>
      <c r="BH27" t="str">
        <f>IF(COUNTIF(工作表1!A:A, $C27)&gt;0, "預購款", "非預購款")</f>
        <v>非預購款</v>
      </c>
    </row>
    <row r="28" spans="1:60" x14ac:dyDescent="0.25">
      <c r="A28" t="s">
        <v>156</v>
      </c>
      <c r="B28" t="s">
        <v>60</v>
      </c>
      <c r="C28" t="s">
        <v>157</v>
      </c>
      <c r="D28" t="s">
        <v>158</v>
      </c>
      <c r="E28" t="s">
        <v>159</v>
      </c>
      <c r="F28" t="s">
        <v>179</v>
      </c>
      <c r="G28" t="s">
        <v>161</v>
      </c>
      <c r="H28" t="s">
        <v>66</v>
      </c>
      <c r="I28" t="s">
        <v>171</v>
      </c>
      <c r="J28" t="s">
        <v>172</v>
      </c>
      <c r="K28" t="s">
        <v>69</v>
      </c>
      <c r="L28" t="s">
        <v>164</v>
      </c>
      <c r="M28" t="s">
        <v>71</v>
      </c>
      <c r="N28" t="s">
        <v>100</v>
      </c>
      <c r="O28" t="s">
        <v>101</v>
      </c>
      <c r="P28" t="s">
        <v>102</v>
      </c>
      <c r="S28" t="s">
        <v>183</v>
      </c>
      <c r="T28" t="s">
        <v>76</v>
      </c>
      <c r="U28" t="s">
        <v>150</v>
      </c>
      <c r="V28" t="s">
        <v>166</v>
      </c>
      <c r="W28">
        <v>1280</v>
      </c>
      <c r="X28">
        <v>49.99</v>
      </c>
      <c r="Y28">
        <v>169</v>
      </c>
      <c r="Z28">
        <v>919000</v>
      </c>
      <c r="AA28">
        <v>192000</v>
      </c>
      <c r="AB28">
        <v>0</v>
      </c>
      <c r="AD28" t="s">
        <v>79</v>
      </c>
      <c r="AE28">
        <v>2</v>
      </c>
      <c r="AJ28">
        <v>100</v>
      </c>
      <c r="AK28">
        <v>100</v>
      </c>
      <c r="AL28">
        <v>150</v>
      </c>
      <c r="AM28">
        <v>100</v>
      </c>
      <c r="AN28">
        <v>0</v>
      </c>
      <c r="AO28">
        <v>100</v>
      </c>
      <c r="AP28" t="s">
        <v>80</v>
      </c>
      <c r="AQ28" t="s">
        <v>184</v>
      </c>
      <c r="AV28" t="s">
        <v>81</v>
      </c>
      <c r="AW28" t="s">
        <v>69</v>
      </c>
      <c r="AX28" t="s">
        <v>126</v>
      </c>
      <c r="AY28" t="s">
        <v>168</v>
      </c>
      <c r="BD28" t="s">
        <v>173</v>
      </c>
      <c r="BE28" t="s">
        <v>185</v>
      </c>
      <c r="BF28" t="s">
        <v>86</v>
      </c>
      <c r="BG28" t="s">
        <v>87</v>
      </c>
      <c r="BH28" t="str">
        <f>IF(COUNTIF(工作表1!A:A, $C28)&gt;0, "預購款", "非預購款")</f>
        <v>非預購款</v>
      </c>
    </row>
    <row r="29" spans="1:60" x14ac:dyDescent="0.25">
      <c r="B29" t="s">
        <v>60</v>
      </c>
      <c r="C29" t="s">
        <v>139</v>
      </c>
      <c r="D29" t="s">
        <v>140</v>
      </c>
      <c r="E29" t="s">
        <v>141</v>
      </c>
      <c r="F29" t="s">
        <v>176</v>
      </c>
      <c r="G29" t="s">
        <v>143</v>
      </c>
      <c r="H29" t="s">
        <v>119</v>
      </c>
      <c r="I29" t="s">
        <v>120</v>
      </c>
      <c r="J29" t="s">
        <v>121</v>
      </c>
      <c r="K29" t="s">
        <v>69</v>
      </c>
      <c r="L29" t="s">
        <v>144</v>
      </c>
      <c r="M29" t="s">
        <v>71</v>
      </c>
      <c r="N29" t="s">
        <v>100</v>
      </c>
      <c r="O29" t="s">
        <v>101</v>
      </c>
      <c r="P29" t="s">
        <v>102</v>
      </c>
      <c r="S29" t="s">
        <v>183</v>
      </c>
      <c r="T29" t="s">
        <v>76</v>
      </c>
      <c r="U29" t="s">
        <v>146</v>
      </c>
      <c r="V29" t="s">
        <v>144</v>
      </c>
      <c r="W29">
        <v>1380</v>
      </c>
      <c r="X29">
        <v>54.99</v>
      </c>
      <c r="Y29">
        <v>179</v>
      </c>
      <c r="Z29">
        <v>989000</v>
      </c>
      <c r="AA29">
        <v>124200</v>
      </c>
      <c r="AB29">
        <v>0</v>
      </c>
      <c r="AD29" t="s">
        <v>79</v>
      </c>
      <c r="AE29">
        <v>1</v>
      </c>
      <c r="AJ29">
        <v>45</v>
      </c>
      <c r="AK29">
        <v>45</v>
      </c>
      <c r="AL29">
        <v>90</v>
      </c>
      <c r="AM29">
        <v>50</v>
      </c>
      <c r="AN29">
        <v>0</v>
      </c>
      <c r="AO29">
        <v>50</v>
      </c>
      <c r="AP29" t="s">
        <v>80</v>
      </c>
      <c r="AQ29" t="s">
        <v>184</v>
      </c>
      <c r="AV29" t="s">
        <v>81</v>
      </c>
      <c r="AW29" t="s">
        <v>69</v>
      </c>
      <c r="AX29" t="s">
        <v>126</v>
      </c>
      <c r="AY29" t="s">
        <v>147</v>
      </c>
      <c r="BD29" t="s">
        <v>148</v>
      </c>
      <c r="BE29" t="s">
        <v>186</v>
      </c>
      <c r="BF29" t="s">
        <v>86</v>
      </c>
      <c r="BG29" t="s">
        <v>150</v>
      </c>
      <c r="BH29" t="str">
        <f>IF(COUNTIF(工作表1!A:A, $C29)&gt;0, "預購款", "非預購款")</f>
        <v>非預購款</v>
      </c>
    </row>
    <row r="30" spans="1:60" x14ac:dyDescent="0.25">
      <c r="B30" t="s">
        <v>60</v>
      </c>
      <c r="C30" t="s">
        <v>139</v>
      </c>
      <c r="D30" t="s">
        <v>140</v>
      </c>
      <c r="E30" t="s">
        <v>141</v>
      </c>
      <c r="F30" t="s">
        <v>176</v>
      </c>
      <c r="G30" t="s">
        <v>143</v>
      </c>
      <c r="H30" t="s">
        <v>130</v>
      </c>
      <c r="I30" t="s">
        <v>120</v>
      </c>
      <c r="J30" t="s">
        <v>121</v>
      </c>
      <c r="K30" t="s">
        <v>69</v>
      </c>
      <c r="L30" t="s">
        <v>144</v>
      </c>
      <c r="M30" t="s">
        <v>71</v>
      </c>
      <c r="N30" t="s">
        <v>100</v>
      </c>
      <c r="O30" t="s">
        <v>101</v>
      </c>
      <c r="P30" t="s">
        <v>102</v>
      </c>
      <c r="S30" t="s">
        <v>183</v>
      </c>
      <c r="T30" t="s">
        <v>76</v>
      </c>
      <c r="U30" t="s">
        <v>146</v>
      </c>
      <c r="V30" t="s">
        <v>144</v>
      </c>
      <c r="W30">
        <v>1380</v>
      </c>
      <c r="X30">
        <v>54.99</v>
      </c>
      <c r="Y30">
        <v>179</v>
      </c>
      <c r="Z30">
        <v>989000</v>
      </c>
      <c r="AA30">
        <v>124200</v>
      </c>
      <c r="AB30">
        <v>0</v>
      </c>
      <c r="AD30" t="s">
        <v>79</v>
      </c>
      <c r="AE30">
        <v>1</v>
      </c>
      <c r="AJ30">
        <v>30</v>
      </c>
      <c r="AK30">
        <v>30</v>
      </c>
      <c r="AL30">
        <v>90</v>
      </c>
      <c r="AM30">
        <v>32</v>
      </c>
      <c r="AN30">
        <v>0</v>
      </c>
      <c r="AO30">
        <v>32</v>
      </c>
      <c r="AP30" t="s">
        <v>80</v>
      </c>
      <c r="AQ30" t="s">
        <v>184</v>
      </c>
      <c r="AV30" t="s">
        <v>81</v>
      </c>
      <c r="AW30" t="s">
        <v>69</v>
      </c>
      <c r="AX30" t="s">
        <v>126</v>
      </c>
      <c r="AY30" t="s">
        <v>147</v>
      </c>
      <c r="BD30" t="s">
        <v>151</v>
      </c>
      <c r="BE30" t="s">
        <v>186</v>
      </c>
      <c r="BF30" t="s">
        <v>86</v>
      </c>
      <c r="BG30" t="s">
        <v>150</v>
      </c>
      <c r="BH30" t="str">
        <f>IF(COUNTIF(工作表1!A:A, $C30)&gt;0, "預購款", "非預購款")</f>
        <v>非預購款</v>
      </c>
    </row>
    <row r="31" spans="1:60" x14ac:dyDescent="0.25">
      <c r="B31" t="s">
        <v>60</v>
      </c>
      <c r="C31" t="s">
        <v>139</v>
      </c>
      <c r="D31" t="s">
        <v>140</v>
      </c>
      <c r="E31" t="s">
        <v>141</v>
      </c>
      <c r="F31" t="s">
        <v>176</v>
      </c>
      <c r="G31" t="s">
        <v>143</v>
      </c>
      <c r="H31" t="s">
        <v>132</v>
      </c>
      <c r="I31" t="s">
        <v>120</v>
      </c>
      <c r="J31" t="s">
        <v>121</v>
      </c>
      <c r="K31" t="s">
        <v>69</v>
      </c>
      <c r="L31" t="s">
        <v>144</v>
      </c>
      <c r="M31" t="s">
        <v>71</v>
      </c>
      <c r="N31" t="s">
        <v>100</v>
      </c>
      <c r="O31" t="s">
        <v>101</v>
      </c>
      <c r="P31" t="s">
        <v>102</v>
      </c>
      <c r="S31" t="s">
        <v>183</v>
      </c>
      <c r="T31" t="s">
        <v>76</v>
      </c>
      <c r="U31" t="s">
        <v>146</v>
      </c>
      <c r="V31" t="s">
        <v>144</v>
      </c>
      <c r="W31">
        <v>1380</v>
      </c>
      <c r="X31">
        <v>54.99</v>
      </c>
      <c r="Y31">
        <v>179</v>
      </c>
      <c r="Z31">
        <v>989000</v>
      </c>
      <c r="AA31">
        <v>124200</v>
      </c>
      <c r="AB31">
        <v>0</v>
      </c>
      <c r="AD31" t="s">
        <v>79</v>
      </c>
      <c r="AE31">
        <v>1</v>
      </c>
      <c r="AJ31">
        <v>15</v>
      </c>
      <c r="AK31">
        <v>15</v>
      </c>
      <c r="AL31">
        <v>90</v>
      </c>
      <c r="AM31">
        <v>17</v>
      </c>
      <c r="AN31">
        <v>0</v>
      </c>
      <c r="AO31">
        <v>17</v>
      </c>
      <c r="AP31" t="s">
        <v>80</v>
      </c>
      <c r="AQ31" t="s">
        <v>184</v>
      </c>
      <c r="AV31" t="s">
        <v>81</v>
      </c>
      <c r="AW31" t="s">
        <v>69</v>
      </c>
      <c r="AX31" t="s">
        <v>126</v>
      </c>
      <c r="AY31" t="s">
        <v>147</v>
      </c>
      <c r="BD31" t="s">
        <v>152</v>
      </c>
      <c r="BE31" t="s">
        <v>186</v>
      </c>
      <c r="BF31" t="s">
        <v>86</v>
      </c>
      <c r="BG31" t="s">
        <v>150</v>
      </c>
      <c r="BH31" t="str">
        <f>IF(COUNTIF(工作表1!A:A, $C31)&gt;0, "預購款", "非預購款")</f>
        <v>非預購款</v>
      </c>
    </row>
    <row r="32" spans="1:60" x14ac:dyDescent="0.25">
      <c r="A32" t="s">
        <v>91</v>
      </c>
      <c r="B32" t="s">
        <v>60</v>
      </c>
      <c r="C32" t="s">
        <v>92</v>
      </c>
      <c r="D32" t="s">
        <v>93</v>
      </c>
      <c r="E32" t="s">
        <v>94</v>
      </c>
      <c r="F32" t="s">
        <v>174</v>
      </c>
      <c r="G32" t="s">
        <v>96</v>
      </c>
      <c r="H32" t="s">
        <v>66</v>
      </c>
      <c r="I32" t="s">
        <v>111</v>
      </c>
      <c r="J32" t="s">
        <v>112</v>
      </c>
      <c r="K32" t="s">
        <v>69</v>
      </c>
      <c r="L32" t="s">
        <v>99</v>
      </c>
      <c r="M32" t="s">
        <v>71</v>
      </c>
      <c r="N32" t="s">
        <v>100</v>
      </c>
      <c r="O32" t="s">
        <v>101</v>
      </c>
      <c r="P32" t="s">
        <v>102</v>
      </c>
      <c r="S32" t="s">
        <v>175</v>
      </c>
      <c r="T32" t="s">
        <v>76</v>
      </c>
      <c r="U32" t="s">
        <v>104</v>
      </c>
      <c r="V32" t="s">
        <v>99</v>
      </c>
      <c r="W32">
        <v>1180</v>
      </c>
      <c r="X32">
        <v>49.99</v>
      </c>
      <c r="Y32">
        <v>155</v>
      </c>
      <c r="Z32">
        <v>859000</v>
      </c>
      <c r="AA32">
        <v>2360</v>
      </c>
      <c r="AB32">
        <v>0</v>
      </c>
      <c r="AD32" t="s">
        <v>79</v>
      </c>
      <c r="AE32">
        <v>1</v>
      </c>
      <c r="AJ32">
        <v>2</v>
      </c>
      <c r="AK32">
        <v>2</v>
      </c>
      <c r="AL32">
        <v>2</v>
      </c>
      <c r="AM32">
        <v>2</v>
      </c>
      <c r="AN32">
        <v>0</v>
      </c>
      <c r="AO32">
        <v>2</v>
      </c>
      <c r="AP32" t="s">
        <v>80</v>
      </c>
      <c r="AQ32" t="s">
        <v>187</v>
      </c>
      <c r="AV32" t="s">
        <v>81</v>
      </c>
      <c r="AW32" t="s">
        <v>69</v>
      </c>
      <c r="AX32" t="s">
        <v>106</v>
      </c>
      <c r="AY32" t="s">
        <v>107</v>
      </c>
      <c r="BD32" t="s">
        <v>113</v>
      </c>
      <c r="BE32" t="s">
        <v>188</v>
      </c>
      <c r="BF32" t="s">
        <v>86</v>
      </c>
      <c r="BG32" t="s">
        <v>110</v>
      </c>
      <c r="BH32" t="str">
        <f>IF(COUNTIF(工作表1!A:A, $C32)&gt;0, "預購款", "非預購款")</f>
        <v>非預購款</v>
      </c>
    </row>
    <row r="33" spans="1:60" x14ac:dyDescent="0.25">
      <c r="A33" t="s">
        <v>114</v>
      </c>
      <c r="B33" t="s">
        <v>60</v>
      </c>
      <c r="C33" t="s">
        <v>115</v>
      </c>
      <c r="D33" t="s">
        <v>116</v>
      </c>
      <c r="E33" t="s">
        <v>117</v>
      </c>
      <c r="F33" t="s">
        <v>178</v>
      </c>
      <c r="G33" t="s">
        <v>118</v>
      </c>
      <c r="H33" t="s">
        <v>119</v>
      </c>
      <c r="I33" t="s">
        <v>134</v>
      </c>
      <c r="J33" t="s">
        <v>135</v>
      </c>
      <c r="K33" t="s">
        <v>69</v>
      </c>
      <c r="L33" t="s">
        <v>122</v>
      </c>
      <c r="M33" t="s">
        <v>71</v>
      </c>
      <c r="N33" t="s">
        <v>100</v>
      </c>
      <c r="O33" t="s">
        <v>101</v>
      </c>
      <c r="P33" t="s">
        <v>102</v>
      </c>
      <c r="S33" t="s">
        <v>179</v>
      </c>
      <c r="T33" t="s">
        <v>76</v>
      </c>
      <c r="U33" t="s">
        <v>123</v>
      </c>
      <c r="V33" t="s">
        <v>124</v>
      </c>
      <c r="W33">
        <v>1080</v>
      </c>
      <c r="X33">
        <v>44.99</v>
      </c>
      <c r="Y33">
        <v>139</v>
      </c>
      <c r="Z33">
        <v>779000</v>
      </c>
      <c r="AA33">
        <v>3240</v>
      </c>
      <c r="AB33">
        <v>0</v>
      </c>
      <c r="AD33" t="s">
        <v>79</v>
      </c>
      <c r="AE33">
        <v>1</v>
      </c>
      <c r="AJ33">
        <v>3</v>
      </c>
      <c r="AK33">
        <v>3</v>
      </c>
      <c r="AL33">
        <v>3</v>
      </c>
      <c r="AM33">
        <v>3</v>
      </c>
      <c r="AN33">
        <v>0</v>
      </c>
      <c r="AO33">
        <v>3</v>
      </c>
      <c r="AP33" t="s">
        <v>80</v>
      </c>
      <c r="AQ33" t="s">
        <v>187</v>
      </c>
      <c r="AV33" t="s">
        <v>81</v>
      </c>
      <c r="AW33" t="s">
        <v>69</v>
      </c>
      <c r="AX33" t="s">
        <v>126</v>
      </c>
      <c r="AY33" t="s">
        <v>127</v>
      </c>
      <c r="BD33" t="s">
        <v>136</v>
      </c>
      <c r="BE33" t="s">
        <v>189</v>
      </c>
      <c r="BF33" t="s">
        <v>86</v>
      </c>
      <c r="BG33" t="s">
        <v>110</v>
      </c>
      <c r="BH33" t="str">
        <f>IF(COUNTIF(工作表1!A:A, $C33)&gt;0, "預購款", "非預購款")</f>
        <v>非預購款</v>
      </c>
    </row>
    <row r="34" spans="1:60" x14ac:dyDescent="0.25">
      <c r="B34" t="s">
        <v>60</v>
      </c>
      <c r="C34" t="s">
        <v>139</v>
      </c>
      <c r="D34" t="s">
        <v>140</v>
      </c>
      <c r="E34" t="s">
        <v>141</v>
      </c>
      <c r="F34" t="s">
        <v>176</v>
      </c>
      <c r="G34" t="s">
        <v>143</v>
      </c>
      <c r="H34" t="s">
        <v>130</v>
      </c>
      <c r="I34" t="s">
        <v>120</v>
      </c>
      <c r="J34" t="s">
        <v>121</v>
      </c>
      <c r="K34" t="s">
        <v>69</v>
      </c>
      <c r="L34" t="s">
        <v>144</v>
      </c>
      <c r="M34" t="s">
        <v>71</v>
      </c>
      <c r="N34" t="s">
        <v>100</v>
      </c>
      <c r="O34" t="s">
        <v>101</v>
      </c>
      <c r="P34" t="s">
        <v>102</v>
      </c>
      <c r="S34" t="s">
        <v>183</v>
      </c>
      <c r="T34" t="s">
        <v>76</v>
      </c>
      <c r="U34" t="s">
        <v>146</v>
      </c>
      <c r="V34" t="s">
        <v>144</v>
      </c>
      <c r="W34">
        <v>1380</v>
      </c>
      <c r="X34">
        <v>54.99</v>
      </c>
      <c r="Y34">
        <v>179</v>
      </c>
      <c r="Z34">
        <v>989000</v>
      </c>
      <c r="AA34">
        <v>4140</v>
      </c>
      <c r="AB34">
        <v>0</v>
      </c>
      <c r="AD34" t="s">
        <v>79</v>
      </c>
      <c r="AE34">
        <v>1</v>
      </c>
      <c r="AJ34">
        <v>3</v>
      </c>
      <c r="AK34">
        <v>3</v>
      </c>
      <c r="AL34">
        <v>3</v>
      </c>
      <c r="AM34">
        <v>3</v>
      </c>
      <c r="AN34">
        <v>0</v>
      </c>
      <c r="AO34">
        <v>3</v>
      </c>
      <c r="AP34" t="s">
        <v>80</v>
      </c>
      <c r="AQ34" t="s">
        <v>190</v>
      </c>
      <c r="AV34" t="s">
        <v>81</v>
      </c>
      <c r="AW34" t="s">
        <v>69</v>
      </c>
      <c r="AX34" t="s">
        <v>126</v>
      </c>
      <c r="AY34" t="s">
        <v>147</v>
      </c>
      <c r="BD34" t="s">
        <v>151</v>
      </c>
      <c r="BE34" t="s">
        <v>191</v>
      </c>
      <c r="BF34" t="s">
        <v>86</v>
      </c>
      <c r="BG34" t="s">
        <v>150</v>
      </c>
      <c r="BH34" t="str">
        <f>IF(COUNTIF(工作表1!A:A, $C34)&gt;0, "預購款", "非預購款")</f>
        <v>非預購款</v>
      </c>
    </row>
    <row r="35" spans="1:60" x14ac:dyDescent="0.25">
      <c r="A35" t="s">
        <v>192</v>
      </c>
      <c r="B35" t="s">
        <v>60</v>
      </c>
      <c r="C35" t="s">
        <v>193</v>
      </c>
      <c r="D35" t="s">
        <v>194</v>
      </c>
      <c r="E35" t="s">
        <v>195</v>
      </c>
      <c r="F35" t="s">
        <v>196</v>
      </c>
      <c r="G35" t="s">
        <v>197</v>
      </c>
      <c r="H35" t="s">
        <v>66</v>
      </c>
      <c r="I35" t="s">
        <v>120</v>
      </c>
      <c r="J35" t="s">
        <v>121</v>
      </c>
      <c r="K35" t="s">
        <v>69</v>
      </c>
      <c r="M35" t="s">
        <v>71</v>
      </c>
      <c r="N35" t="s">
        <v>198</v>
      </c>
      <c r="O35" t="s">
        <v>199</v>
      </c>
      <c r="P35" t="s">
        <v>200</v>
      </c>
      <c r="S35" t="s">
        <v>201</v>
      </c>
      <c r="T35" t="s">
        <v>76</v>
      </c>
      <c r="U35" t="s">
        <v>150</v>
      </c>
      <c r="V35" t="s">
        <v>202</v>
      </c>
      <c r="W35">
        <v>890</v>
      </c>
      <c r="X35">
        <v>39.99</v>
      </c>
      <c r="Y35">
        <v>115</v>
      </c>
      <c r="Z35">
        <v>639000</v>
      </c>
      <c r="AA35">
        <v>258100</v>
      </c>
      <c r="AB35">
        <v>0</v>
      </c>
      <c r="AD35" t="s">
        <v>79</v>
      </c>
      <c r="AE35">
        <v>3</v>
      </c>
      <c r="AJ35">
        <v>120</v>
      </c>
      <c r="AK35">
        <v>120</v>
      </c>
      <c r="AL35">
        <v>290</v>
      </c>
      <c r="AM35">
        <v>120</v>
      </c>
      <c r="AN35">
        <v>0</v>
      </c>
      <c r="AO35">
        <v>120</v>
      </c>
      <c r="AP35" t="s">
        <v>80</v>
      </c>
      <c r="AQ35" t="s">
        <v>190</v>
      </c>
      <c r="AV35" t="s">
        <v>203</v>
      </c>
      <c r="AW35" t="s">
        <v>69</v>
      </c>
      <c r="AX35" t="s">
        <v>126</v>
      </c>
      <c r="AY35" t="s">
        <v>204</v>
      </c>
      <c r="BD35" t="s">
        <v>205</v>
      </c>
      <c r="BE35" t="s">
        <v>206</v>
      </c>
      <c r="BF35" t="s">
        <v>86</v>
      </c>
      <c r="BG35" t="s">
        <v>87</v>
      </c>
      <c r="BH35" t="str">
        <f>IF(COUNTIF(工作表1!A:A, $C35)&gt;0, "預購款", "非預購款")</f>
        <v>非預購款</v>
      </c>
    </row>
    <row r="36" spans="1:60" x14ac:dyDescent="0.25">
      <c r="A36" t="s">
        <v>192</v>
      </c>
      <c r="B36" t="s">
        <v>60</v>
      </c>
      <c r="C36" t="s">
        <v>193</v>
      </c>
      <c r="D36" t="s">
        <v>194</v>
      </c>
      <c r="E36" t="s">
        <v>195</v>
      </c>
      <c r="F36" t="s">
        <v>196</v>
      </c>
      <c r="G36" t="s">
        <v>197</v>
      </c>
      <c r="H36" t="s">
        <v>66</v>
      </c>
      <c r="I36" t="s">
        <v>97</v>
      </c>
      <c r="J36" t="s">
        <v>98</v>
      </c>
      <c r="K36" t="s">
        <v>69</v>
      </c>
      <c r="M36" t="s">
        <v>71</v>
      </c>
      <c r="N36" t="s">
        <v>198</v>
      </c>
      <c r="O36" t="s">
        <v>199</v>
      </c>
      <c r="P36" t="s">
        <v>200</v>
      </c>
      <c r="S36" t="s">
        <v>201</v>
      </c>
      <c r="T36" t="s">
        <v>76</v>
      </c>
      <c r="U36" t="s">
        <v>150</v>
      </c>
      <c r="V36" t="s">
        <v>202</v>
      </c>
      <c r="W36">
        <v>890</v>
      </c>
      <c r="X36">
        <v>39.99</v>
      </c>
      <c r="Y36">
        <v>115</v>
      </c>
      <c r="Z36">
        <v>639000</v>
      </c>
      <c r="AA36">
        <v>258100</v>
      </c>
      <c r="AB36">
        <v>0</v>
      </c>
      <c r="AD36" t="s">
        <v>79</v>
      </c>
      <c r="AE36">
        <v>3</v>
      </c>
      <c r="AJ36">
        <v>100</v>
      </c>
      <c r="AK36">
        <v>100</v>
      </c>
      <c r="AL36">
        <v>290</v>
      </c>
      <c r="AM36">
        <v>100</v>
      </c>
      <c r="AN36">
        <v>0</v>
      </c>
      <c r="AO36">
        <v>100</v>
      </c>
      <c r="AP36" t="s">
        <v>80</v>
      </c>
      <c r="AQ36" t="s">
        <v>190</v>
      </c>
      <c r="AV36" t="s">
        <v>203</v>
      </c>
      <c r="AW36" t="s">
        <v>69</v>
      </c>
      <c r="AX36" t="s">
        <v>126</v>
      </c>
      <c r="AY36" t="s">
        <v>204</v>
      </c>
      <c r="BD36" t="s">
        <v>207</v>
      </c>
      <c r="BE36" t="s">
        <v>206</v>
      </c>
      <c r="BF36" t="s">
        <v>86</v>
      </c>
      <c r="BG36" t="s">
        <v>87</v>
      </c>
      <c r="BH36" t="str">
        <f>IF(COUNTIF(工作表1!A:A, $C36)&gt;0, "預購款", "非預購款")</f>
        <v>非預購款</v>
      </c>
    </row>
    <row r="37" spans="1:60" x14ac:dyDescent="0.25">
      <c r="A37" t="s">
        <v>192</v>
      </c>
      <c r="B37" t="s">
        <v>60</v>
      </c>
      <c r="C37" t="s">
        <v>193</v>
      </c>
      <c r="D37" t="s">
        <v>194</v>
      </c>
      <c r="E37" t="s">
        <v>195</v>
      </c>
      <c r="F37" t="s">
        <v>196</v>
      </c>
      <c r="G37" t="s">
        <v>197</v>
      </c>
      <c r="H37" t="s">
        <v>66</v>
      </c>
      <c r="I37" t="s">
        <v>111</v>
      </c>
      <c r="J37" t="s">
        <v>112</v>
      </c>
      <c r="K37" t="s">
        <v>69</v>
      </c>
      <c r="M37" t="s">
        <v>71</v>
      </c>
      <c r="N37" t="s">
        <v>198</v>
      </c>
      <c r="O37" t="s">
        <v>199</v>
      </c>
      <c r="P37" t="s">
        <v>200</v>
      </c>
      <c r="S37" t="s">
        <v>201</v>
      </c>
      <c r="T37" t="s">
        <v>76</v>
      </c>
      <c r="U37" t="s">
        <v>150</v>
      </c>
      <c r="V37" t="s">
        <v>202</v>
      </c>
      <c r="W37">
        <v>890</v>
      </c>
      <c r="X37">
        <v>39.99</v>
      </c>
      <c r="Y37">
        <v>115</v>
      </c>
      <c r="Z37">
        <v>639000</v>
      </c>
      <c r="AA37">
        <v>258100</v>
      </c>
      <c r="AB37">
        <v>0</v>
      </c>
      <c r="AD37" t="s">
        <v>79</v>
      </c>
      <c r="AE37">
        <v>3</v>
      </c>
      <c r="AJ37">
        <v>70</v>
      </c>
      <c r="AK37">
        <v>70</v>
      </c>
      <c r="AL37">
        <v>290</v>
      </c>
      <c r="AM37">
        <v>70</v>
      </c>
      <c r="AN37">
        <v>0</v>
      </c>
      <c r="AO37">
        <v>70</v>
      </c>
      <c r="AP37" t="s">
        <v>80</v>
      </c>
      <c r="AQ37" t="s">
        <v>190</v>
      </c>
      <c r="AV37" t="s">
        <v>203</v>
      </c>
      <c r="AW37" t="s">
        <v>69</v>
      </c>
      <c r="AX37" t="s">
        <v>126</v>
      </c>
      <c r="AY37" t="s">
        <v>204</v>
      </c>
      <c r="BD37" t="s">
        <v>208</v>
      </c>
      <c r="BE37" t="s">
        <v>206</v>
      </c>
      <c r="BF37" t="s">
        <v>86</v>
      </c>
      <c r="BG37" t="s">
        <v>87</v>
      </c>
      <c r="BH37" t="str">
        <f>IF(COUNTIF(工作表1!A:A, $C37)&gt;0, "預購款", "非預購款")</f>
        <v>非預購款</v>
      </c>
    </row>
    <row r="38" spans="1:60" x14ac:dyDescent="0.25">
      <c r="A38" t="s">
        <v>209</v>
      </c>
      <c r="B38" t="s">
        <v>60</v>
      </c>
      <c r="C38" t="s">
        <v>210</v>
      </c>
      <c r="D38" t="s">
        <v>211</v>
      </c>
      <c r="E38" t="s">
        <v>212</v>
      </c>
      <c r="F38" t="s">
        <v>196</v>
      </c>
      <c r="G38" t="s">
        <v>213</v>
      </c>
      <c r="H38" t="s">
        <v>66</v>
      </c>
      <c r="I38" t="s">
        <v>214</v>
      </c>
      <c r="J38" t="s">
        <v>215</v>
      </c>
      <c r="K38" t="s">
        <v>69</v>
      </c>
      <c r="M38" t="s">
        <v>71</v>
      </c>
      <c r="N38" t="s">
        <v>198</v>
      </c>
      <c r="O38" t="s">
        <v>199</v>
      </c>
      <c r="P38" t="s">
        <v>200</v>
      </c>
      <c r="S38" t="s">
        <v>201</v>
      </c>
      <c r="T38" t="s">
        <v>76</v>
      </c>
      <c r="U38" t="s">
        <v>104</v>
      </c>
      <c r="V38" t="s">
        <v>216</v>
      </c>
      <c r="W38">
        <v>790</v>
      </c>
      <c r="X38">
        <v>34.99</v>
      </c>
      <c r="Y38">
        <v>99</v>
      </c>
      <c r="Z38">
        <v>569000</v>
      </c>
      <c r="AA38">
        <v>79000</v>
      </c>
      <c r="AB38">
        <v>0</v>
      </c>
      <c r="AD38" t="s">
        <v>79</v>
      </c>
      <c r="AE38">
        <v>1</v>
      </c>
      <c r="AJ38">
        <v>100</v>
      </c>
      <c r="AK38">
        <v>100</v>
      </c>
      <c r="AL38">
        <v>100</v>
      </c>
      <c r="AM38">
        <v>0</v>
      </c>
      <c r="AN38">
        <v>0</v>
      </c>
      <c r="AO38">
        <v>0</v>
      </c>
      <c r="AP38" t="s">
        <v>69</v>
      </c>
      <c r="AV38" t="s">
        <v>217</v>
      </c>
      <c r="AW38" t="s">
        <v>69</v>
      </c>
      <c r="AX38" t="s">
        <v>218</v>
      </c>
      <c r="AY38" t="s">
        <v>219</v>
      </c>
      <c r="BD38" t="s">
        <v>220</v>
      </c>
      <c r="BE38" t="s">
        <v>221</v>
      </c>
      <c r="BF38" t="s">
        <v>86</v>
      </c>
      <c r="BG38" t="s">
        <v>150</v>
      </c>
      <c r="BH38" t="str">
        <f>IF(COUNTIF(工作表1!A:A, $C38)&gt;0, "預購款", "非預購款")</f>
        <v>非預購款</v>
      </c>
    </row>
    <row r="39" spans="1:60" x14ac:dyDescent="0.25">
      <c r="A39" t="s">
        <v>156</v>
      </c>
      <c r="B39" t="s">
        <v>60</v>
      </c>
      <c r="C39" t="s">
        <v>157</v>
      </c>
      <c r="D39" t="s">
        <v>158</v>
      </c>
      <c r="E39" t="s">
        <v>159</v>
      </c>
      <c r="F39" t="s">
        <v>222</v>
      </c>
      <c r="G39" t="s">
        <v>161</v>
      </c>
      <c r="H39" t="s">
        <v>66</v>
      </c>
      <c r="I39" t="s">
        <v>162</v>
      </c>
      <c r="J39" t="s">
        <v>163</v>
      </c>
      <c r="K39" t="s">
        <v>69</v>
      </c>
      <c r="L39" t="s">
        <v>164</v>
      </c>
      <c r="M39" t="s">
        <v>71</v>
      </c>
      <c r="N39" t="s">
        <v>100</v>
      </c>
      <c r="O39" t="s">
        <v>101</v>
      </c>
      <c r="P39" t="s">
        <v>102</v>
      </c>
      <c r="S39" t="s">
        <v>223</v>
      </c>
      <c r="T39" t="s">
        <v>76</v>
      </c>
      <c r="U39" t="s">
        <v>150</v>
      </c>
      <c r="V39" t="s">
        <v>166</v>
      </c>
      <c r="W39">
        <v>1280</v>
      </c>
      <c r="X39">
        <v>49.99</v>
      </c>
      <c r="Y39">
        <v>169</v>
      </c>
      <c r="Z39">
        <v>919000</v>
      </c>
      <c r="AA39">
        <v>204800</v>
      </c>
      <c r="AB39">
        <v>0</v>
      </c>
      <c r="AD39" t="s">
        <v>79</v>
      </c>
      <c r="AE39">
        <v>2</v>
      </c>
      <c r="AJ39">
        <v>60</v>
      </c>
      <c r="AK39">
        <v>60</v>
      </c>
      <c r="AL39">
        <v>160</v>
      </c>
      <c r="AM39">
        <v>0</v>
      </c>
      <c r="AN39">
        <v>0</v>
      </c>
      <c r="AO39">
        <v>0</v>
      </c>
      <c r="AP39" t="s">
        <v>69</v>
      </c>
      <c r="AV39" t="s">
        <v>81</v>
      </c>
      <c r="AW39" t="s">
        <v>69</v>
      </c>
      <c r="AX39" t="s">
        <v>126</v>
      </c>
      <c r="AY39" t="s">
        <v>168</v>
      </c>
      <c r="BD39" t="s">
        <v>169</v>
      </c>
      <c r="BE39" t="s">
        <v>224</v>
      </c>
      <c r="BF39" t="s">
        <v>86</v>
      </c>
      <c r="BG39" t="s">
        <v>87</v>
      </c>
      <c r="BH39" t="str">
        <f>IF(COUNTIF(工作表1!A:A, $C39)&gt;0, "預購款", "非預購款")</f>
        <v>非預購款</v>
      </c>
    </row>
    <row r="40" spans="1:60" x14ac:dyDescent="0.25">
      <c r="A40" t="s">
        <v>156</v>
      </c>
      <c r="B40" t="s">
        <v>60</v>
      </c>
      <c r="C40" t="s">
        <v>157</v>
      </c>
      <c r="D40" t="s">
        <v>158</v>
      </c>
      <c r="E40" t="s">
        <v>159</v>
      </c>
      <c r="F40" t="s">
        <v>222</v>
      </c>
      <c r="G40" t="s">
        <v>161</v>
      </c>
      <c r="H40" t="s">
        <v>66</v>
      </c>
      <c r="I40" t="s">
        <v>171</v>
      </c>
      <c r="J40" t="s">
        <v>172</v>
      </c>
      <c r="K40" t="s">
        <v>69</v>
      </c>
      <c r="L40" t="s">
        <v>164</v>
      </c>
      <c r="M40" t="s">
        <v>71</v>
      </c>
      <c r="N40" t="s">
        <v>100</v>
      </c>
      <c r="O40" t="s">
        <v>101</v>
      </c>
      <c r="P40" t="s">
        <v>102</v>
      </c>
      <c r="S40" t="s">
        <v>223</v>
      </c>
      <c r="T40" t="s">
        <v>76</v>
      </c>
      <c r="U40" t="s">
        <v>150</v>
      </c>
      <c r="V40" t="s">
        <v>166</v>
      </c>
      <c r="W40">
        <v>1280</v>
      </c>
      <c r="X40">
        <v>49.99</v>
      </c>
      <c r="Y40">
        <v>169</v>
      </c>
      <c r="Z40">
        <v>919000</v>
      </c>
      <c r="AA40">
        <v>204800</v>
      </c>
      <c r="AB40">
        <v>0</v>
      </c>
      <c r="AD40" t="s">
        <v>79</v>
      </c>
      <c r="AE40">
        <v>2</v>
      </c>
      <c r="AJ40">
        <v>100</v>
      </c>
      <c r="AK40">
        <v>100</v>
      </c>
      <c r="AL40">
        <v>160</v>
      </c>
      <c r="AM40">
        <v>0</v>
      </c>
      <c r="AN40">
        <v>0</v>
      </c>
      <c r="AO40">
        <v>0</v>
      </c>
      <c r="AP40" t="s">
        <v>69</v>
      </c>
      <c r="AV40" t="s">
        <v>81</v>
      </c>
      <c r="AW40" t="s">
        <v>69</v>
      </c>
      <c r="AX40" t="s">
        <v>126</v>
      </c>
      <c r="AY40" t="s">
        <v>168</v>
      </c>
      <c r="BD40" t="s">
        <v>173</v>
      </c>
      <c r="BE40" t="s">
        <v>224</v>
      </c>
      <c r="BF40" t="s">
        <v>86</v>
      </c>
      <c r="BG40" t="s">
        <v>87</v>
      </c>
      <c r="BH40" t="str">
        <f>IF(COUNTIF(工作表1!A:A, $C40)&gt;0, "預購款", "非預購款")</f>
        <v>非預購款</v>
      </c>
    </row>
    <row r="41" spans="1:60" x14ac:dyDescent="0.25">
      <c r="A41" t="s">
        <v>225</v>
      </c>
      <c r="B41" t="s">
        <v>226</v>
      </c>
      <c r="C41" t="s">
        <v>227</v>
      </c>
      <c r="D41" t="s">
        <v>228</v>
      </c>
      <c r="E41" t="s">
        <v>229</v>
      </c>
      <c r="F41" t="s">
        <v>230</v>
      </c>
      <c r="G41" t="s">
        <v>231</v>
      </c>
      <c r="H41" t="s">
        <v>119</v>
      </c>
      <c r="I41" t="s">
        <v>120</v>
      </c>
      <c r="J41" t="s">
        <v>121</v>
      </c>
      <c r="K41" t="s">
        <v>69</v>
      </c>
      <c r="L41" t="s">
        <v>232</v>
      </c>
      <c r="M41" t="s">
        <v>71</v>
      </c>
      <c r="N41" t="s">
        <v>72</v>
      </c>
      <c r="O41" t="s">
        <v>233</v>
      </c>
      <c r="P41" t="s">
        <v>234</v>
      </c>
      <c r="R41" t="s">
        <v>235</v>
      </c>
      <c r="S41" t="s">
        <v>236</v>
      </c>
      <c r="T41" t="s">
        <v>76</v>
      </c>
      <c r="U41" t="s">
        <v>104</v>
      </c>
      <c r="V41" t="s">
        <v>237</v>
      </c>
      <c r="W41">
        <v>790</v>
      </c>
      <c r="X41">
        <v>34.99</v>
      </c>
      <c r="Y41">
        <v>99</v>
      </c>
      <c r="Z41">
        <v>569000</v>
      </c>
      <c r="AA41">
        <v>500070</v>
      </c>
      <c r="AB41">
        <v>310</v>
      </c>
      <c r="AD41" t="s">
        <v>238</v>
      </c>
      <c r="AE41">
        <v>2</v>
      </c>
      <c r="AF41">
        <v>20</v>
      </c>
      <c r="AI41">
        <v>50</v>
      </c>
      <c r="AJ41">
        <v>80</v>
      </c>
      <c r="AK41">
        <v>150</v>
      </c>
      <c r="AL41">
        <v>633</v>
      </c>
      <c r="AM41">
        <v>151</v>
      </c>
      <c r="AN41">
        <v>0</v>
      </c>
      <c r="AO41">
        <v>151</v>
      </c>
      <c r="AP41" t="s">
        <v>80</v>
      </c>
      <c r="AQ41" t="s">
        <v>239</v>
      </c>
      <c r="AS41" t="s">
        <v>86</v>
      </c>
      <c r="AT41" t="s">
        <v>86</v>
      </c>
      <c r="AU41" t="s">
        <v>240</v>
      </c>
      <c r="AV41" t="s">
        <v>241</v>
      </c>
      <c r="AW41" t="s">
        <v>69</v>
      </c>
      <c r="AX41" t="s">
        <v>218</v>
      </c>
      <c r="AY41" t="s">
        <v>242</v>
      </c>
      <c r="AZ41" t="s">
        <v>243</v>
      </c>
      <c r="BA41" t="s">
        <v>244</v>
      </c>
      <c r="BB41" t="s">
        <v>245</v>
      </c>
      <c r="BC41" t="s">
        <v>244</v>
      </c>
      <c r="BD41" t="s">
        <v>246</v>
      </c>
      <c r="BE41" t="s">
        <v>247</v>
      </c>
      <c r="BF41" t="s">
        <v>86</v>
      </c>
      <c r="BG41" t="s">
        <v>150</v>
      </c>
      <c r="BH41" t="str">
        <f>IF(COUNTIF(工作表1!A:A, $C41)&gt;0, "預購款", "非預購款")</f>
        <v>非預購款</v>
      </c>
    </row>
    <row r="42" spans="1:60" x14ac:dyDescent="0.25">
      <c r="A42" t="s">
        <v>225</v>
      </c>
      <c r="B42" t="s">
        <v>226</v>
      </c>
      <c r="C42" t="s">
        <v>227</v>
      </c>
      <c r="D42" t="s">
        <v>228</v>
      </c>
      <c r="E42" t="s">
        <v>229</v>
      </c>
      <c r="F42" t="s">
        <v>230</v>
      </c>
      <c r="G42" t="s">
        <v>231</v>
      </c>
      <c r="H42" t="s">
        <v>130</v>
      </c>
      <c r="I42" t="s">
        <v>120</v>
      </c>
      <c r="J42" t="s">
        <v>121</v>
      </c>
      <c r="K42" t="s">
        <v>69</v>
      </c>
      <c r="L42" t="s">
        <v>232</v>
      </c>
      <c r="M42" t="s">
        <v>71</v>
      </c>
      <c r="N42" t="s">
        <v>72</v>
      </c>
      <c r="O42" t="s">
        <v>233</v>
      </c>
      <c r="P42" t="s">
        <v>234</v>
      </c>
      <c r="R42" t="s">
        <v>235</v>
      </c>
      <c r="S42" t="s">
        <v>236</v>
      </c>
      <c r="T42" t="s">
        <v>76</v>
      </c>
      <c r="U42" t="s">
        <v>104</v>
      </c>
      <c r="V42" t="s">
        <v>237</v>
      </c>
      <c r="W42">
        <v>790</v>
      </c>
      <c r="X42">
        <v>34.99</v>
      </c>
      <c r="Y42">
        <v>99</v>
      </c>
      <c r="Z42">
        <v>569000</v>
      </c>
      <c r="AA42">
        <v>500070</v>
      </c>
      <c r="AB42">
        <v>310</v>
      </c>
      <c r="AD42" t="s">
        <v>238</v>
      </c>
      <c r="AE42">
        <v>2</v>
      </c>
      <c r="AF42">
        <v>10</v>
      </c>
      <c r="AI42">
        <v>40</v>
      </c>
      <c r="AJ42">
        <v>40</v>
      </c>
      <c r="AK42">
        <v>90</v>
      </c>
      <c r="AL42">
        <v>633</v>
      </c>
      <c r="AM42">
        <v>92</v>
      </c>
      <c r="AN42">
        <v>0</v>
      </c>
      <c r="AO42">
        <v>92</v>
      </c>
      <c r="AP42" t="s">
        <v>80</v>
      </c>
      <c r="AQ42" t="s">
        <v>239</v>
      </c>
      <c r="AS42" t="s">
        <v>86</v>
      </c>
      <c r="AT42" t="s">
        <v>86</v>
      </c>
      <c r="AU42" t="s">
        <v>240</v>
      </c>
      <c r="AV42" t="s">
        <v>241</v>
      </c>
      <c r="AW42" t="s">
        <v>69</v>
      </c>
      <c r="AX42" t="s">
        <v>218</v>
      </c>
      <c r="AY42" t="s">
        <v>242</v>
      </c>
      <c r="AZ42" t="s">
        <v>243</v>
      </c>
      <c r="BA42" t="s">
        <v>244</v>
      </c>
      <c r="BB42" t="s">
        <v>245</v>
      </c>
      <c r="BC42" t="s">
        <v>244</v>
      </c>
      <c r="BD42" t="s">
        <v>248</v>
      </c>
      <c r="BE42" t="s">
        <v>247</v>
      </c>
      <c r="BF42" t="s">
        <v>86</v>
      </c>
      <c r="BG42" t="s">
        <v>150</v>
      </c>
      <c r="BH42" t="str">
        <f>IF(COUNTIF(工作表1!A:A, $C42)&gt;0, "預購款", "非預購款")</f>
        <v>非預購款</v>
      </c>
    </row>
    <row r="43" spans="1:60" x14ac:dyDescent="0.25">
      <c r="A43" t="s">
        <v>225</v>
      </c>
      <c r="B43" t="s">
        <v>226</v>
      </c>
      <c r="C43" t="s">
        <v>227</v>
      </c>
      <c r="D43" t="s">
        <v>228</v>
      </c>
      <c r="E43" t="s">
        <v>229</v>
      </c>
      <c r="F43" t="s">
        <v>230</v>
      </c>
      <c r="G43" t="s">
        <v>231</v>
      </c>
      <c r="H43" t="s">
        <v>132</v>
      </c>
      <c r="I43" t="s">
        <v>120</v>
      </c>
      <c r="J43" t="s">
        <v>121</v>
      </c>
      <c r="K43" t="s">
        <v>69</v>
      </c>
      <c r="L43" t="s">
        <v>232</v>
      </c>
      <c r="M43" t="s">
        <v>71</v>
      </c>
      <c r="N43" t="s">
        <v>72</v>
      </c>
      <c r="O43" t="s">
        <v>233</v>
      </c>
      <c r="P43" t="s">
        <v>234</v>
      </c>
      <c r="R43" t="s">
        <v>235</v>
      </c>
      <c r="S43" t="s">
        <v>236</v>
      </c>
      <c r="T43" t="s">
        <v>76</v>
      </c>
      <c r="U43" t="s">
        <v>104</v>
      </c>
      <c r="V43" t="s">
        <v>237</v>
      </c>
      <c r="W43">
        <v>790</v>
      </c>
      <c r="X43">
        <v>34.99</v>
      </c>
      <c r="Y43">
        <v>99</v>
      </c>
      <c r="Z43">
        <v>569000</v>
      </c>
      <c r="AA43">
        <v>500070</v>
      </c>
      <c r="AB43">
        <v>310</v>
      </c>
      <c r="AD43" t="s">
        <v>238</v>
      </c>
      <c r="AE43">
        <v>2</v>
      </c>
      <c r="AF43">
        <v>5</v>
      </c>
      <c r="AI43">
        <v>25</v>
      </c>
      <c r="AJ43">
        <v>10</v>
      </c>
      <c r="AK43">
        <v>40</v>
      </c>
      <c r="AL43">
        <v>633</v>
      </c>
      <c r="AM43">
        <v>42</v>
      </c>
      <c r="AN43">
        <v>0</v>
      </c>
      <c r="AO43">
        <v>42</v>
      </c>
      <c r="AP43" t="s">
        <v>80</v>
      </c>
      <c r="AQ43" t="s">
        <v>239</v>
      </c>
      <c r="AS43" t="s">
        <v>86</v>
      </c>
      <c r="AT43" t="s">
        <v>86</v>
      </c>
      <c r="AU43" t="s">
        <v>240</v>
      </c>
      <c r="AV43" t="s">
        <v>241</v>
      </c>
      <c r="AW43" t="s">
        <v>69</v>
      </c>
      <c r="AX43" t="s">
        <v>218</v>
      </c>
      <c r="AY43" t="s">
        <v>242</v>
      </c>
      <c r="AZ43" t="s">
        <v>243</v>
      </c>
      <c r="BA43" t="s">
        <v>244</v>
      </c>
      <c r="BB43" t="s">
        <v>245</v>
      </c>
      <c r="BC43" t="s">
        <v>244</v>
      </c>
      <c r="BD43" t="s">
        <v>249</v>
      </c>
      <c r="BE43" t="s">
        <v>247</v>
      </c>
      <c r="BF43" t="s">
        <v>86</v>
      </c>
      <c r="BG43" t="s">
        <v>150</v>
      </c>
      <c r="BH43" t="str">
        <f>IF(COUNTIF(工作表1!A:A, $C43)&gt;0, "預購款", "非預購款")</f>
        <v>非預購款</v>
      </c>
    </row>
    <row r="44" spans="1:60" x14ac:dyDescent="0.25">
      <c r="A44" t="s">
        <v>225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231</v>
      </c>
      <c r="H44" t="s">
        <v>119</v>
      </c>
      <c r="I44" t="s">
        <v>97</v>
      </c>
      <c r="J44" t="s">
        <v>98</v>
      </c>
      <c r="K44" t="s">
        <v>69</v>
      </c>
      <c r="L44" t="s">
        <v>232</v>
      </c>
      <c r="M44" t="s">
        <v>71</v>
      </c>
      <c r="N44" t="s">
        <v>72</v>
      </c>
      <c r="O44" t="s">
        <v>233</v>
      </c>
      <c r="P44" t="s">
        <v>234</v>
      </c>
      <c r="R44" t="s">
        <v>235</v>
      </c>
      <c r="S44" t="s">
        <v>236</v>
      </c>
      <c r="T44" t="s">
        <v>76</v>
      </c>
      <c r="U44" t="s">
        <v>104</v>
      </c>
      <c r="V44" t="s">
        <v>237</v>
      </c>
      <c r="W44">
        <v>790</v>
      </c>
      <c r="X44">
        <v>34.99</v>
      </c>
      <c r="Y44">
        <v>99</v>
      </c>
      <c r="Z44">
        <v>569000</v>
      </c>
      <c r="AA44">
        <v>500070</v>
      </c>
      <c r="AB44">
        <v>310</v>
      </c>
      <c r="AD44" t="s">
        <v>238</v>
      </c>
      <c r="AE44">
        <v>2</v>
      </c>
      <c r="AF44">
        <v>15</v>
      </c>
      <c r="AI44">
        <v>50</v>
      </c>
      <c r="AJ44">
        <v>170</v>
      </c>
      <c r="AK44">
        <v>235</v>
      </c>
      <c r="AL44">
        <v>633</v>
      </c>
      <c r="AM44">
        <v>240</v>
      </c>
      <c r="AN44">
        <v>0</v>
      </c>
      <c r="AO44">
        <v>239</v>
      </c>
      <c r="AP44" t="s">
        <v>80</v>
      </c>
      <c r="AQ44" t="s">
        <v>239</v>
      </c>
      <c r="AS44" t="s">
        <v>86</v>
      </c>
      <c r="AT44" t="s">
        <v>86</v>
      </c>
      <c r="AU44" t="s">
        <v>240</v>
      </c>
      <c r="AV44" t="s">
        <v>241</v>
      </c>
      <c r="AW44" t="s">
        <v>69</v>
      </c>
      <c r="AX44" t="s">
        <v>218</v>
      </c>
      <c r="AY44" t="s">
        <v>242</v>
      </c>
      <c r="AZ44" t="s">
        <v>243</v>
      </c>
      <c r="BA44" t="s">
        <v>244</v>
      </c>
      <c r="BB44" t="s">
        <v>245</v>
      </c>
      <c r="BC44" t="s">
        <v>244</v>
      </c>
      <c r="BD44" t="s">
        <v>250</v>
      </c>
      <c r="BE44" t="s">
        <v>247</v>
      </c>
      <c r="BF44" t="s">
        <v>86</v>
      </c>
      <c r="BG44" t="s">
        <v>150</v>
      </c>
      <c r="BH44" t="str">
        <f>IF(COUNTIF(工作表1!A:A, $C44)&gt;0, "預購款", "非預購款")</f>
        <v>非預購款</v>
      </c>
    </row>
    <row r="45" spans="1:60" x14ac:dyDescent="0.25">
      <c r="A45" t="s">
        <v>225</v>
      </c>
      <c r="B45" t="s">
        <v>226</v>
      </c>
      <c r="C45" t="s">
        <v>227</v>
      </c>
      <c r="D45" t="s">
        <v>228</v>
      </c>
      <c r="E45" t="s">
        <v>229</v>
      </c>
      <c r="F45" t="s">
        <v>230</v>
      </c>
      <c r="G45" t="s">
        <v>231</v>
      </c>
      <c r="H45" t="s">
        <v>130</v>
      </c>
      <c r="I45" t="s">
        <v>97</v>
      </c>
      <c r="J45" t="s">
        <v>98</v>
      </c>
      <c r="K45" t="s">
        <v>69</v>
      </c>
      <c r="L45" t="s">
        <v>232</v>
      </c>
      <c r="M45" t="s">
        <v>71</v>
      </c>
      <c r="N45" t="s">
        <v>72</v>
      </c>
      <c r="O45" t="s">
        <v>233</v>
      </c>
      <c r="P45" t="s">
        <v>234</v>
      </c>
      <c r="R45" t="s">
        <v>235</v>
      </c>
      <c r="S45" t="s">
        <v>236</v>
      </c>
      <c r="T45" t="s">
        <v>76</v>
      </c>
      <c r="U45" t="s">
        <v>104</v>
      </c>
      <c r="V45" t="s">
        <v>237</v>
      </c>
      <c r="W45">
        <v>790</v>
      </c>
      <c r="X45">
        <v>34.99</v>
      </c>
      <c r="Y45">
        <v>99</v>
      </c>
      <c r="Z45">
        <v>569000</v>
      </c>
      <c r="AA45">
        <v>500070</v>
      </c>
      <c r="AB45">
        <v>310</v>
      </c>
      <c r="AD45" t="s">
        <v>238</v>
      </c>
      <c r="AE45">
        <v>2</v>
      </c>
      <c r="AF45">
        <v>8</v>
      </c>
      <c r="AI45">
        <v>40</v>
      </c>
      <c r="AJ45">
        <v>60</v>
      </c>
      <c r="AK45">
        <v>108</v>
      </c>
      <c r="AL45">
        <v>633</v>
      </c>
      <c r="AM45">
        <v>119</v>
      </c>
      <c r="AN45">
        <v>0</v>
      </c>
      <c r="AO45">
        <v>119</v>
      </c>
      <c r="AP45" t="s">
        <v>80</v>
      </c>
      <c r="AQ45" t="s">
        <v>239</v>
      </c>
      <c r="AS45" t="s">
        <v>86</v>
      </c>
      <c r="AT45" t="s">
        <v>86</v>
      </c>
      <c r="AU45" t="s">
        <v>240</v>
      </c>
      <c r="AV45" t="s">
        <v>241</v>
      </c>
      <c r="AW45" t="s">
        <v>69</v>
      </c>
      <c r="AX45" t="s">
        <v>218</v>
      </c>
      <c r="AY45" t="s">
        <v>242</v>
      </c>
      <c r="AZ45" t="s">
        <v>243</v>
      </c>
      <c r="BA45" t="s">
        <v>244</v>
      </c>
      <c r="BB45" t="s">
        <v>245</v>
      </c>
      <c r="BC45" t="s">
        <v>244</v>
      </c>
      <c r="BD45" t="s">
        <v>251</v>
      </c>
      <c r="BE45" t="s">
        <v>247</v>
      </c>
      <c r="BF45" t="s">
        <v>86</v>
      </c>
      <c r="BG45" t="s">
        <v>150</v>
      </c>
      <c r="BH45" t="str">
        <f>IF(COUNTIF(工作表1!A:A, $C45)&gt;0, "預購款", "非預購款")</f>
        <v>非預購款</v>
      </c>
    </row>
    <row r="46" spans="1:60" x14ac:dyDescent="0.25">
      <c r="A46" t="s">
        <v>252</v>
      </c>
      <c r="B46" t="s">
        <v>226</v>
      </c>
      <c r="C46" t="s">
        <v>253</v>
      </c>
      <c r="D46" t="s">
        <v>254</v>
      </c>
      <c r="E46" t="s">
        <v>255</v>
      </c>
      <c r="F46" t="s">
        <v>230</v>
      </c>
      <c r="G46" t="s">
        <v>256</v>
      </c>
      <c r="H46" t="s">
        <v>119</v>
      </c>
      <c r="I46" t="s">
        <v>97</v>
      </c>
      <c r="J46" t="s">
        <v>98</v>
      </c>
      <c r="K46" t="s">
        <v>69</v>
      </c>
      <c r="L46" t="s">
        <v>257</v>
      </c>
      <c r="M46" t="s">
        <v>71</v>
      </c>
      <c r="N46" t="s">
        <v>72</v>
      </c>
      <c r="O46" t="s">
        <v>233</v>
      </c>
      <c r="P46" t="s">
        <v>234</v>
      </c>
      <c r="R46" t="s">
        <v>235</v>
      </c>
      <c r="S46" t="s">
        <v>236</v>
      </c>
      <c r="T46" t="s">
        <v>258</v>
      </c>
      <c r="U46" t="s">
        <v>150</v>
      </c>
      <c r="V46" t="s">
        <v>259</v>
      </c>
      <c r="W46">
        <v>890</v>
      </c>
      <c r="X46">
        <v>39.99</v>
      </c>
      <c r="Y46">
        <v>115</v>
      </c>
      <c r="Z46">
        <v>639000</v>
      </c>
      <c r="AA46">
        <v>178000</v>
      </c>
      <c r="AB46">
        <v>370</v>
      </c>
      <c r="AD46" t="s">
        <v>238</v>
      </c>
      <c r="AE46">
        <v>1</v>
      </c>
      <c r="AF46">
        <v>0</v>
      </c>
      <c r="AI46">
        <v>30</v>
      </c>
      <c r="AJ46">
        <v>80</v>
      </c>
      <c r="AK46">
        <v>110</v>
      </c>
      <c r="AL46">
        <v>200</v>
      </c>
      <c r="AM46">
        <v>116</v>
      </c>
      <c r="AN46">
        <v>0</v>
      </c>
      <c r="AO46">
        <v>116</v>
      </c>
      <c r="AP46" t="s">
        <v>80</v>
      </c>
      <c r="AQ46" t="s">
        <v>260</v>
      </c>
      <c r="AR46" t="s">
        <v>261</v>
      </c>
      <c r="AS46" t="s">
        <v>261</v>
      </c>
      <c r="AT46" t="s">
        <v>86</v>
      </c>
      <c r="AU46" t="s">
        <v>86</v>
      </c>
      <c r="AV46" t="s">
        <v>81</v>
      </c>
      <c r="AW46" t="s">
        <v>69</v>
      </c>
      <c r="AX46" t="s">
        <v>262</v>
      </c>
      <c r="AY46" t="s">
        <v>263</v>
      </c>
      <c r="AZ46" t="s">
        <v>243</v>
      </c>
      <c r="BA46" t="s">
        <v>244</v>
      </c>
      <c r="BB46" t="s">
        <v>245</v>
      </c>
      <c r="BC46" t="s">
        <v>264</v>
      </c>
      <c r="BD46" t="s">
        <v>265</v>
      </c>
      <c r="BE46" t="s">
        <v>266</v>
      </c>
      <c r="BF46" t="s">
        <v>240</v>
      </c>
      <c r="BG46" t="s">
        <v>87</v>
      </c>
      <c r="BH46" t="str">
        <f>IF(COUNTIF(工作表1!A:A, $C46)&gt;0, "預購款", "非預購款")</f>
        <v>非預購款</v>
      </c>
    </row>
    <row r="47" spans="1:60" x14ac:dyDescent="0.25">
      <c r="A47" t="s">
        <v>252</v>
      </c>
      <c r="B47" t="s">
        <v>226</v>
      </c>
      <c r="C47" t="s">
        <v>253</v>
      </c>
      <c r="D47" t="s">
        <v>254</v>
      </c>
      <c r="E47" t="s">
        <v>255</v>
      </c>
      <c r="F47" t="s">
        <v>230</v>
      </c>
      <c r="G47" t="s">
        <v>256</v>
      </c>
      <c r="H47" t="s">
        <v>130</v>
      </c>
      <c r="I47" t="s">
        <v>97</v>
      </c>
      <c r="J47" t="s">
        <v>98</v>
      </c>
      <c r="K47" t="s">
        <v>69</v>
      </c>
      <c r="L47" t="s">
        <v>257</v>
      </c>
      <c r="M47" t="s">
        <v>71</v>
      </c>
      <c r="N47" t="s">
        <v>72</v>
      </c>
      <c r="O47" t="s">
        <v>233</v>
      </c>
      <c r="P47" t="s">
        <v>234</v>
      </c>
      <c r="R47" t="s">
        <v>235</v>
      </c>
      <c r="S47" t="s">
        <v>236</v>
      </c>
      <c r="T47" t="s">
        <v>258</v>
      </c>
      <c r="U47" t="s">
        <v>150</v>
      </c>
      <c r="V47" t="s">
        <v>259</v>
      </c>
      <c r="W47">
        <v>890</v>
      </c>
      <c r="X47">
        <v>39.99</v>
      </c>
      <c r="Y47">
        <v>115</v>
      </c>
      <c r="Z47">
        <v>639000</v>
      </c>
      <c r="AA47">
        <v>178000</v>
      </c>
      <c r="AB47">
        <v>370</v>
      </c>
      <c r="AD47" t="s">
        <v>238</v>
      </c>
      <c r="AE47">
        <v>1</v>
      </c>
      <c r="AF47">
        <v>0</v>
      </c>
      <c r="AI47">
        <v>30</v>
      </c>
      <c r="AJ47">
        <v>60</v>
      </c>
      <c r="AK47">
        <v>90</v>
      </c>
      <c r="AL47">
        <v>200</v>
      </c>
      <c r="AM47">
        <v>96</v>
      </c>
      <c r="AN47">
        <v>0</v>
      </c>
      <c r="AO47">
        <v>96</v>
      </c>
      <c r="AP47" t="s">
        <v>80</v>
      </c>
      <c r="AQ47" t="s">
        <v>260</v>
      </c>
      <c r="AR47" t="s">
        <v>261</v>
      </c>
      <c r="AS47" t="s">
        <v>261</v>
      </c>
      <c r="AT47" t="s">
        <v>86</v>
      </c>
      <c r="AU47" t="s">
        <v>86</v>
      </c>
      <c r="AV47" t="s">
        <v>81</v>
      </c>
      <c r="AW47" t="s">
        <v>69</v>
      </c>
      <c r="AX47" t="s">
        <v>262</v>
      </c>
      <c r="AY47" t="s">
        <v>263</v>
      </c>
      <c r="AZ47" t="s">
        <v>243</v>
      </c>
      <c r="BA47" t="s">
        <v>244</v>
      </c>
      <c r="BB47" t="s">
        <v>245</v>
      </c>
      <c r="BC47" t="s">
        <v>264</v>
      </c>
      <c r="BD47" t="s">
        <v>267</v>
      </c>
      <c r="BE47" t="s">
        <v>266</v>
      </c>
      <c r="BF47" t="s">
        <v>240</v>
      </c>
      <c r="BG47" t="s">
        <v>87</v>
      </c>
      <c r="BH47" t="str">
        <f>IF(COUNTIF(工作表1!A:A, $C47)&gt;0, "預購款", "非預購款")</f>
        <v>非預購款</v>
      </c>
    </row>
    <row r="48" spans="1:60" x14ac:dyDescent="0.25">
      <c r="A48" t="s">
        <v>268</v>
      </c>
      <c r="B48" t="s">
        <v>226</v>
      </c>
      <c r="C48" t="s">
        <v>269</v>
      </c>
      <c r="D48" t="s">
        <v>270</v>
      </c>
      <c r="E48" t="s">
        <v>271</v>
      </c>
      <c r="F48" t="s">
        <v>230</v>
      </c>
      <c r="G48" t="s">
        <v>272</v>
      </c>
      <c r="H48" t="s">
        <v>273</v>
      </c>
      <c r="I48" t="s">
        <v>97</v>
      </c>
      <c r="J48" t="s">
        <v>98</v>
      </c>
      <c r="K48" t="s">
        <v>69</v>
      </c>
      <c r="L48" t="s">
        <v>257</v>
      </c>
      <c r="M48" t="s">
        <v>71</v>
      </c>
      <c r="N48" t="s">
        <v>72</v>
      </c>
      <c r="O48" t="s">
        <v>233</v>
      </c>
      <c r="P48" t="s">
        <v>234</v>
      </c>
      <c r="R48" t="s">
        <v>235</v>
      </c>
      <c r="S48" t="s">
        <v>236</v>
      </c>
      <c r="T48" t="s">
        <v>274</v>
      </c>
      <c r="U48" t="s">
        <v>150</v>
      </c>
      <c r="V48" t="s">
        <v>259</v>
      </c>
      <c r="W48">
        <v>990</v>
      </c>
      <c r="X48">
        <v>39.99</v>
      </c>
      <c r="Y48">
        <v>129</v>
      </c>
      <c r="Z48">
        <v>709000</v>
      </c>
      <c r="AA48">
        <v>178200</v>
      </c>
      <c r="AB48">
        <v>448</v>
      </c>
      <c r="AD48" t="s">
        <v>238</v>
      </c>
      <c r="AE48">
        <v>1</v>
      </c>
      <c r="AF48">
        <v>0</v>
      </c>
      <c r="AI48">
        <v>30</v>
      </c>
      <c r="AJ48">
        <v>70</v>
      </c>
      <c r="AK48">
        <v>100</v>
      </c>
      <c r="AL48">
        <v>180</v>
      </c>
      <c r="AM48">
        <v>109</v>
      </c>
      <c r="AN48">
        <v>0</v>
      </c>
      <c r="AO48">
        <v>109</v>
      </c>
      <c r="AP48" t="s">
        <v>80</v>
      </c>
      <c r="AQ48" t="s">
        <v>260</v>
      </c>
      <c r="AT48" t="s">
        <v>86</v>
      </c>
      <c r="AU48" t="s">
        <v>86</v>
      </c>
      <c r="AV48" t="s">
        <v>275</v>
      </c>
      <c r="AW48" t="s">
        <v>69</v>
      </c>
      <c r="AX48" t="s">
        <v>126</v>
      </c>
      <c r="AY48" t="s">
        <v>276</v>
      </c>
      <c r="AZ48" t="s">
        <v>243</v>
      </c>
      <c r="BA48" t="s">
        <v>244</v>
      </c>
      <c r="BB48" t="s">
        <v>245</v>
      </c>
      <c r="BC48" t="s">
        <v>264</v>
      </c>
      <c r="BD48" t="s">
        <v>277</v>
      </c>
      <c r="BE48" t="s">
        <v>278</v>
      </c>
      <c r="BF48" t="s">
        <v>279</v>
      </c>
      <c r="BG48" t="s">
        <v>87</v>
      </c>
      <c r="BH48" t="str">
        <f>IF(COUNTIF(工作表1!A:A, $C48)&gt;0, "預購款", "非預購款")</f>
        <v>非預購款</v>
      </c>
    </row>
    <row r="49" spans="1:60" x14ac:dyDescent="0.25">
      <c r="A49" t="s">
        <v>268</v>
      </c>
      <c r="B49" t="s">
        <v>226</v>
      </c>
      <c r="C49" t="s">
        <v>269</v>
      </c>
      <c r="D49" t="s">
        <v>270</v>
      </c>
      <c r="E49" t="s">
        <v>271</v>
      </c>
      <c r="F49" t="s">
        <v>230</v>
      </c>
      <c r="G49" t="s">
        <v>272</v>
      </c>
      <c r="H49" t="s">
        <v>280</v>
      </c>
      <c r="I49" t="s">
        <v>97</v>
      </c>
      <c r="J49" t="s">
        <v>98</v>
      </c>
      <c r="K49" t="s">
        <v>69</v>
      </c>
      <c r="L49" t="s">
        <v>257</v>
      </c>
      <c r="M49" t="s">
        <v>71</v>
      </c>
      <c r="N49" t="s">
        <v>72</v>
      </c>
      <c r="O49" t="s">
        <v>233</v>
      </c>
      <c r="P49" t="s">
        <v>234</v>
      </c>
      <c r="R49" t="s">
        <v>235</v>
      </c>
      <c r="S49" t="s">
        <v>236</v>
      </c>
      <c r="T49" t="s">
        <v>274</v>
      </c>
      <c r="U49" t="s">
        <v>150</v>
      </c>
      <c r="V49" t="s">
        <v>259</v>
      </c>
      <c r="W49">
        <v>990</v>
      </c>
      <c r="X49">
        <v>39.99</v>
      </c>
      <c r="Y49">
        <v>129</v>
      </c>
      <c r="Z49">
        <v>709000</v>
      </c>
      <c r="AA49">
        <v>178200</v>
      </c>
      <c r="AB49">
        <v>448</v>
      </c>
      <c r="AD49" t="s">
        <v>238</v>
      </c>
      <c r="AE49">
        <v>1</v>
      </c>
      <c r="AF49">
        <v>0</v>
      </c>
      <c r="AI49">
        <v>30</v>
      </c>
      <c r="AJ49">
        <v>50</v>
      </c>
      <c r="AK49">
        <v>80</v>
      </c>
      <c r="AL49">
        <v>180</v>
      </c>
      <c r="AM49">
        <v>85</v>
      </c>
      <c r="AN49">
        <v>0</v>
      </c>
      <c r="AO49">
        <v>85</v>
      </c>
      <c r="AP49" t="s">
        <v>80</v>
      </c>
      <c r="AQ49" t="s">
        <v>260</v>
      </c>
      <c r="AT49" t="s">
        <v>86</v>
      </c>
      <c r="AU49" t="s">
        <v>86</v>
      </c>
      <c r="AV49" t="s">
        <v>275</v>
      </c>
      <c r="AW49" t="s">
        <v>69</v>
      </c>
      <c r="AX49" t="s">
        <v>126</v>
      </c>
      <c r="AY49" t="s">
        <v>276</v>
      </c>
      <c r="AZ49" t="s">
        <v>243</v>
      </c>
      <c r="BA49" t="s">
        <v>244</v>
      </c>
      <c r="BB49" t="s">
        <v>245</v>
      </c>
      <c r="BC49" t="s">
        <v>264</v>
      </c>
      <c r="BD49" t="s">
        <v>281</v>
      </c>
      <c r="BE49" t="s">
        <v>278</v>
      </c>
      <c r="BF49" t="s">
        <v>279</v>
      </c>
      <c r="BG49" t="s">
        <v>87</v>
      </c>
      <c r="BH49" t="str">
        <f>IF(COUNTIF(工作表1!A:A, $C49)&gt;0, "預購款", "非預購款")</f>
        <v>非預購款</v>
      </c>
    </row>
    <row r="50" spans="1:60" x14ac:dyDescent="0.25">
      <c r="A50" t="s">
        <v>282</v>
      </c>
      <c r="B50" t="s">
        <v>283</v>
      </c>
      <c r="C50" t="s">
        <v>284</v>
      </c>
      <c r="D50" t="s">
        <v>285</v>
      </c>
      <c r="E50" t="s">
        <v>286</v>
      </c>
      <c r="F50" t="s">
        <v>230</v>
      </c>
      <c r="G50" t="s">
        <v>287</v>
      </c>
      <c r="H50" t="s">
        <v>119</v>
      </c>
      <c r="I50" t="s">
        <v>288</v>
      </c>
      <c r="J50" t="s">
        <v>289</v>
      </c>
      <c r="K50" t="s">
        <v>69</v>
      </c>
      <c r="L50" t="s">
        <v>290</v>
      </c>
      <c r="M50" t="s">
        <v>71</v>
      </c>
      <c r="N50" t="s">
        <v>72</v>
      </c>
      <c r="O50" t="s">
        <v>233</v>
      </c>
      <c r="P50" t="s">
        <v>234</v>
      </c>
      <c r="R50" t="s">
        <v>235</v>
      </c>
      <c r="S50" t="s">
        <v>236</v>
      </c>
      <c r="T50" t="s">
        <v>291</v>
      </c>
      <c r="U50" t="s">
        <v>104</v>
      </c>
      <c r="V50" t="s">
        <v>292</v>
      </c>
      <c r="W50">
        <v>690</v>
      </c>
      <c r="X50">
        <v>29.99</v>
      </c>
      <c r="Y50">
        <v>89</v>
      </c>
      <c r="Z50">
        <v>499000</v>
      </c>
      <c r="AA50">
        <v>288420</v>
      </c>
      <c r="AB50">
        <v>250</v>
      </c>
      <c r="AD50" t="s">
        <v>238</v>
      </c>
      <c r="AE50">
        <v>1</v>
      </c>
      <c r="AF50">
        <v>10</v>
      </c>
      <c r="AI50">
        <v>20</v>
      </c>
      <c r="AJ50">
        <v>200</v>
      </c>
      <c r="AK50">
        <v>230</v>
      </c>
      <c r="AL50">
        <v>418</v>
      </c>
      <c r="AM50">
        <v>240</v>
      </c>
      <c r="AN50">
        <v>0</v>
      </c>
      <c r="AO50">
        <v>240</v>
      </c>
      <c r="AP50" t="s">
        <v>80</v>
      </c>
      <c r="AQ50" t="s">
        <v>260</v>
      </c>
      <c r="AR50" t="s">
        <v>86</v>
      </c>
      <c r="AS50" t="s">
        <v>86</v>
      </c>
      <c r="AT50" t="s">
        <v>264</v>
      </c>
      <c r="AU50" t="s">
        <v>86</v>
      </c>
      <c r="AV50" t="s">
        <v>293</v>
      </c>
      <c r="AW50" t="s">
        <v>69</v>
      </c>
      <c r="AX50" t="s">
        <v>294</v>
      </c>
      <c r="AY50" t="s">
        <v>295</v>
      </c>
      <c r="AZ50" t="s">
        <v>243</v>
      </c>
      <c r="BA50" t="s">
        <v>245</v>
      </c>
      <c r="BB50" t="s">
        <v>244</v>
      </c>
      <c r="BC50" t="s">
        <v>244</v>
      </c>
      <c r="BD50" t="s">
        <v>296</v>
      </c>
      <c r="BE50" t="s">
        <v>297</v>
      </c>
      <c r="BF50" t="s">
        <v>291</v>
      </c>
      <c r="BG50" t="s">
        <v>150</v>
      </c>
      <c r="BH50" t="str">
        <f>IF(COUNTIF(工作表1!A:A, $C50)&gt;0, "預購款", "非預購款")</f>
        <v>非預購款</v>
      </c>
    </row>
    <row r="51" spans="1:60" x14ac:dyDescent="0.25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230</v>
      </c>
      <c r="G51" t="s">
        <v>287</v>
      </c>
      <c r="H51" t="s">
        <v>130</v>
      </c>
      <c r="I51" t="s">
        <v>288</v>
      </c>
      <c r="J51" t="s">
        <v>289</v>
      </c>
      <c r="K51" t="s">
        <v>69</v>
      </c>
      <c r="L51" t="s">
        <v>290</v>
      </c>
      <c r="M51" t="s">
        <v>71</v>
      </c>
      <c r="N51" t="s">
        <v>72</v>
      </c>
      <c r="O51" t="s">
        <v>233</v>
      </c>
      <c r="P51" t="s">
        <v>234</v>
      </c>
      <c r="R51" t="s">
        <v>235</v>
      </c>
      <c r="S51" t="s">
        <v>236</v>
      </c>
      <c r="T51" t="s">
        <v>291</v>
      </c>
      <c r="U51" t="s">
        <v>104</v>
      </c>
      <c r="V51" t="s">
        <v>292</v>
      </c>
      <c r="W51">
        <v>690</v>
      </c>
      <c r="X51">
        <v>29.99</v>
      </c>
      <c r="Y51">
        <v>89</v>
      </c>
      <c r="Z51">
        <v>499000</v>
      </c>
      <c r="AA51">
        <v>288420</v>
      </c>
      <c r="AB51">
        <v>250</v>
      </c>
      <c r="AD51" t="s">
        <v>238</v>
      </c>
      <c r="AE51">
        <v>1</v>
      </c>
      <c r="AF51">
        <v>8</v>
      </c>
      <c r="AI51">
        <v>20</v>
      </c>
      <c r="AJ51">
        <v>130</v>
      </c>
      <c r="AK51">
        <v>158</v>
      </c>
      <c r="AL51">
        <v>418</v>
      </c>
      <c r="AM51">
        <v>170</v>
      </c>
      <c r="AN51">
        <v>0</v>
      </c>
      <c r="AO51">
        <v>170</v>
      </c>
      <c r="AP51" t="s">
        <v>80</v>
      </c>
      <c r="AQ51" t="s">
        <v>260</v>
      </c>
      <c r="AR51" t="s">
        <v>86</v>
      </c>
      <c r="AS51" t="s">
        <v>86</v>
      </c>
      <c r="AT51" t="s">
        <v>264</v>
      </c>
      <c r="AU51" t="s">
        <v>86</v>
      </c>
      <c r="AV51" t="s">
        <v>293</v>
      </c>
      <c r="AW51" t="s">
        <v>69</v>
      </c>
      <c r="AX51" t="s">
        <v>294</v>
      </c>
      <c r="AY51" t="s">
        <v>295</v>
      </c>
      <c r="AZ51" t="s">
        <v>243</v>
      </c>
      <c r="BA51" t="s">
        <v>245</v>
      </c>
      <c r="BB51" t="s">
        <v>244</v>
      </c>
      <c r="BC51" t="s">
        <v>244</v>
      </c>
      <c r="BD51" t="s">
        <v>298</v>
      </c>
      <c r="BE51" t="s">
        <v>297</v>
      </c>
      <c r="BF51" t="s">
        <v>291</v>
      </c>
      <c r="BG51" t="s">
        <v>150</v>
      </c>
      <c r="BH51" t="str">
        <f>IF(COUNTIF(工作表1!A:A, $C51)&gt;0, "預購款", "非預購款")</f>
        <v>非預購款</v>
      </c>
    </row>
    <row r="52" spans="1:60" x14ac:dyDescent="0.25">
      <c r="A52" t="s">
        <v>282</v>
      </c>
      <c r="B52" t="s">
        <v>283</v>
      </c>
      <c r="C52" t="s">
        <v>284</v>
      </c>
      <c r="D52" t="s">
        <v>285</v>
      </c>
      <c r="E52" t="s">
        <v>286</v>
      </c>
      <c r="F52" t="s">
        <v>230</v>
      </c>
      <c r="G52" t="s">
        <v>287</v>
      </c>
      <c r="H52" t="s">
        <v>132</v>
      </c>
      <c r="I52" t="s">
        <v>288</v>
      </c>
      <c r="J52" t="s">
        <v>289</v>
      </c>
      <c r="K52" t="s">
        <v>69</v>
      </c>
      <c r="L52" t="s">
        <v>290</v>
      </c>
      <c r="M52" t="s">
        <v>71</v>
      </c>
      <c r="N52" t="s">
        <v>72</v>
      </c>
      <c r="O52" t="s">
        <v>233</v>
      </c>
      <c r="P52" t="s">
        <v>234</v>
      </c>
      <c r="R52" t="s">
        <v>235</v>
      </c>
      <c r="S52" t="s">
        <v>236</v>
      </c>
      <c r="T52" t="s">
        <v>291</v>
      </c>
      <c r="U52" t="s">
        <v>104</v>
      </c>
      <c r="V52" t="s">
        <v>292</v>
      </c>
      <c r="W52">
        <v>690</v>
      </c>
      <c r="X52">
        <v>29.99</v>
      </c>
      <c r="Y52">
        <v>89</v>
      </c>
      <c r="Z52">
        <v>499000</v>
      </c>
      <c r="AA52">
        <v>288420</v>
      </c>
      <c r="AB52">
        <v>250</v>
      </c>
      <c r="AD52" t="s">
        <v>238</v>
      </c>
      <c r="AE52">
        <v>1</v>
      </c>
      <c r="AF52">
        <v>0</v>
      </c>
      <c r="AI52">
        <v>10</v>
      </c>
      <c r="AJ52">
        <v>20</v>
      </c>
      <c r="AK52">
        <v>30</v>
      </c>
      <c r="AL52">
        <v>418</v>
      </c>
      <c r="AM52">
        <v>40</v>
      </c>
      <c r="AN52">
        <v>0</v>
      </c>
      <c r="AO52">
        <v>40</v>
      </c>
      <c r="AP52" t="s">
        <v>80</v>
      </c>
      <c r="AQ52" t="s">
        <v>260</v>
      </c>
      <c r="AR52" t="s">
        <v>86</v>
      </c>
      <c r="AS52" t="s">
        <v>86</v>
      </c>
      <c r="AT52" t="s">
        <v>264</v>
      </c>
      <c r="AU52" t="s">
        <v>86</v>
      </c>
      <c r="AV52" t="s">
        <v>293</v>
      </c>
      <c r="AW52" t="s">
        <v>69</v>
      </c>
      <c r="AX52" t="s">
        <v>294</v>
      </c>
      <c r="AY52" t="s">
        <v>295</v>
      </c>
      <c r="AZ52" t="s">
        <v>243</v>
      </c>
      <c r="BA52" t="s">
        <v>245</v>
      </c>
      <c r="BB52" t="s">
        <v>244</v>
      </c>
      <c r="BC52" t="s">
        <v>244</v>
      </c>
      <c r="BD52" t="s">
        <v>299</v>
      </c>
      <c r="BE52" t="s">
        <v>297</v>
      </c>
      <c r="BF52" t="s">
        <v>291</v>
      </c>
      <c r="BG52" t="s">
        <v>150</v>
      </c>
      <c r="BH52" t="str">
        <f>IF(COUNTIF(工作表1!A:A, $C52)&gt;0, "預購款", "非預購款")</f>
        <v>非預購款</v>
      </c>
    </row>
    <row r="53" spans="1:60" x14ac:dyDescent="0.25">
      <c r="A53" t="s">
        <v>300</v>
      </c>
      <c r="B53" t="s">
        <v>301</v>
      </c>
      <c r="C53" t="s">
        <v>302</v>
      </c>
      <c r="D53" t="s">
        <v>303</v>
      </c>
      <c r="E53" t="s">
        <v>304</v>
      </c>
      <c r="F53" t="s">
        <v>230</v>
      </c>
      <c r="G53" t="s">
        <v>305</v>
      </c>
      <c r="H53" t="s">
        <v>119</v>
      </c>
      <c r="I53" t="s">
        <v>97</v>
      </c>
      <c r="J53" t="s">
        <v>98</v>
      </c>
      <c r="K53" t="s">
        <v>69</v>
      </c>
      <c r="L53" t="s">
        <v>306</v>
      </c>
      <c r="M53" t="s">
        <v>71</v>
      </c>
      <c r="N53" t="s">
        <v>72</v>
      </c>
      <c r="O53" t="s">
        <v>233</v>
      </c>
      <c r="P53" t="s">
        <v>234</v>
      </c>
      <c r="R53" t="s">
        <v>235</v>
      </c>
      <c r="S53" t="s">
        <v>236</v>
      </c>
      <c r="T53" t="s">
        <v>76</v>
      </c>
      <c r="U53" t="s">
        <v>150</v>
      </c>
      <c r="V53" t="s">
        <v>307</v>
      </c>
      <c r="W53">
        <v>890</v>
      </c>
      <c r="X53">
        <v>39.99</v>
      </c>
      <c r="Y53">
        <v>115</v>
      </c>
      <c r="Z53">
        <v>639000</v>
      </c>
      <c r="AA53">
        <v>640800</v>
      </c>
      <c r="AB53">
        <v>512</v>
      </c>
      <c r="AD53" t="s">
        <v>238</v>
      </c>
      <c r="AE53">
        <v>1</v>
      </c>
      <c r="AF53">
        <v>0</v>
      </c>
      <c r="AI53">
        <v>0</v>
      </c>
      <c r="AJ53">
        <v>520</v>
      </c>
      <c r="AK53">
        <v>520</v>
      </c>
      <c r="AL53">
        <v>720</v>
      </c>
      <c r="AM53">
        <v>530</v>
      </c>
      <c r="AN53">
        <v>0</v>
      </c>
      <c r="AO53">
        <v>530</v>
      </c>
      <c r="AP53" t="s">
        <v>80</v>
      </c>
      <c r="AQ53" t="s">
        <v>75</v>
      </c>
      <c r="AR53" t="s">
        <v>261</v>
      </c>
      <c r="AS53" t="s">
        <v>86</v>
      </c>
      <c r="AT53" t="s">
        <v>240</v>
      </c>
      <c r="AU53" t="s">
        <v>86</v>
      </c>
      <c r="AV53" t="s">
        <v>308</v>
      </c>
      <c r="AW53" t="s">
        <v>69</v>
      </c>
      <c r="AX53" t="s">
        <v>82</v>
      </c>
      <c r="AY53" t="s">
        <v>309</v>
      </c>
      <c r="AZ53" t="s">
        <v>310</v>
      </c>
      <c r="BA53" t="s">
        <v>245</v>
      </c>
      <c r="BB53" t="s">
        <v>245</v>
      </c>
      <c r="BC53" t="s">
        <v>264</v>
      </c>
      <c r="BD53" t="s">
        <v>311</v>
      </c>
      <c r="BE53" t="s">
        <v>312</v>
      </c>
      <c r="BF53" t="s">
        <v>86</v>
      </c>
      <c r="BG53" t="s">
        <v>87</v>
      </c>
      <c r="BH53" t="str">
        <f>IF(COUNTIF(工作表1!A:A, $C53)&gt;0, "預購款", "非預購款")</f>
        <v>非預購款</v>
      </c>
    </row>
    <row r="54" spans="1:60" x14ac:dyDescent="0.25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230</v>
      </c>
      <c r="G54" t="s">
        <v>305</v>
      </c>
      <c r="H54" t="s">
        <v>130</v>
      </c>
      <c r="I54" t="s">
        <v>97</v>
      </c>
      <c r="J54" t="s">
        <v>98</v>
      </c>
      <c r="K54" t="s">
        <v>69</v>
      </c>
      <c r="L54" t="s">
        <v>306</v>
      </c>
      <c r="M54" t="s">
        <v>71</v>
      </c>
      <c r="N54" t="s">
        <v>72</v>
      </c>
      <c r="O54" t="s">
        <v>233</v>
      </c>
      <c r="P54" t="s">
        <v>234</v>
      </c>
      <c r="R54" t="s">
        <v>235</v>
      </c>
      <c r="S54" t="s">
        <v>236</v>
      </c>
      <c r="T54" t="s">
        <v>76</v>
      </c>
      <c r="U54" t="s">
        <v>150</v>
      </c>
      <c r="V54" t="s">
        <v>307</v>
      </c>
      <c r="W54">
        <v>890</v>
      </c>
      <c r="X54">
        <v>39.99</v>
      </c>
      <c r="Y54">
        <v>115</v>
      </c>
      <c r="Z54">
        <v>639000</v>
      </c>
      <c r="AA54">
        <v>640800</v>
      </c>
      <c r="AB54">
        <v>512</v>
      </c>
      <c r="AD54" t="s">
        <v>238</v>
      </c>
      <c r="AE54">
        <v>1</v>
      </c>
      <c r="AF54">
        <v>0</v>
      </c>
      <c r="AI54">
        <v>0</v>
      </c>
      <c r="AJ54">
        <v>200</v>
      </c>
      <c r="AK54">
        <v>200</v>
      </c>
      <c r="AL54">
        <v>720</v>
      </c>
      <c r="AM54">
        <v>210</v>
      </c>
      <c r="AN54">
        <v>0</v>
      </c>
      <c r="AO54">
        <v>210</v>
      </c>
      <c r="AP54" t="s">
        <v>80</v>
      </c>
      <c r="AQ54" t="s">
        <v>75</v>
      </c>
      <c r="AR54" t="s">
        <v>261</v>
      </c>
      <c r="AS54" t="s">
        <v>86</v>
      </c>
      <c r="AT54" t="s">
        <v>240</v>
      </c>
      <c r="AU54" t="s">
        <v>86</v>
      </c>
      <c r="AV54" t="s">
        <v>308</v>
      </c>
      <c r="AW54" t="s">
        <v>69</v>
      </c>
      <c r="AX54" t="s">
        <v>82</v>
      </c>
      <c r="AY54" t="s">
        <v>309</v>
      </c>
      <c r="AZ54" t="s">
        <v>310</v>
      </c>
      <c r="BA54" t="s">
        <v>245</v>
      </c>
      <c r="BB54" t="s">
        <v>245</v>
      </c>
      <c r="BC54" t="s">
        <v>264</v>
      </c>
      <c r="BD54" t="s">
        <v>313</v>
      </c>
      <c r="BE54" t="s">
        <v>312</v>
      </c>
      <c r="BF54" t="s">
        <v>86</v>
      </c>
      <c r="BG54" t="s">
        <v>87</v>
      </c>
      <c r="BH54" t="str">
        <f>IF(COUNTIF(工作表1!A:A, $C54)&gt;0, "預購款", "非預購款")</f>
        <v>非預購款</v>
      </c>
    </row>
    <row r="55" spans="1:60" x14ac:dyDescent="0.25">
      <c r="A55" t="s">
        <v>314</v>
      </c>
      <c r="B55" t="s">
        <v>315</v>
      </c>
      <c r="C55" t="s">
        <v>316</v>
      </c>
      <c r="D55" t="s">
        <v>317</v>
      </c>
      <c r="E55" t="s">
        <v>318</v>
      </c>
      <c r="F55" t="s">
        <v>230</v>
      </c>
      <c r="G55" t="s">
        <v>319</v>
      </c>
      <c r="H55" t="s">
        <v>119</v>
      </c>
      <c r="I55" t="s">
        <v>120</v>
      </c>
      <c r="J55" t="s">
        <v>121</v>
      </c>
      <c r="K55" t="s">
        <v>69</v>
      </c>
      <c r="L55" t="s">
        <v>320</v>
      </c>
      <c r="M55" t="s">
        <v>71</v>
      </c>
      <c r="N55" t="s">
        <v>72</v>
      </c>
      <c r="O55" t="s">
        <v>233</v>
      </c>
      <c r="P55" t="s">
        <v>234</v>
      </c>
      <c r="R55" t="s">
        <v>235</v>
      </c>
      <c r="S55" t="s">
        <v>236</v>
      </c>
      <c r="T55" t="s">
        <v>258</v>
      </c>
      <c r="U55" t="s">
        <v>146</v>
      </c>
      <c r="V55" t="s">
        <v>321</v>
      </c>
      <c r="W55">
        <v>790</v>
      </c>
      <c r="X55">
        <v>34.99</v>
      </c>
      <c r="Y55">
        <v>99</v>
      </c>
      <c r="Z55">
        <v>569000</v>
      </c>
      <c r="AA55">
        <v>195920</v>
      </c>
      <c r="AB55">
        <v>340</v>
      </c>
      <c r="AD55" t="s">
        <v>238</v>
      </c>
      <c r="AE55">
        <v>1</v>
      </c>
      <c r="AF55">
        <v>10</v>
      </c>
      <c r="AI55">
        <v>0</v>
      </c>
      <c r="AJ55">
        <v>110</v>
      </c>
      <c r="AK55">
        <v>120</v>
      </c>
      <c r="AL55">
        <v>248</v>
      </c>
      <c r="AM55">
        <v>129</v>
      </c>
      <c r="AN55">
        <v>0</v>
      </c>
      <c r="AO55">
        <v>129</v>
      </c>
      <c r="AP55" t="s">
        <v>80</v>
      </c>
      <c r="AQ55" t="s">
        <v>75</v>
      </c>
      <c r="AR55" t="s">
        <v>86</v>
      </c>
      <c r="AS55" t="s">
        <v>86</v>
      </c>
      <c r="AT55" t="s">
        <v>240</v>
      </c>
      <c r="AU55" t="s">
        <v>86</v>
      </c>
      <c r="AV55" t="s">
        <v>322</v>
      </c>
      <c r="AW55" t="s">
        <v>69</v>
      </c>
      <c r="AX55" t="s">
        <v>262</v>
      </c>
      <c r="AY55" t="s">
        <v>323</v>
      </c>
      <c r="AZ55" t="s">
        <v>264</v>
      </c>
      <c r="BA55" t="s">
        <v>245</v>
      </c>
      <c r="BB55" t="s">
        <v>245</v>
      </c>
      <c r="BC55" t="s">
        <v>244</v>
      </c>
      <c r="BD55" t="s">
        <v>324</v>
      </c>
      <c r="BE55" t="s">
        <v>325</v>
      </c>
      <c r="BF55" t="s">
        <v>240</v>
      </c>
      <c r="BG55" t="s">
        <v>110</v>
      </c>
      <c r="BH55" t="str">
        <f>IF(COUNTIF(工作表1!A:A, $C55)&gt;0, "預購款", "非預購款")</f>
        <v>非預購款</v>
      </c>
    </row>
    <row r="56" spans="1:60" x14ac:dyDescent="0.25">
      <c r="A56" t="s">
        <v>314</v>
      </c>
      <c r="B56" t="s">
        <v>315</v>
      </c>
      <c r="C56" t="s">
        <v>316</v>
      </c>
      <c r="D56" t="s">
        <v>317</v>
      </c>
      <c r="E56" t="s">
        <v>318</v>
      </c>
      <c r="F56" t="s">
        <v>230</v>
      </c>
      <c r="G56" t="s">
        <v>319</v>
      </c>
      <c r="H56" t="s">
        <v>130</v>
      </c>
      <c r="I56" t="s">
        <v>120</v>
      </c>
      <c r="J56" t="s">
        <v>121</v>
      </c>
      <c r="K56" t="s">
        <v>69</v>
      </c>
      <c r="L56" t="s">
        <v>320</v>
      </c>
      <c r="M56" t="s">
        <v>71</v>
      </c>
      <c r="N56" t="s">
        <v>72</v>
      </c>
      <c r="O56" t="s">
        <v>233</v>
      </c>
      <c r="P56" t="s">
        <v>234</v>
      </c>
      <c r="R56" t="s">
        <v>235</v>
      </c>
      <c r="S56" t="s">
        <v>236</v>
      </c>
      <c r="T56" t="s">
        <v>258</v>
      </c>
      <c r="U56" t="s">
        <v>146</v>
      </c>
      <c r="V56" t="s">
        <v>321</v>
      </c>
      <c r="W56">
        <v>790</v>
      </c>
      <c r="X56">
        <v>34.99</v>
      </c>
      <c r="Y56">
        <v>99</v>
      </c>
      <c r="Z56">
        <v>569000</v>
      </c>
      <c r="AA56">
        <v>195920</v>
      </c>
      <c r="AB56">
        <v>340</v>
      </c>
      <c r="AD56" t="s">
        <v>238</v>
      </c>
      <c r="AE56">
        <v>1</v>
      </c>
      <c r="AF56">
        <v>8</v>
      </c>
      <c r="AI56">
        <v>0</v>
      </c>
      <c r="AJ56">
        <v>80</v>
      </c>
      <c r="AK56">
        <v>88</v>
      </c>
      <c r="AL56">
        <v>248</v>
      </c>
      <c r="AM56">
        <v>98</v>
      </c>
      <c r="AN56">
        <v>0</v>
      </c>
      <c r="AO56">
        <v>98</v>
      </c>
      <c r="AP56" t="s">
        <v>80</v>
      </c>
      <c r="AQ56" t="s">
        <v>75</v>
      </c>
      <c r="AR56" t="s">
        <v>86</v>
      </c>
      <c r="AS56" t="s">
        <v>86</v>
      </c>
      <c r="AT56" t="s">
        <v>240</v>
      </c>
      <c r="AU56" t="s">
        <v>86</v>
      </c>
      <c r="AV56" t="s">
        <v>322</v>
      </c>
      <c r="AW56" t="s">
        <v>69</v>
      </c>
      <c r="AX56" t="s">
        <v>262</v>
      </c>
      <c r="AY56" t="s">
        <v>323</v>
      </c>
      <c r="AZ56" t="s">
        <v>264</v>
      </c>
      <c r="BA56" t="s">
        <v>245</v>
      </c>
      <c r="BB56" t="s">
        <v>245</v>
      </c>
      <c r="BC56" t="s">
        <v>244</v>
      </c>
      <c r="BD56" t="s">
        <v>326</v>
      </c>
      <c r="BE56" t="s">
        <v>325</v>
      </c>
      <c r="BF56" t="s">
        <v>240</v>
      </c>
      <c r="BG56" t="s">
        <v>110</v>
      </c>
      <c r="BH56" t="str">
        <f>IF(COUNTIF(工作表1!A:A, $C56)&gt;0, "預購款", "非預購款")</f>
        <v>非預購款</v>
      </c>
    </row>
    <row r="57" spans="1:60" x14ac:dyDescent="0.25">
      <c r="A57" t="s">
        <v>314</v>
      </c>
      <c r="B57" t="s">
        <v>315</v>
      </c>
      <c r="C57" t="s">
        <v>316</v>
      </c>
      <c r="D57" t="s">
        <v>317</v>
      </c>
      <c r="E57" t="s">
        <v>318</v>
      </c>
      <c r="F57" t="s">
        <v>230</v>
      </c>
      <c r="G57" t="s">
        <v>319</v>
      </c>
      <c r="H57" t="s">
        <v>132</v>
      </c>
      <c r="I57" t="s">
        <v>120</v>
      </c>
      <c r="J57" t="s">
        <v>121</v>
      </c>
      <c r="K57" t="s">
        <v>69</v>
      </c>
      <c r="L57" t="s">
        <v>320</v>
      </c>
      <c r="M57" t="s">
        <v>71</v>
      </c>
      <c r="N57" t="s">
        <v>72</v>
      </c>
      <c r="O57" t="s">
        <v>233</v>
      </c>
      <c r="P57" t="s">
        <v>234</v>
      </c>
      <c r="R57" t="s">
        <v>235</v>
      </c>
      <c r="S57" t="s">
        <v>236</v>
      </c>
      <c r="T57" t="s">
        <v>258</v>
      </c>
      <c r="U57" t="s">
        <v>146</v>
      </c>
      <c r="V57" t="s">
        <v>321</v>
      </c>
      <c r="W57">
        <v>790</v>
      </c>
      <c r="X57">
        <v>34.99</v>
      </c>
      <c r="Y57">
        <v>99</v>
      </c>
      <c r="Z57">
        <v>569000</v>
      </c>
      <c r="AA57">
        <v>195920</v>
      </c>
      <c r="AB57">
        <v>340</v>
      </c>
      <c r="AD57" t="s">
        <v>238</v>
      </c>
      <c r="AE57">
        <v>1</v>
      </c>
      <c r="AF57">
        <v>0</v>
      </c>
      <c r="AI57">
        <v>0</v>
      </c>
      <c r="AJ57">
        <v>40</v>
      </c>
      <c r="AK57">
        <v>40</v>
      </c>
      <c r="AL57">
        <v>248</v>
      </c>
      <c r="AM57">
        <v>46</v>
      </c>
      <c r="AN57">
        <v>0</v>
      </c>
      <c r="AO57">
        <v>46</v>
      </c>
      <c r="AP57" t="s">
        <v>80</v>
      </c>
      <c r="AQ57" t="s">
        <v>75</v>
      </c>
      <c r="AR57" t="s">
        <v>86</v>
      </c>
      <c r="AS57" t="s">
        <v>86</v>
      </c>
      <c r="AT57" t="s">
        <v>240</v>
      </c>
      <c r="AU57" t="s">
        <v>86</v>
      </c>
      <c r="AV57" t="s">
        <v>322</v>
      </c>
      <c r="AW57" t="s">
        <v>69</v>
      </c>
      <c r="AX57" t="s">
        <v>262</v>
      </c>
      <c r="AY57" t="s">
        <v>323</v>
      </c>
      <c r="AZ57" t="s">
        <v>264</v>
      </c>
      <c r="BA57" t="s">
        <v>245</v>
      </c>
      <c r="BB57" t="s">
        <v>245</v>
      </c>
      <c r="BC57" t="s">
        <v>244</v>
      </c>
      <c r="BD57" t="s">
        <v>327</v>
      </c>
      <c r="BE57" t="s">
        <v>325</v>
      </c>
      <c r="BF57" t="s">
        <v>240</v>
      </c>
      <c r="BG57" t="s">
        <v>110</v>
      </c>
      <c r="BH57" t="str">
        <f>IF(COUNTIF(工作表1!A:A, $C57)&gt;0, "預購款", "非預購款")</f>
        <v>非預購款</v>
      </c>
    </row>
    <row r="58" spans="1:60" x14ac:dyDescent="0.25">
      <c r="A58" t="s">
        <v>328</v>
      </c>
      <c r="B58" t="s">
        <v>315</v>
      </c>
      <c r="C58" t="s">
        <v>329</v>
      </c>
      <c r="D58" t="s">
        <v>330</v>
      </c>
      <c r="E58" t="s">
        <v>331</v>
      </c>
      <c r="F58" t="s">
        <v>230</v>
      </c>
      <c r="G58" t="s">
        <v>332</v>
      </c>
      <c r="H58" t="s">
        <v>273</v>
      </c>
      <c r="I58" t="s">
        <v>97</v>
      </c>
      <c r="J58" t="s">
        <v>98</v>
      </c>
      <c r="K58" t="s">
        <v>69</v>
      </c>
      <c r="L58" t="s">
        <v>333</v>
      </c>
      <c r="M58" t="s">
        <v>71</v>
      </c>
      <c r="N58" t="s">
        <v>72</v>
      </c>
      <c r="O58" t="s">
        <v>233</v>
      </c>
      <c r="P58" t="s">
        <v>234</v>
      </c>
      <c r="R58" t="s">
        <v>235</v>
      </c>
      <c r="S58" t="s">
        <v>236</v>
      </c>
      <c r="T58" t="s">
        <v>274</v>
      </c>
      <c r="U58" t="s">
        <v>150</v>
      </c>
      <c r="V58" t="s">
        <v>202</v>
      </c>
      <c r="W58">
        <v>890</v>
      </c>
      <c r="X58">
        <v>39.99</v>
      </c>
      <c r="Y58">
        <v>115</v>
      </c>
      <c r="Z58">
        <v>639000</v>
      </c>
      <c r="AA58">
        <v>234070</v>
      </c>
      <c r="AB58">
        <v>392</v>
      </c>
      <c r="AD58" t="s">
        <v>238</v>
      </c>
      <c r="AE58">
        <v>1</v>
      </c>
      <c r="AF58">
        <v>3</v>
      </c>
      <c r="AI58">
        <v>30</v>
      </c>
      <c r="AJ58">
        <v>160</v>
      </c>
      <c r="AK58">
        <v>193</v>
      </c>
      <c r="AL58">
        <v>263</v>
      </c>
      <c r="AM58">
        <v>210</v>
      </c>
      <c r="AN58">
        <v>0</v>
      </c>
      <c r="AO58">
        <v>210</v>
      </c>
      <c r="AP58" t="s">
        <v>80</v>
      </c>
      <c r="AQ58" t="s">
        <v>75</v>
      </c>
      <c r="AS58" t="s">
        <v>86</v>
      </c>
      <c r="AT58" t="s">
        <v>86</v>
      </c>
      <c r="AU58" t="s">
        <v>86</v>
      </c>
      <c r="AV58" t="s">
        <v>81</v>
      </c>
      <c r="AW58" t="s">
        <v>69</v>
      </c>
      <c r="AX58" t="s">
        <v>82</v>
      </c>
      <c r="AY58" t="s">
        <v>334</v>
      </c>
      <c r="AZ58" t="s">
        <v>310</v>
      </c>
      <c r="BA58" t="s">
        <v>245</v>
      </c>
      <c r="BB58" t="s">
        <v>245</v>
      </c>
      <c r="BC58" t="s">
        <v>264</v>
      </c>
      <c r="BD58" t="s">
        <v>335</v>
      </c>
      <c r="BE58" t="s">
        <v>336</v>
      </c>
      <c r="BF58" t="s">
        <v>279</v>
      </c>
      <c r="BG58" t="s">
        <v>87</v>
      </c>
      <c r="BH58" t="str">
        <f>IF(COUNTIF(工作表1!A:A, $C58)&gt;0, "預購款", "非預購款")</f>
        <v>非預購款</v>
      </c>
    </row>
    <row r="59" spans="1:60" x14ac:dyDescent="0.25">
      <c r="A59" t="s">
        <v>328</v>
      </c>
      <c r="B59" t="s">
        <v>315</v>
      </c>
      <c r="C59" t="s">
        <v>329</v>
      </c>
      <c r="D59" t="s">
        <v>330</v>
      </c>
      <c r="E59" t="s">
        <v>331</v>
      </c>
      <c r="F59" t="s">
        <v>230</v>
      </c>
      <c r="G59" t="s">
        <v>332</v>
      </c>
      <c r="H59" t="s">
        <v>280</v>
      </c>
      <c r="I59" t="s">
        <v>97</v>
      </c>
      <c r="J59" t="s">
        <v>98</v>
      </c>
      <c r="K59" t="s">
        <v>69</v>
      </c>
      <c r="L59" t="s">
        <v>333</v>
      </c>
      <c r="M59" t="s">
        <v>71</v>
      </c>
      <c r="N59" t="s">
        <v>72</v>
      </c>
      <c r="O59" t="s">
        <v>233</v>
      </c>
      <c r="P59" t="s">
        <v>234</v>
      </c>
      <c r="R59" t="s">
        <v>235</v>
      </c>
      <c r="S59" t="s">
        <v>236</v>
      </c>
      <c r="T59" t="s">
        <v>274</v>
      </c>
      <c r="U59" t="s">
        <v>150</v>
      </c>
      <c r="V59" t="s">
        <v>202</v>
      </c>
      <c r="W59">
        <v>890</v>
      </c>
      <c r="X59">
        <v>39.99</v>
      </c>
      <c r="Y59">
        <v>115</v>
      </c>
      <c r="Z59">
        <v>639000</v>
      </c>
      <c r="AA59">
        <v>234070</v>
      </c>
      <c r="AB59">
        <v>392</v>
      </c>
      <c r="AD59" t="s">
        <v>238</v>
      </c>
      <c r="AE59">
        <v>1</v>
      </c>
      <c r="AF59">
        <v>0</v>
      </c>
      <c r="AI59">
        <v>20</v>
      </c>
      <c r="AJ59">
        <v>50</v>
      </c>
      <c r="AK59">
        <v>70</v>
      </c>
      <c r="AL59">
        <v>263</v>
      </c>
      <c r="AM59">
        <v>80</v>
      </c>
      <c r="AN59">
        <v>0</v>
      </c>
      <c r="AO59">
        <v>80</v>
      </c>
      <c r="AP59" t="s">
        <v>80</v>
      </c>
      <c r="AQ59" t="s">
        <v>75</v>
      </c>
      <c r="AS59" t="s">
        <v>86</v>
      </c>
      <c r="AT59" t="s">
        <v>86</v>
      </c>
      <c r="AU59" t="s">
        <v>86</v>
      </c>
      <c r="AV59" t="s">
        <v>81</v>
      </c>
      <c r="AW59" t="s">
        <v>69</v>
      </c>
      <c r="AX59" t="s">
        <v>82</v>
      </c>
      <c r="AY59" t="s">
        <v>334</v>
      </c>
      <c r="AZ59" t="s">
        <v>310</v>
      </c>
      <c r="BA59" t="s">
        <v>245</v>
      </c>
      <c r="BB59" t="s">
        <v>245</v>
      </c>
      <c r="BC59" t="s">
        <v>264</v>
      </c>
      <c r="BD59" t="s">
        <v>337</v>
      </c>
      <c r="BE59" t="s">
        <v>336</v>
      </c>
      <c r="BF59" t="s">
        <v>279</v>
      </c>
      <c r="BG59" t="s">
        <v>87</v>
      </c>
      <c r="BH59" t="str">
        <f>IF(COUNTIF(工作表1!A:A, $C59)&gt;0, "預購款", "非預購款")</f>
        <v>非預購款</v>
      </c>
    </row>
    <row r="60" spans="1:60" x14ac:dyDescent="0.25">
      <c r="A60" t="s">
        <v>338</v>
      </c>
      <c r="B60" t="s">
        <v>339</v>
      </c>
      <c r="C60" t="s">
        <v>340</v>
      </c>
      <c r="D60" t="s">
        <v>341</v>
      </c>
      <c r="E60" t="s">
        <v>342</v>
      </c>
      <c r="F60" t="s">
        <v>230</v>
      </c>
      <c r="G60" t="s">
        <v>343</v>
      </c>
      <c r="H60" t="s">
        <v>119</v>
      </c>
      <c r="I60" t="s">
        <v>97</v>
      </c>
      <c r="J60" t="s">
        <v>98</v>
      </c>
      <c r="K60" t="s">
        <v>69</v>
      </c>
      <c r="L60" t="s">
        <v>344</v>
      </c>
      <c r="M60" t="s">
        <v>71</v>
      </c>
      <c r="N60" t="s">
        <v>72</v>
      </c>
      <c r="O60" t="s">
        <v>233</v>
      </c>
      <c r="P60" t="s">
        <v>234</v>
      </c>
      <c r="R60" t="s">
        <v>235</v>
      </c>
      <c r="S60" t="s">
        <v>236</v>
      </c>
      <c r="T60" t="s">
        <v>76</v>
      </c>
      <c r="U60" t="s">
        <v>146</v>
      </c>
      <c r="V60" t="s">
        <v>144</v>
      </c>
      <c r="W60">
        <v>990</v>
      </c>
      <c r="X60">
        <v>39.99</v>
      </c>
      <c r="Y60">
        <v>129</v>
      </c>
      <c r="Z60">
        <v>709000</v>
      </c>
      <c r="AA60">
        <v>207900</v>
      </c>
      <c r="AB60">
        <v>644</v>
      </c>
      <c r="AD60" t="s">
        <v>238</v>
      </c>
      <c r="AE60">
        <v>1</v>
      </c>
      <c r="AF60">
        <v>0</v>
      </c>
      <c r="AI60">
        <v>0</v>
      </c>
      <c r="AJ60">
        <v>130</v>
      </c>
      <c r="AK60">
        <v>130</v>
      </c>
      <c r="AL60">
        <v>210</v>
      </c>
      <c r="AM60">
        <v>130</v>
      </c>
      <c r="AN60">
        <v>0</v>
      </c>
      <c r="AO60">
        <v>130</v>
      </c>
      <c r="AP60" t="s">
        <v>80</v>
      </c>
      <c r="AQ60" t="s">
        <v>345</v>
      </c>
      <c r="AR60" t="s">
        <v>86</v>
      </c>
      <c r="AS60" t="s">
        <v>86</v>
      </c>
      <c r="AT60" t="s">
        <v>86</v>
      </c>
      <c r="AU60" t="s">
        <v>86</v>
      </c>
      <c r="AV60" t="s">
        <v>346</v>
      </c>
      <c r="AW60" t="s">
        <v>80</v>
      </c>
      <c r="AX60" t="s">
        <v>82</v>
      </c>
      <c r="AY60" t="s">
        <v>347</v>
      </c>
      <c r="AZ60" t="s">
        <v>243</v>
      </c>
      <c r="BA60" t="s">
        <v>245</v>
      </c>
      <c r="BB60" t="s">
        <v>245</v>
      </c>
      <c r="BC60" t="s">
        <v>264</v>
      </c>
      <c r="BD60" t="s">
        <v>348</v>
      </c>
      <c r="BE60" t="s">
        <v>349</v>
      </c>
      <c r="BF60" t="s">
        <v>86</v>
      </c>
      <c r="BG60" t="s">
        <v>87</v>
      </c>
      <c r="BH60" t="str">
        <f>IF(COUNTIF(工作表1!A:A, $C60)&gt;0, "預購款", "非預購款")</f>
        <v>非預購款</v>
      </c>
    </row>
    <row r="61" spans="1:60" x14ac:dyDescent="0.25">
      <c r="A61" t="s">
        <v>338</v>
      </c>
      <c r="B61" t="s">
        <v>339</v>
      </c>
      <c r="C61" t="s">
        <v>340</v>
      </c>
      <c r="D61" t="s">
        <v>341</v>
      </c>
      <c r="E61" t="s">
        <v>342</v>
      </c>
      <c r="F61" t="s">
        <v>230</v>
      </c>
      <c r="G61" t="s">
        <v>343</v>
      </c>
      <c r="H61" t="s">
        <v>130</v>
      </c>
      <c r="I61" t="s">
        <v>97</v>
      </c>
      <c r="J61" t="s">
        <v>98</v>
      </c>
      <c r="K61" t="s">
        <v>69</v>
      </c>
      <c r="L61" t="s">
        <v>344</v>
      </c>
      <c r="M61" t="s">
        <v>71</v>
      </c>
      <c r="N61" t="s">
        <v>72</v>
      </c>
      <c r="O61" t="s">
        <v>233</v>
      </c>
      <c r="P61" t="s">
        <v>234</v>
      </c>
      <c r="R61" t="s">
        <v>235</v>
      </c>
      <c r="S61" t="s">
        <v>236</v>
      </c>
      <c r="T61" t="s">
        <v>76</v>
      </c>
      <c r="U61" t="s">
        <v>146</v>
      </c>
      <c r="V61" t="s">
        <v>144</v>
      </c>
      <c r="W61">
        <v>990</v>
      </c>
      <c r="X61">
        <v>39.99</v>
      </c>
      <c r="Y61">
        <v>129</v>
      </c>
      <c r="Z61">
        <v>709000</v>
      </c>
      <c r="AA61">
        <v>207900</v>
      </c>
      <c r="AB61">
        <v>644</v>
      </c>
      <c r="AD61" t="s">
        <v>238</v>
      </c>
      <c r="AE61">
        <v>1</v>
      </c>
      <c r="AF61">
        <v>0</v>
      </c>
      <c r="AI61">
        <v>0</v>
      </c>
      <c r="AJ61">
        <v>80</v>
      </c>
      <c r="AK61">
        <v>80</v>
      </c>
      <c r="AL61">
        <v>210</v>
      </c>
      <c r="AM61">
        <v>80</v>
      </c>
      <c r="AN61">
        <v>0</v>
      </c>
      <c r="AO61">
        <v>80</v>
      </c>
      <c r="AP61" t="s">
        <v>80</v>
      </c>
      <c r="AQ61" t="s">
        <v>345</v>
      </c>
      <c r="AR61" t="s">
        <v>86</v>
      </c>
      <c r="AS61" t="s">
        <v>86</v>
      </c>
      <c r="AT61" t="s">
        <v>86</v>
      </c>
      <c r="AU61" t="s">
        <v>86</v>
      </c>
      <c r="AV61" t="s">
        <v>346</v>
      </c>
      <c r="AW61" t="s">
        <v>80</v>
      </c>
      <c r="AX61" t="s">
        <v>82</v>
      </c>
      <c r="AY61" t="s">
        <v>347</v>
      </c>
      <c r="AZ61" t="s">
        <v>243</v>
      </c>
      <c r="BA61" t="s">
        <v>245</v>
      </c>
      <c r="BB61" t="s">
        <v>245</v>
      </c>
      <c r="BC61" t="s">
        <v>264</v>
      </c>
      <c r="BD61" t="s">
        <v>350</v>
      </c>
      <c r="BE61" t="s">
        <v>349</v>
      </c>
      <c r="BF61" t="s">
        <v>86</v>
      </c>
      <c r="BG61" t="s">
        <v>87</v>
      </c>
      <c r="BH61" t="str">
        <f>IF(COUNTIF(工作表1!A:A, $C61)&gt;0, "預購款", "非預購款")</f>
        <v>非預購款</v>
      </c>
    </row>
    <row r="62" spans="1:60" x14ac:dyDescent="0.25">
      <c r="A62" t="s">
        <v>351</v>
      </c>
      <c r="B62" t="s">
        <v>339</v>
      </c>
      <c r="C62" t="s">
        <v>352</v>
      </c>
      <c r="D62" t="s">
        <v>353</v>
      </c>
      <c r="E62" t="s">
        <v>354</v>
      </c>
      <c r="F62" t="s">
        <v>230</v>
      </c>
      <c r="G62" t="s">
        <v>355</v>
      </c>
      <c r="H62" t="s">
        <v>119</v>
      </c>
      <c r="I62" t="s">
        <v>97</v>
      </c>
      <c r="J62" t="s">
        <v>98</v>
      </c>
      <c r="K62" t="s">
        <v>69</v>
      </c>
      <c r="L62" t="s">
        <v>356</v>
      </c>
      <c r="M62" t="s">
        <v>71</v>
      </c>
      <c r="N62" t="s">
        <v>72</v>
      </c>
      <c r="O62" t="s">
        <v>233</v>
      </c>
      <c r="P62" t="s">
        <v>234</v>
      </c>
      <c r="R62" t="s">
        <v>235</v>
      </c>
      <c r="S62" t="s">
        <v>236</v>
      </c>
      <c r="T62" t="s">
        <v>76</v>
      </c>
      <c r="U62" t="s">
        <v>150</v>
      </c>
      <c r="V62" t="s">
        <v>307</v>
      </c>
      <c r="W62">
        <v>890</v>
      </c>
      <c r="X62">
        <v>39.99</v>
      </c>
      <c r="Y62">
        <v>115</v>
      </c>
      <c r="Z62">
        <v>639000</v>
      </c>
      <c r="AA62">
        <v>345320</v>
      </c>
      <c r="AB62">
        <v>416</v>
      </c>
      <c r="AD62" t="s">
        <v>238</v>
      </c>
      <c r="AE62">
        <v>1</v>
      </c>
      <c r="AF62">
        <v>10</v>
      </c>
      <c r="AI62">
        <v>30</v>
      </c>
      <c r="AJ62">
        <v>240</v>
      </c>
      <c r="AK62">
        <v>280</v>
      </c>
      <c r="AL62">
        <v>388</v>
      </c>
      <c r="AM62">
        <v>281</v>
      </c>
      <c r="AN62">
        <v>0</v>
      </c>
      <c r="AO62">
        <v>281</v>
      </c>
      <c r="AP62" t="s">
        <v>80</v>
      </c>
      <c r="AQ62" t="s">
        <v>345</v>
      </c>
      <c r="AR62" t="s">
        <v>261</v>
      </c>
      <c r="AS62" t="s">
        <v>86</v>
      </c>
      <c r="AT62" t="s">
        <v>86</v>
      </c>
      <c r="AU62" t="s">
        <v>86</v>
      </c>
      <c r="AV62" t="s">
        <v>346</v>
      </c>
      <c r="AW62" t="s">
        <v>80</v>
      </c>
      <c r="AX62" t="s">
        <v>82</v>
      </c>
      <c r="AY62" t="s">
        <v>347</v>
      </c>
      <c r="AZ62" t="s">
        <v>243</v>
      </c>
      <c r="BA62" t="s">
        <v>245</v>
      </c>
      <c r="BB62" t="s">
        <v>245</v>
      </c>
      <c r="BC62" t="s">
        <v>264</v>
      </c>
      <c r="BD62" t="s">
        <v>357</v>
      </c>
      <c r="BE62" t="s">
        <v>358</v>
      </c>
      <c r="BF62" t="s">
        <v>86</v>
      </c>
      <c r="BG62" t="s">
        <v>87</v>
      </c>
      <c r="BH62" t="str">
        <f>IF(COUNTIF(工作表1!A:A, $C62)&gt;0, "預購款", "非預購款")</f>
        <v>非預購款</v>
      </c>
    </row>
    <row r="63" spans="1:60" x14ac:dyDescent="0.25">
      <c r="A63" t="s">
        <v>351</v>
      </c>
      <c r="B63" t="s">
        <v>339</v>
      </c>
      <c r="C63" t="s">
        <v>352</v>
      </c>
      <c r="D63" t="s">
        <v>353</v>
      </c>
      <c r="E63" t="s">
        <v>354</v>
      </c>
      <c r="F63" t="s">
        <v>230</v>
      </c>
      <c r="G63" t="s">
        <v>355</v>
      </c>
      <c r="H63" t="s">
        <v>130</v>
      </c>
      <c r="I63" t="s">
        <v>97</v>
      </c>
      <c r="J63" t="s">
        <v>98</v>
      </c>
      <c r="K63" t="s">
        <v>69</v>
      </c>
      <c r="L63" t="s">
        <v>356</v>
      </c>
      <c r="M63" t="s">
        <v>71</v>
      </c>
      <c r="N63" t="s">
        <v>72</v>
      </c>
      <c r="O63" t="s">
        <v>233</v>
      </c>
      <c r="P63" t="s">
        <v>234</v>
      </c>
      <c r="R63" t="s">
        <v>235</v>
      </c>
      <c r="S63" t="s">
        <v>236</v>
      </c>
      <c r="T63" t="s">
        <v>76</v>
      </c>
      <c r="U63" t="s">
        <v>150</v>
      </c>
      <c r="V63" t="s">
        <v>307</v>
      </c>
      <c r="W63">
        <v>890</v>
      </c>
      <c r="X63">
        <v>39.99</v>
      </c>
      <c r="Y63">
        <v>115</v>
      </c>
      <c r="Z63">
        <v>639000</v>
      </c>
      <c r="AA63">
        <v>345320</v>
      </c>
      <c r="AB63">
        <v>416</v>
      </c>
      <c r="AD63" t="s">
        <v>238</v>
      </c>
      <c r="AE63">
        <v>1</v>
      </c>
      <c r="AF63">
        <v>8</v>
      </c>
      <c r="AI63">
        <v>20</v>
      </c>
      <c r="AJ63">
        <v>80</v>
      </c>
      <c r="AK63">
        <v>108</v>
      </c>
      <c r="AL63">
        <v>388</v>
      </c>
      <c r="AM63">
        <v>109</v>
      </c>
      <c r="AN63">
        <v>0</v>
      </c>
      <c r="AO63">
        <v>109</v>
      </c>
      <c r="AP63" t="s">
        <v>80</v>
      </c>
      <c r="AQ63" t="s">
        <v>345</v>
      </c>
      <c r="AR63" t="s">
        <v>261</v>
      </c>
      <c r="AS63" t="s">
        <v>86</v>
      </c>
      <c r="AT63" t="s">
        <v>86</v>
      </c>
      <c r="AU63" t="s">
        <v>86</v>
      </c>
      <c r="AV63" t="s">
        <v>346</v>
      </c>
      <c r="AW63" t="s">
        <v>80</v>
      </c>
      <c r="AX63" t="s">
        <v>82</v>
      </c>
      <c r="AY63" t="s">
        <v>347</v>
      </c>
      <c r="AZ63" t="s">
        <v>243</v>
      </c>
      <c r="BA63" t="s">
        <v>245</v>
      </c>
      <c r="BB63" t="s">
        <v>245</v>
      </c>
      <c r="BC63" t="s">
        <v>264</v>
      </c>
      <c r="BD63" t="s">
        <v>359</v>
      </c>
      <c r="BE63" t="s">
        <v>358</v>
      </c>
      <c r="BF63" t="s">
        <v>86</v>
      </c>
      <c r="BG63" t="s">
        <v>87</v>
      </c>
      <c r="BH63" t="str">
        <f>IF(COUNTIF(工作表1!A:A, $C63)&gt;0, "預購款", "非預購款")</f>
        <v>非預購款</v>
      </c>
    </row>
    <row r="64" spans="1:60" x14ac:dyDescent="0.25">
      <c r="A64" t="s">
        <v>360</v>
      </c>
      <c r="B64" t="s">
        <v>339</v>
      </c>
      <c r="C64" t="s">
        <v>361</v>
      </c>
      <c r="D64" t="s">
        <v>362</v>
      </c>
      <c r="E64" t="s">
        <v>363</v>
      </c>
      <c r="F64" t="s">
        <v>230</v>
      </c>
      <c r="G64" t="s">
        <v>364</v>
      </c>
      <c r="H64" t="s">
        <v>119</v>
      </c>
      <c r="I64" t="s">
        <v>97</v>
      </c>
      <c r="J64" t="s">
        <v>98</v>
      </c>
      <c r="K64" t="s">
        <v>80</v>
      </c>
      <c r="L64" t="s">
        <v>365</v>
      </c>
      <c r="M64" t="s">
        <v>71</v>
      </c>
      <c r="N64" t="s">
        <v>72</v>
      </c>
      <c r="O64" t="s">
        <v>233</v>
      </c>
      <c r="P64" t="s">
        <v>234</v>
      </c>
      <c r="R64" t="s">
        <v>235</v>
      </c>
      <c r="S64" t="s">
        <v>236</v>
      </c>
      <c r="T64" t="s">
        <v>291</v>
      </c>
      <c r="U64" t="s">
        <v>104</v>
      </c>
      <c r="V64" t="s">
        <v>366</v>
      </c>
      <c r="W64">
        <v>690</v>
      </c>
      <c r="X64">
        <v>29.99</v>
      </c>
      <c r="Y64">
        <v>89</v>
      </c>
      <c r="Z64">
        <v>499000</v>
      </c>
      <c r="AA64">
        <v>110400</v>
      </c>
      <c r="AB64">
        <v>330</v>
      </c>
      <c r="AD64" t="s">
        <v>238</v>
      </c>
      <c r="AE64">
        <v>1</v>
      </c>
      <c r="AF64">
        <v>0</v>
      </c>
      <c r="AI64">
        <v>20</v>
      </c>
      <c r="AJ64">
        <v>70</v>
      </c>
      <c r="AK64">
        <v>90</v>
      </c>
      <c r="AL64">
        <v>160</v>
      </c>
      <c r="AM64">
        <v>91</v>
      </c>
      <c r="AN64">
        <v>0</v>
      </c>
      <c r="AO64">
        <v>91</v>
      </c>
      <c r="AP64" t="s">
        <v>80</v>
      </c>
      <c r="AQ64" t="s">
        <v>345</v>
      </c>
      <c r="AT64" t="s">
        <v>86</v>
      </c>
      <c r="AU64" t="s">
        <v>86</v>
      </c>
      <c r="AV64" t="s">
        <v>367</v>
      </c>
      <c r="AW64" t="s">
        <v>80</v>
      </c>
      <c r="AX64" t="s">
        <v>368</v>
      </c>
      <c r="AY64" t="s">
        <v>369</v>
      </c>
      <c r="AZ64" t="s">
        <v>310</v>
      </c>
      <c r="BA64" t="s">
        <v>245</v>
      </c>
      <c r="BB64" t="s">
        <v>245</v>
      </c>
      <c r="BC64" t="s">
        <v>264</v>
      </c>
      <c r="BD64" t="s">
        <v>370</v>
      </c>
      <c r="BE64" t="s">
        <v>371</v>
      </c>
      <c r="BF64" t="s">
        <v>291</v>
      </c>
      <c r="BG64" t="s">
        <v>87</v>
      </c>
      <c r="BH64" t="str">
        <f>IF(COUNTIF(工作表1!A:A, $C64)&gt;0, "預購款", "非預購款")</f>
        <v>非預購款</v>
      </c>
    </row>
    <row r="65" spans="1:60" x14ac:dyDescent="0.25">
      <c r="A65" t="s">
        <v>360</v>
      </c>
      <c r="B65" t="s">
        <v>339</v>
      </c>
      <c r="C65" t="s">
        <v>361</v>
      </c>
      <c r="D65" t="s">
        <v>362</v>
      </c>
      <c r="E65" t="s">
        <v>363</v>
      </c>
      <c r="F65" t="s">
        <v>230</v>
      </c>
      <c r="G65" t="s">
        <v>364</v>
      </c>
      <c r="H65" t="s">
        <v>130</v>
      </c>
      <c r="I65" t="s">
        <v>97</v>
      </c>
      <c r="J65" t="s">
        <v>98</v>
      </c>
      <c r="K65" t="s">
        <v>80</v>
      </c>
      <c r="L65" t="s">
        <v>365</v>
      </c>
      <c r="M65" t="s">
        <v>71</v>
      </c>
      <c r="N65" t="s">
        <v>72</v>
      </c>
      <c r="O65" t="s">
        <v>233</v>
      </c>
      <c r="P65" t="s">
        <v>234</v>
      </c>
      <c r="R65" t="s">
        <v>235</v>
      </c>
      <c r="S65" t="s">
        <v>236</v>
      </c>
      <c r="T65" t="s">
        <v>291</v>
      </c>
      <c r="U65" t="s">
        <v>104</v>
      </c>
      <c r="V65" t="s">
        <v>366</v>
      </c>
      <c r="W65">
        <v>690</v>
      </c>
      <c r="X65">
        <v>29.99</v>
      </c>
      <c r="Y65">
        <v>89</v>
      </c>
      <c r="Z65">
        <v>499000</v>
      </c>
      <c r="AA65">
        <v>110400</v>
      </c>
      <c r="AB65">
        <v>330</v>
      </c>
      <c r="AD65" t="s">
        <v>238</v>
      </c>
      <c r="AE65">
        <v>1</v>
      </c>
      <c r="AF65">
        <v>0</v>
      </c>
      <c r="AI65">
        <v>10</v>
      </c>
      <c r="AJ65">
        <v>60</v>
      </c>
      <c r="AK65">
        <v>70</v>
      </c>
      <c r="AL65">
        <v>160</v>
      </c>
      <c r="AM65">
        <v>70</v>
      </c>
      <c r="AN65">
        <v>0</v>
      </c>
      <c r="AO65">
        <v>70</v>
      </c>
      <c r="AP65" t="s">
        <v>80</v>
      </c>
      <c r="AQ65" t="s">
        <v>345</v>
      </c>
      <c r="AT65" t="s">
        <v>86</v>
      </c>
      <c r="AU65" t="s">
        <v>86</v>
      </c>
      <c r="AV65" t="s">
        <v>367</v>
      </c>
      <c r="AW65" t="s">
        <v>80</v>
      </c>
      <c r="AX65" t="s">
        <v>368</v>
      </c>
      <c r="AY65" t="s">
        <v>369</v>
      </c>
      <c r="AZ65" t="s">
        <v>310</v>
      </c>
      <c r="BA65" t="s">
        <v>245</v>
      </c>
      <c r="BB65" t="s">
        <v>245</v>
      </c>
      <c r="BC65" t="s">
        <v>264</v>
      </c>
      <c r="BD65" t="s">
        <v>372</v>
      </c>
      <c r="BE65" t="s">
        <v>371</v>
      </c>
      <c r="BF65" t="s">
        <v>291</v>
      </c>
      <c r="BG65" t="s">
        <v>87</v>
      </c>
      <c r="BH65" t="str">
        <f>IF(COUNTIF(工作表1!A:A, $C65)&gt;0, "預購款", "非預購款")</f>
        <v>非預購款</v>
      </c>
    </row>
    <row r="66" spans="1:60" x14ac:dyDescent="0.25">
      <c r="A66" t="s">
        <v>373</v>
      </c>
      <c r="B66" t="s">
        <v>226</v>
      </c>
      <c r="C66" t="s">
        <v>374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 t="s">
        <v>171</v>
      </c>
      <c r="J66" t="s">
        <v>172</v>
      </c>
      <c r="K66" t="s">
        <v>69</v>
      </c>
      <c r="L66" t="s">
        <v>380</v>
      </c>
      <c r="M66" t="s">
        <v>71</v>
      </c>
      <c r="N66" t="s">
        <v>72</v>
      </c>
      <c r="O66" t="s">
        <v>73</v>
      </c>
      <c r="P66" t="s">
        <v>74</v>
      </c>
      <c r="R66" t="s">
        <v>381</v>
      </c>
      <c r="S66" t="s">
        <v>382</v>
      </c>
      <c r="T66" t="s">
        <v>76</v>
      </c>
      <c r="U66" t="s">
        <v>383</v>
      </c>
      <c r="V66" t="s">
        <v>384</v>
      </c>
      <c r="W66">
        <v>890</v>
      </c>
      <c r="X66">
        <v>39.99</v>
      </c>
      <c r="Y66">
        <v>115</v>
      </c>
      <c r="Z66">
        <v>639000</v>
      </c>
      <c r="AA66">
        <v>271450</v>
      </c>
      <c r="AB66">
        <v>484</v>
      </c>
      <c r="AD66" t="s">
        <v>238</v>
      </c>
      <c r="AE66">
        <v>1</v>
      </c>
      <c r="AF66">
        <v>0</v>
      </c>
      <c r="AI66">
        <v>10</v>
      </c>
      <c r="AJ66">
        <v>10</v>
      </c>
      <c r="AK66">
        <v>20</v>
      </c>
      <c r="AL66">
        <v>305</v>
      </c>
      <c r="AM66">
        <v>28</v>
      </c>
      <c r="AN66">
        <v>0</v>
      </c>
      <c r="AO66">
        <v>28</v>
      </c>
      <c r="AP66" t="s">
        <v>80</v>
      </c>
      <c r="AQ66" t="s">
        <v>385</v>
      </c>
      <c r="AR66" t="s">
        <v>86</v>
      </c>
      <c r="AS66" t="s">
        <v>86</v>
      </c>
      <c r="AT66" t="s">
        <v>240</v>
      </c>
      <c r="AU66" t="s">
        <v>86</v>
      </c>
      <c r="AV66" t="s">
        <v>386</v>
      </c>
      <c r="AW66" t="s">
        <v>80</v>
      </c>
      <c r="AX66" t="s">
        <v>387</v>
      </c>
      <c r="AY66" t="s">
        <v>388</v>
      </c>
      <c r="AZ66" t="s">
        <v>243</v>
      </c>
      <c r="BA66" t="s">
        <v>243</v>
      </c>
      <c r="BB66" t="s">
        <v>245</v>
      </c>
      <c r="BC66" t="s">
        <v>244</v>
      </c>
      <c r="BD66" t="s">
        <v>389</v>
      </c>
      <c r="BE66" t="s">
        <v>390</v>
      </c>
      <c r="BF66" t="s">
        <v>86</v>
      </c>
      <c r="BG66" t="s">
        <v>150</v>
      </c>
      <c r="BH66" t="str">
        <f>IF(COUNTIF(工作表1!A:A, $C66)&gt;0, "預購款", "非預購款")</f>
        <v>非預購款</v>
      </c>
    </row>
    <row r="67" spans="1:60" x14ac:dyDescent="0.25">
      <c r="A67" t="s">
        <v>373</v>
      </c>
      <c r="B67" t="s">
        <v>226</v>
      </c>
      <c r="C67" t="s">
        <v>374</v>
      </c>
      <c r="D67" t="s">
        <v>375</v>
      </c>
      <c r="E67" t="s">
        <v>376</v>
      </c>
      <c r="F67" t="s">
        <v>377</v>
      </c>
      <c r="G67" t="s">
        <v>378</v>
      </c>
      <c r="H67" t="s">
        <v>119</v>
      </c>
      <c r="I67" t="s">
        <v>171</v>
      </c>
      <c r="J67" t="s">
        <v>172</v>
      </c>
      <c r="K67" t="s">
        <v>69</v>
      </c>
      <c r="L67" t="s">
        <v>380</v>
      </c>
      <c r="M67" t="s">
        <v>71</v>
      </c>
      <c r="N67" t="s">
        <v>72</v>
      </c>
      <c r="O67" t="s">
        <v>73</v>
      </c>
      <c r="P67" t="s">
        <v>74</v>
      </c>
      <c r="R67" t="s">
        <v>381</v>
      </c>
      <c r="S67" t="s">
        <v>382</v>
      </c>
      <c r="T67" t="s">
        <v>76</v>
      </c>
      <c r="U67" t="s">
        <v>383</v>
      </c>
      <c r="V67" t="s">
        <v>384</v>
      </c>
      <c r="W67">
        <v>890</v>
      </c>
      <c r="X67">
        <v>39.99</v>
      </c>
      <c r="Y67">
        <v>115</v>
      </c>
      <c r="Z67">
        <v>639000</v>
      </c>
      <c r="AA67">
        <v>271450</v>
      </c>
      <c r="AB67">
        <v>484</v>
      </c>
      <c r="AD67" t="s">
        <v>238</v>
      </c>
      <c r="AE67">
        <v>1</v>
      </c>
      <c r="AF67">
        <v>0</v>
      </c>
      <c r="AI67">
        <v>30</v>
      </c>
      <c r="AJ67">
        <v>150</v>
      </c>
      <c r="AK67">
        <v>180</v>
      </c>
      <c r="AL67">
        <v>305</v>
      </c>
      <c r="AM67">
        <v>179</v>
      </c>
      <c r="AN67">
        <v>0</v>
      </c>
      <c r="AO67">
        <v>179</v>
      </c>
      <c r="AP67" t="s">
        <v>80</v>
      </c>
      <c r="AQ67" t="s">
        <v>385</v>
      </c>
      <c r="AR67" t="s">
        <v>86</v>
      </c>
      <c r="AS67" t="s">
        <v>86</v>
      </c>
      <c r="AT67" t="s">
        <v>240</v>
      </c>
      <c r="AU67" t="s">
        <v>86</v>
      </c>
      <c r="AV67" t="s">
        <v>386</v>
      </c>
      <c r="AW67" t="s">
        <v>80</v>
      </c>
      <c r="AX67" t="s">
        <v>387</v>
      </c>
      <c r="AY67" t="s">
        <v>388</v>
      </c>
      <c r="AZ67" t="s">
        <v>243</v>
      </c>
      <c r="BA67" t="s">
        <v>243</v>
      </c>
      <c r="BB67" t="s">
        <v>245</v>
      </c>
      <c r="BC67" t="s">
        <v>244</v>
      </c>
      <c r="BD67" t="s">
        <v>391</v>
      </c>
      <c r="BE67" t="s">
        <v>390</v>
      </c>
      <c r="BF67" t="s">
        <v>86</v>
      </c>
      <c r="BG67" t="s">
        <v>150</v>
      </c>
      <c r="BH67" t="str">
        <f>IF(COUNTIF(工作表1!A:A, $C67)&gt;0, "預購款", "非預購款")</f>
        <v>非預購款</v>
      </c>
    </row>
    <row r="68" spans="1:60" x14ac:dyDescent="0.25">
      <c r="A68" t="s">
        <v>373</v>
      </c>
      <c r="B68" t="s">
        <v>226</v>
      </c>
      <c r="C68" t="s">
        <v>374</v>
      </c>
      <c r="D68" t="s">
        <v>375</v>
      </c>
      <c r="E68" t="s">
        <v>376</v>
      </c>
      <c r="F68" t="s">
        <v>377</v>
      </c>
      <c r="G68" t="s">
        <v>378</v>
      </c>
      <c r="H68" t="s">
        <v>392</v>
      </c>
      <c r="I68" t="s">
        <v>171</v>
      </c>
      <c r="J68" t="s">
        <v>172</v>
      </c>
      <c r="K68" t="s">
        <v>69</v>
      </c>
      <c r="L68" t="s">
        <v>380</v>
      </c>
      <c r="M68" t="s">
        <v>71</v>
      </c>
      <c r="N68" t="s">
        <v>72</v>
      </c>
      <c r="O68" t="s">
        <v>73</v>
      </c>
      <c r="P68" t="s">
        <v>74</v>
      </c>
      <c r="R68" t="s">
        <v>381</v>
      </c>
      <c r="S68" t="s">
        <v>382</v>
      </c>
      <c r="T68" t="s">
        <v>76</v>
      </c>
      <c r="U68" t="s">
        <v>383</v>
      </c>
      <c r="V68" t="s">
        <v>384</v>
      </c>
      <c r="W68">
        <v>890</v>
      </c>
      <c r="X68">
        <v>39.99</v>
      </c>
      <c r="Y68">
        <v>115</v>
      </c>
      <c r="Z68">
        <v>639000</v>
      </c>
      <c r="AA68">
        <v>271450</v>
      </c>
      <c r="AB68">
        <v>484</v>
      </c>
      <c r="AD68" t="s">
        <v>238</v>
      </c>
      <c r="AE68">
        <v>1</v>
      </c>
      <c r="AF68">
        <v>0</v>
      </c>
      <c r="AI68">
        <v>10</v>
      </c>
      <c r="AJ68">
        <v>15</v>
      </c>
      <c r="AK68">
        <v>25</v>
      </c>
      <c r="AL68">
        <v>305</v>
      </c>
      <c r="AM68">
        <v>29</v>
      </c>
      <c r="AN68">
        <v>0</v>
      </c>
      <c r="AO68">
        <v>29</v>
      </c>
      <c r="AP68" t="s">
        <v>80</v>
      </c>
      <c r="AQ68" t="s">
        <v>385</v>
      </c>
      <c r="AR68" t="s">
        <v>86</v>
      </c>
      <c r="AS68" t="s">
        <v>86</v>
      </c>
      <c r="AT68" t="s">
        <v>240</v>
      </c>
      <c r="AU68" t="s">
        <v>86</v>
      </c>
      <c r="AV68" t="s">
        <v>386</v>
      </c>
      <c r="AW68" t="s">
        <v>80</v>
      </c>
      <c r="AX68" t="s">
        <v>387</v>
      </c>
      <c r="AY68" t="s">
        <v>388</v>
      </c>
      <c r="AZ68" t="s">
        <v>243</v>
      </c>
      <c r="BA68" t="s">
        <v>243</v>
      </c>
      <c r="BB68" t="s">
        <v>245</v>
      </c>
      <c r="BC68" t="s">
        <v>244</v>
      </c>
      <c r="BD68" t="s">
        <v>393</v>
      </c>
      <c r="BE68" t="s">
        <v>390</v>
      </c>
      <c r="BF68" t="s">
        <v>86</v>
      </c>
      <c r="BG68" t="s">
        <v>150</v>
      </c>
      <c r="BH68" t="str">
        <f>IF(COUNTIF(工作表1!A:A, $C68)&gt;0, "預購款", "非預購款")</f>
        <v>非預購款</v>
      </c>
    </row>
    <row r="69" spans="1:60" x14ac:dyDescent="0.25">
      <c r="A69" t="s">
        <v>373</v>
      </c>
      <c r="B69" t="s">
        <v>226</v>
      </c>
      <c r="C69" t="s">
        <v>374</v>
      </c>
      <c r="D69" t="s">
        <v>375</v>
      </c>
      <c r="E69" t="s">
        <v>376</v>
      </c>
      <c r="F69" t="s">
        <v>377</v>
      </c>
      <c r="G69" t="s">
        <v>378</v>
      </c>
      <c r="H69" t="s">
        <v>130</v>
      </c>
      <c r="I69" t="s">
        <v>171</v>
      </c>
      <c r="J69" t="s">
        <v>172</v>
      </c>
      <c r="K69" t="s">
        <v>69</v>
      </c>
      <c r="L69" t="s">
        <v>380</v>
      </c>
      <c r="M69" t="s">
        <v>71</v>
      </c>
      <c r="N69" t="s">
        <v>72</v>
      </c>
      <c r="O69" t="s">
        <v>73</v>
      </c>
      <c r="P69" t="s">
        <v>74</v>
      </c>
      <c r="R69" t="s">
        <v>381</v>
      </c>
      <c r="S69" t="s">
        <v>382</v>
      </c>
      <c r="T69" t="s">
        <v>76</v>
      </c>
      <c r="U69" t="s">
        <v>383</v>
      </c>
      <c r="V69" t="s">
        <v>384</v>
      </c>
      <c r="W69">
        <v>890</v>
      </c>
      <c r="X69">
        <v>39.99</v>
      </c>
      <c r="Y69">
        <v>115</v>
      </c>
      <c r="Z69">
        <v>639000</v>
      </c>
      <c r="AA69">
        <v>271450</v>
      </c>
      <c r="AB69">
        <v>484</v>
      </c>
      <c r="AD69" t="s">
        <v>238</v>
      </c>
      <c r="AE69">
        <v>1</v>
      </c>
      <c r="AF69">
        <v>0</v>
      </c>
      <c r="AI69">
        <v>10</v>
      </c>
      <c r="AJ69">
        <v>30</v>
      </c>
      <c r="AK69">
        <v>40</v>
      </c>
      <c r="AL69">
        <v>305</v>
      </c>
      <c r="AM69">
        <v>47</v>
      </c>
      <c r="AN69">
        <v>0</v>
      </c>
      <c r="AO69">
        <v>47</v>
      </c>
      <c r="AP69" t="s">
        <v>80</v>
      </c>
      <c r="AQ69" t="s">
        <v>385</v>
      </c>
      <c r="AR69" t="s">
        <v>86</v>
      </c>
      <c r="AS69" t="s">
        <v>86</v>
      </c>
      <c r="AT69" t="s">
        <v>240</v>
      </c>
      <c r="AU69" t="s">
        <v>86</v>
      </c>
      <c r="AV69" t="s">
        <v>386</v>
      </c>
      <c r="AW69" t="s">
        <v>80</v>
      </c>
      <c r="AX69" t="s">
        <v>387</v>
      </c>
      <c r="AY69" t="s">
        <v>388</v>
      </c>
      <c r="AZ69" t="s">
        <v>243</v>
      </c>
      <c r="BA69" t="s">
        <v>243</v>
      </c>
      <c r="BB69" t="s">
        <v>245</v>
      </c>
      <c r="BC69" t="s">
        <v>244</v>
      </c>
      <c r="BD69" t="s">
        <v>394</v>
      </c>
      <c r="BE69" t="s">
        <v>390</v>
      </c>
      <c r="BF69" t="s">
        <v>86</v>
      </c>
      <c r="BG69" t="s">
        <v>150</v>
      </c>
      <c r="BH69" t="str">
        <f>IF(COUNTIF(工作表1!A:A, $C69)&gt;0, "預購款", "非預購款")</f>
        <v>非預購款</v>
      </c>
    </row>
    <row r="70" spans="1:60" x14ac:dyDescent="0.25">
      <c r="A70" t="s">
        <v>373</v>
      </c>
      <c r="B70" t="s">
        <v>226</v>
      </c>
      <c r="C70" t="s">
        <v>374</v>
      </c>
      <c r="D70" t="s">
        <v>375</v>
      </c>
      <c r="E70" t="s">
        <v>376</v>
      </c>
      <c r="F70" t="s">
        <v>377</v>
      </c>
      <c r="G70" t="s">
        <v>378</v>
      </c>
      <c r="H70" t="s">
        <v>132</v>
      </c>
      <c r="I70" t="s">
        <v>171</v>
      </c>
      <c r="J70" t="s">
        <v>172</v>
      </c>
      <c r="K70" t="s">
        <v>69</v>
      </c>
      <c r="L70" t="s">
        <v>380</v>
      </c>
      <c r="M70" t="s">
        <v>71</v>
      </c>
      <c r="N70" t="s">
        <v>72</v>
      </c>
      <c r="O70" t="s">
        <v>73</v>
      </c>
      <c r="P70" t="s">
        <v>74</v>
      </c>
      <c r="R70" t="s">
        <v>381</v>
      </c>
      <c r="S70" t="s">
        <v>382</v>
      </c>
      <c r="T70" t="s">
        <v>76</v>
      </c>
      <c r="U70" t="s">
        <v>383</v>
      </c>
      <c r="V70" t="s">
        <v>384</v>
      </c>
      <c r="W70">
        <v>890</v>
      </c>
      <c r="X70">
        <v>39.99</v>
      </c>
      <c r="Y70">
        <v>115</v>
      </c>
      <c r="Z70">
        <v>639000</v>
      </c>
      <c r="AA70">
        <v>271450</v>
      </c>
      <c r="AB70">
        <v>484</v>
      </c>
      <c r="AD70" t="s">
        <v>238</v>
      </c>
      <c r="AE70">
        <v>1</v>
      </c>
      <c r="AF70">
        <v>0</v>
      </c>
      <c r="AI70">
        <v>10</v>
      </c>
      <c r="AJ70">
        <v>30</v>
      </c>
      <c r="AK70">
        <v>40</v>
      </c>
      <c r="AL70">
        <v>305</v>
      </c>
      <c r="AM70">
        <v>46</v>
      </c>
      <c r="AN70">
        <v>0</v>
      </c>
      <c r="AO70">
        <v>46</v>
      </c>
      <c r="AP70" t="s">
        <v>80</v>
      </c>
      <c r="AQ70" t="s">
        <v>385</v>
      </c>
      <c r="AR70" t="s">
        <v>86</v>
      </c>
      <c r="AS70" t="s">
        <v>86</v>
      </c>
      <c r="AT70" t="s">
        <v>240</v>
      </c>
      <c r="AU70" t="s">
        <v>86</v>
      </c>
      <c r="AV70" t="s">
        <v>386</v>
      </c>
      <c r="AW70" t="s">
        <v>80</v>
      </c>
      <c r="AX70" t="s">
        <v>387</v>
      </c>
      <c r="AY70" t="s">
        <v>388</v>
      </c>
      <c r="AZ70" t="s">
        <v>243</v>
      </c>
      <c r="BA70" t="s">
        <v>243</v>
      </c>
      <c r="BB70" t="s">
        <v>245</v>
      </c>
      <c r="BC70" t="s">
        <v>244</v>
      </c>
      <c r="BD70" t="s">
        <v>395</v>
      </c>
      <c r="BE70" t="s">
        <v>390</v>
      </c>
      <c r="BF70" t="s">
        <v>86</v>
      </c>
      <c r="BG70" t="s">
        <v>150</v>
      </c>
      <c r="BH70" t="str">
        <f>IF(COUNTIF(工作表1!A:A, $C70)&gt;0, "預購款", "非預購款")</f>
        <v>非預購款</v>
      </c>
    </row>
    <row r="71" spans="1:60" x14ac:dyDescent="0.25">
      <c r="A71" t="s">
        <v>396</v>
      </c>
      <c r="B71" t="s">
        <v>226</v>
      </c>
      <c r="C71" t="s">
        <v>397</v>
      </c>
      <c r="D71" t="s">
        <v>398</v>
      </c>
      <c r="E71" t="s">
        <v>399</v>
      </c>
      <c r="F71" t="s">
        <v>377</v>
      </c>
      <c r="G71" t="s">
        <v>400</v>
      </c>
      <c r="H71" t="s">
        <v>379</v>
      </c>
      <c r="I71" t="s">
        <v>120</v>
      </c>
      <c r="J71" t="s">
        <v>121</v>
      </c>
      <c r="K71" t="s">
        <v>69</v>
      </c>
      <c r="L71" t="s">
        <v>401</v>
      </c>
      <c r="M71" t="s">
        <v>71</v>
      </c>
      <c r="N71" t="s">
        <v>72</v>
      </c>
      <c r="O71" t="s">
        <v>73</v>
      </c>
      <c r="P71" t="s">
        <v>74</v>
      </c>
      <c r="R71" t="s">
        <v>381</v>
      </c>
      <c r="S71" t="s">
        <v>382</v>
      </c>
      <c r="T71" t="s">
        <v>76</v>
      </c>
      <c r="U71" t="s">
        <v>383</v>
      </c>
      <c r="V71" t="s">
        <v>384</v>
      </c>
      <c r="W71">
        <v>890</v>
      </c>
      <c r="X71">
        <v>39.99</v>
      </c>
      <c r="Y71">
        <v>115</v>
      </c>
      <c r="Z71">
        <v>639000</v>
      </c>
      <c r="AA71">
        <v>289250</v>
      </c>
      <c r="AB71">
        <v>528</v>
      </c>
      <c r="AD71" t="s">
        <v>238</v>
      </c>
      <c r="AE71">
        <v>1</v>
      </c>
      <c r="AF71">
        <v>0</v>
      </c>
      <c r="AI71">
        <v>10</v>
      </c>
      <c r="AJ71">
        <v>30</v>
      </c>
      <c r="AK71">
        <v>40</v>
      </c>
      <c r="AL71">
        <v>325</v>
      </c>
      <c r="AM71">
        <v>47</v>
      </c>
      <c r="AN71">
        <v>0</v>
      </c>
      <c r="AO71">
        <v>47</v>
      </c>
      <c r="AP71" t="s">
        <v>80</v>
      </c>
      <c r="AQ71" t="s">
        <v>345</v>
      </c>
      <c r="AR71" t="s">
        <v>86</v>
      </c>
      <c r="AS71" t="s">
        <v>86</v>
      </c>
      <c r="AT71" t="s">
        <v>240</v>
      </c>
      <c r="AU71" t="s">
        <v>86</v>
      </c>
      <c r="AV71" t="s">
        <v>386</v>
      </c>
      <c r="AW71" t="s">
        <v>80</v>
      </c>
      <c r="AX71" t="s">
        <v>387</v>
      </c>
      <c r="AY71" t="s">
        <v>402</v>
      </c>
      <c r="AZ71" t="s">
        <v>243</v>
      </c>
      <c r="BA71" t="s">
        <v>243</v>
      </c>
      <c r="BB71" t="s">
        <v>245</v>
      </c>
      <c r="BC71" t="s">
        <v>244</v>
      </c>
      <c r="BD71" t="s">
        <v>403</v>
      </c>
      <c r="BE71" t="s">
        <v>404</v>
      </c>
      <c r="BF71" t="s">
        <v>86</v>
      </c>
      <c r="BG71" t="s">
        <v>150</v>
      </c>
      <c r="BH71" t="str">
        <f>IF(COUNTIF(工作表1!A:A, $C71)&gt;0, "預購款", "非預購款")</f>
        <v>非預購款</v>
      </c>
    </row>
    <row r="72" spans="1:60" x14ac:dyDescent="0.25">
      <c r="A72" t="s">
        <v>396</v>
      </c>
      <c r="B72" t="s">
        <v>226</v>
      </c>
      <c r="C72" t="s">
        <v>397</v>
      </c>
      <c r="D72" t="s">
        <v>398</v>
      </c>
      <c r="E72" t="s">
        <v>399</v>
      </c>
      <c r="F72" t="s">
        <v>377</v>
      </c>
      <c r="G72" t="s">
        <v>400</v>
      </c>
      <c r="H72" t="s">
        <v>119</v>
      </c>
      <c r="I72" t="s">
        <v>120</v>
      </c>
      <c r="J72" t="s">
        <v>121</v>
      </c>
      <c r="K72" t="s">
        <v>69</v>
      </c>
      <c r="L72" t="s">
        <v>401</v>
      </c>
      <c r="M72" t="s">
        <v>71</v>
      </c>
      <c r="N72" t="s">
        <v>72</v>
      </c>
      <c r="O72" t="s">
        <v>73</v>
      </c>
      <c r="P72" t="s">
        <v>74</v>
      </c>
      <c r="R72" t="s">
        <v>381</v>
      </c>
      <c r="S72" t="s">
        <v>382</v>
      </c>
      <c r="T72" t="s">
        <v>76</v>
      </c>
      <c r="U72" t="s">
        <v>383</v>
      </c>
      <c r="V72" t="s">
        <v>384</v>
      </c>
      <c r="W72">
        <v>890</v>
      </c>
      <c r="X72">
        <v>39.99</v>
      </c>
      <c r="Y72">
        <v>115</v>
      </c>
      <c r="Z72">
        <v>639000</v>
      </c>
      <c r="AA72">
        <v>289250</v>
      </c>
      <c r="AB72">
        <v>528</v>
      </c>
      <c r="AD72" t="s">
        <v>238</v>
      </c>
      <c r="AE72">
        <v>1</v>
      </c>
      <c r="AF72">
        <v>0</v>
      </c>
      <c r="AI72">
        <v>30</v>
      </c>
      <c r="AJ72">
        <v>130</v>
      </c>
      <c r="AK72">
        <v>160</v>
      </c>
      <c r="AL72">
        <v>325</v>
      </c>
      <c r="AM72">
        <v>164</v>
      </c>
      <c r="AN72">
        <v>0</v>
      </c>
      <c r="AO72">
        <v>164</v>
      </c>
      <c r="AP72" t="s">
        <v>80</v>
      </c>
      <c r="AQ72" t="s">
        <v>345</v>
      </c>
      <c r="AR72" t="s">
        <v>86</v>
      </c>
      <c r="AS72" t="s">
        <v>86</v>
      </c>
      <c r="AT72" t="s">
        <v>240</v>
      </c>
      <c r="AU72" t="s">
        <v>86</v>
      </c>
      <c r="AV72" t="s">
        <v>386</v>
      </c>
      <c r="AW72" t="s">
        <v>80</v>
      </c>
      <c r="AX72" t="s">
        <v>387</v>
      </c>
      <c r="AY72" t="s">
        <v>402</v>
      </c>
      <c r="AZ72" t="s">
        <v>243</v>
      </c>
      <c r="BA72" t="s">
        <v>243</v>
      </c>
      <c r="BB72" t="s">
        <v>245</v>
      </c>
      <c r="BC72" t="s">
        <v>244</v>
      </c>
      <c r="BD72" t="s">
        <v>405</v>
      </c>
      <c r="BE72" t="s">
        <v>404</v>
      </c>
      <c r="BF72" t="s">
        <v>86</v>
      </c>
      <c r="BG72" t="s">
        <v>150</v>
      </c>
      <c r="BH72" t="str">
        <f>IF(COUNTIF(工作表1!A:A, $C72)&gt;0, "預購款", "非預購款")</f>
        <v>非預購款</v>
      </c>
    </row>
    <row r="73" spans="1:60" x14ac:dyDescent="0.25">
      <c r="A73" t="s">
        <v>396</v>
      </c>
      <c r="B73" t="s">
        <v>226</v>
      </c>
      <c r="C73" t="s">
        <v>397</v>
      </c>
      <c r="D73" t="s">
        <v>398</v>
      </c>
      <c r="E73" t="s">
        <v>399</v>
      </c>
      <c r="F73" t="s">
        <v>377</v>
      </c>
      <c r="G73" t="s">
        <v>400</v>
      </c>
      <c r="H73" t="s">
        <v>392</v>
      </c>
      <c r="I73" t="s">
        <v>120</v>
      </c>
      <c r="J73" t="s">
        <v>121</v>
      </c>
      <c r="K73" t="s">
        <v>69</v>
      </c>
      <c r="L73" t="s">
        <v>401</v>
      </c>
      <c r="M73" t="s">
        <v>71</v>
      </c>
      <c r="N73" t="s">
        <v>72</v>
      </c>
      <c r="O73" t="s">
        <v>73</v>
      </c>
      <c r="P73" t="s">
        <v>74</v>
      </c>
      <c r="R73" t="s">
        <v>381</v>
      </c>
      <c r="S73" t="s">
        <v>382</v>
      </c>
      <c r="T73" t="s">
        <v>76</v>
      </c>
      <c r="U73" t="s">
        <v>383</v>
      </c>
      <c r="V73" t="s">
        <v>384</v>
      </c>
      <c r="W73">
        <v>890</v>
      </c>
      <c r="X73">
        <v>39.99</v>
      </c>
      <c r="Y73">
        <v>115</v>
      </c>
      <c r="Z73">
        <v>639000</v>
      </c>
      <c r="AA73">
        <v>289250</v>
      </c>
      <c r="AB73">
        <v>528</v>
      </c>
      <c r="AD73" t="s">
        <v>238</v>
      </c>
      <c r="AE73">
        <v>1</v>
      </c>
      <c r="AF73">
        <v>0</v>
      </c>
      <c r="AI73">
        <v>10</v>
      </c>
      <c r="AJ73">
        <v>10</v>
      </c>
      <c r="AK73">
        <v>20</v>
      </c>
      <c r="AL73">
        <v>325</v>
      </c>
      <c r="AM73">
        <v>27</v>
      </c>
      <c r="AN73">
        <v>0</v>
      </c>
      <c r="AO73">
        <v>27</v>
      </c>
      <c r="AP73" t="s">
        <v>80</v>
      </c>
      <c r="AQ73" t="s">
        <v>345</v>
      </c>
      <c r="AR73" t="s">
        <v>86</v>
      </c>
      <c r="AS73" t="s">
        <v>86</v>
      </c>
      <c r="AT73" t="s">
        <v>240</v>
      </c>
      <c r="AU73" t="s">
        <v>86</v>
      </c>
      <c r="AV73" t="s">
        <v>386</v>
      </c>
      <c r="AW73" t="s">
        <v>80</v>
      </c>
      <c r="AX73" t="s">
        <v>387</v>
      </c>
      <c r="AY73" t="s">
        <v>402</v>
      </c>
      <c r="AZ73" t="s">
        <v>243</v>
      </c>
      <c r="BA73" t="s">
        <v>243</v>
      </c>
      <c r="BB73" t="s">
        <v>245</v>
      </c>
      <c r="BC73" t="s">
        <v>244</v>
      </c>
      <c r="BD73" t="s">
        <v>406</v>
      </c>
      <c r="BE73" t="s">
        <v>404</v>
      </c>
      <c r="BF73" t="s">
        <v>86</v>
      </c>
      <c r="BG73" t="s">
        <v>150</v>
      </c>
      <c r="BH73" t="str">
        <f>IF(COUNTIF(工作表1!A:A, $C73)&gt;0, "預購款", "非預購款")</f>
        <v>非預購款</v>
      </c>
    </row>
    <row r="74" spans="1:60" x14ac:dyDescent="0.25">
      <c r="A74" t="s">
        <v>396</v>
      </c>
      <c r="B74" t="s">
        <v>226</v>
      </c>
      <c r="C74" t="s">
        <v>397</v>
      </c>
      <c r="D74" t="s">
        <v>398</v>
      </c>
      <c r="E74" t="s">
        <v>399</v>
      </c>
      <c r="F74" t="s">
        <v>377</v>
      </c>
      <c r="G74" t="s">
        <v>400</v>
      </c>
      <c r="H74" t="s">
        <v>130</v>
      </c>
      <c r="I74" t="s">
        <v>120</v>
      </c>
      <c r="J74" t="s">
        <v>121</v>
      </c>
      <c r="K74" t="s">
        <v>69</v>
      </c>
      <c r="L74" t="s">
        <v>401</v>
      </c>
      <c r="M74" t="s">
        <v>71</v>
      </c>
      <c r="N74" t="s">
        <v>72</v>
      </c>
      <c r="O74" t="s">
        <v>73</v>
      </c>
      <c r="P74" t="s">
        <v>74</v>
      </c>
      <c r="R74" t="s">
        <v>381</v>
      </c>
      <c r="S74" t="s">
        <v>382</v>
      </c>
      <c r="T74" t="s">
        <v>76</v>
      </c>
      <c r="U74" t="s">
        <v>383</v>
      </c>
      <c r="V74" t="s">
        <v>384</v>
      </c>
      <c r="W74">
        <v>890</v>
      </c>
      <c r="X74">
        <v>39.99</v>
      </c>
      <c r="Y74">
        <v>115</v>
      </c>
      <c r="Z74">
        <v>639000</v>
      </c>
      <c r="AA74">
        <v>289250</v>
      </c>
      <c r="AB74">
        <v>528</v>
      </c>
      <c r="AD74" t="s">
        <v>238</v>
      </c>
      <c r="AE74">
        <v>1</v>
      </c>
      <c r="AF74">
        <v>0</v>
      </c>
      <c r="AI74">
        <v>15</v>
      </c>
      <c r="AJ74">
        <v>60</v>
      </c>
      <c r="AK74">
        <v>75</v>
      </c>
      <c r="AL74">
        <v>325</v>
      </c>
      <c r="AM74">
        <v>82</v>
      </c>
      <c r="AN74">
        <v>0</v>
      </c>
      <c r="AO74">
        <v>82</v>
      </c>
      <c r="AP74" t="s">
        <v>80</v>
      </c>
      <c r="AQ74" t="s">
        <v>345</v>
      </c>
      <c r="AR74" t="s">
        <v>86</v>
      </c>
      <c r="AS74" t="s">
        <v>86</v>
      </c>
      <c r="AT74" t="s">
        <v>240</v>
      </c>
      <c r="AU74" t="s">
        <v>86</v>
      </c>
      <c r="AV74" t="s">
        <v>386</v>
      </c>
      <c r="AW74" t="s">
        <v>80</v>
      </c>
      <c r="AX74" t="s">
        <v>387</v>
      </c>
      <c r="AY74" t="s">
        <v>402</v>
      </c>
      <c r="AZ74" t="s">
        <v>243</v>
      </c>
      <c r="BA74" t="s">
        <v>243</v>
      </c>
      <c r="BB74" t="s">
        <v>245</v>
      </c>
      <c r="BC74" t="s">
        <v>244</v>
      </c>
      <c r="BD74" t="s">
        <v>407</v>
      </c>
      <c r="BE74" t="s">
        <v>404</v>
      </c>
      <c r="BF74" t="s">
        <v>86</v>
      </c>
      <c r="BG74" t="s">
        <v>150</v>
      </c>
      <c r="BH74" t="str">
        <f>IF(COUNTIF(工作表1!A:A, $C74)&gt;0, "預購款", "非預購款")</f>
        <v>非預購款</v>
      </c>
    </row>
    <row r="75" spans="1:60" x14ac:dyDescent="0.25">
      <c r="A75" t="s">
        <v>396</v>
      </c>
      <c r="B75" t="s">
        <v>226</v>
      </c>
      <c r="C75" t="s">
        <v>397</v>
      </c>
      <c r="D75" t="s">
        <v>398</v>
      </c>
      <c r="E75" t="s">
        <v>399</v>
      </c>
      <c r="F75" t="s">
        <v>377</v>
      </c>
      <c r="G75" t="s">
        <v>400</v>
      </c>
      <c r="H75" t="s">
        <v>132</v>
      </c>
      <c r="I75" t="s">
        <v>120</v>
      </c>
      <c r="J75" t="s">
        <v>121</v>
      </c>
      <c r="K75" t="s">
        <v>69</v>
      </c>
      <c r="L75" t="s">
        <v>401</v>
      </c>
      <c r="M75" t="s">
        <v>71</v>
      </c>
      <c r="N75" t="s">
        <v>72</v>
      </c>
      <c r="O75" t="s">
        <v>73</v>
      </c>
      <c r="P75" t="s">
        <v>74</v>
      </c>
      <c r="R75" t="s">
        <v>381</v>
      </c>
      <c r="S75" t="s">
        <v>382</v>
      </c>
      <c r="T75" t="s">
        <v>76</v>
      </c>
      <c r="U75" t="s">
        <v>383</v>
      </c>
      <c r="V75" t="s">
        <v>384</v>
      </c>
      <c r="W75">
        <v>890</v>
      </c>
      <c r="X75">
        <v>39.99</v>
      </c>
      <c r="Y75">
        <v>115</v>
      </c>
      <c r="Z75">
        <v>639000</v>
      </c>
      <c r="AA75">
        <v>289250</v>
      </c>
      <c r="AB75">
        <v>528</v>
      </c>
      <c r="AD75" t="s">
        <v>238</v>
      </c>
      <c r="AE75">
        <v>1</v>
      </c>
      <c r="AF75">
        <v>0</v>
      </c>
      <c r="AI75">
        <v>10</v>
      </c>
      <c r="AJ75">
        <v>20</v>
      </c>
      <c r="AK75">
        <v>30</v>
      </c>
      <c r="AL75">
        <v>325</v>
      </c>
      <c r="AM75">
        <v>36</v>
      </c>
      <c r="AN75">
        <v>0</v>
      </c>
      <c r="AO75">
        <v>36</v>
      </c>
      <c r="AP75" t="s">
        <v>80</v>
      </c>
      <c r="AQ75" t="s">
        <v>345</v>
      </c>
      <c r="AR75" t="s">
        <v>86</v>
      </c>
      <c r="AS75" t="s">
        <v>86</v>
      </c>
      <c r="AT75" t="s">
        <v>240</v>
      </c>
      <c r="AU75" t="s">
        <v>86</v>
      </c>
      <c r="AV75" t="s">
        <v>386</v>
      </c>
      <c r="AW75" t="s">
        <v>80</v>
      </c>
      <c r="AX75" t="s">
        <v>387</v>
      </c>
      <c r="AY75" t="s">
        <v>402</v>
      </c>
      <c r="AZ75" t="s">
        <v>243</v>
      </c>
      <c r="BA75" t="s">
        <v>243</v>
      </c>
      <c r="BB75" t="s">
        <v>245</v>
      </c>
      <c r="BC75" t="s">
        <v>244</v>
      </c>
      <c r="BD75" t="s">
        <v>408</v>
      </c>
      <c r="BE75" t="s">
        <v>404</v>
      </c>
      <c r="BF75" t="s">
        <v>86</v>
      </c>
      <c r="BG75" t="s">
        <v>150</v>
      </c>
      <c r="BH75" t="str">
        <f>IF(COUNTIF(工作表1!A:A, $C75)&gt;0, "預購款", "非預購款")</f>
        <v>非預購款</v>
      </c>
    </row>
    <row r="76" spans="1:60" x14ac:dyDescent="0.25">
      <c r="A76" t="s">
        <v>409</v>
      </c>
      <c r="B76" t="s">
        <v>301</v>
      </c>
      <c r="C76" t="s">
        <v>410</v>
      </c>
      <c r="D76" t="s">
        <v>411</v>
      </c>
      <c r="E76" t="s">
        <v>412</v>
      </c>
      <c r="F76" t="s">
        <v>377</v>
      </c>
      <c r="G76" t="s">
        <v>413</v>
      </c>
      <c r="H76" t="s">
        <v>119</v>
      </c>
      <c r="I76" t="s">
        <v>97</v>
      </c>
      <c r="J76" t="s">
        <v>98</v>
      </c>
      <c r="K76" t="s">
        <v>80</v>
      </c>
      <c r="L76" t="s">
        <v>414</v>
      </c>
      <c r="M76" t="s">
        <v>71</v>
      </c>
      <c r="N76" t="s">
        <v>72</v>
      </c>
      <c r="O76" t="s">
        <v>73</v>
      </c>
      <c r="P76" t="s">
        <v>74</v>
      </c>
      <c r="R76" t="s">
        <v>381</v>
      </c>
      <c r="S76" t="s">
        <v>382</v>
      </c>
      <c r="T76" t="s">
        <v>291</v>
      </c>
      <c r="U76" t="s">
        <v>150</v>
      </c>
      <c r="V76" t="s">
        <v>415</v>
      </c>
      <c r="W76">
        <v>790</v>
      </c>
      <c r="X76">
        <v>34.99</v>
      </c>
      <c r="Y76">
        <v>99</v>
      </c>
      <c r="Z76">
        <v>569000</v>
      </c>
      <c r="AA76">
        <v>244900</v>
      </c>
      <c r="AB76">
        <v>450</v>
      </c>
      <c r="AD76" t="s">
        <v>238</v>
      </c>
      <c r="AE76">
        <v>2</v>
      </c>
      <c r="AF76">
        <v>0</v>
      </c>
      <c r="AI76">
        <v>20</v>
      </c>
      <c r="AJ76">
        <v>100</v>
      </c>
      <c r="AK76">
        <v>120</v>
      </c>
      <c r="AL76">
        <v>310</v>
      </c>
      <c r="AM76">
        <v>130</v>
      </c>
      <c r="AN76">
        <v>0</v>
      </c>
      <c r="AO76">
        <v>130</v>
      </c>
      <c r="AP76" t="s">
        <v>80</v>
      </c>
      <c r="AQ76" t="s">
        <v>75</v>
      </c>
      <c r="AR76" t="s">
        <v>86</v>
      </c>
      <c r="AS76" t="s">
        <v>86</v>
      </c>
      <c r="AT76" t="s">
        <v>240</v>
      </c>
      <c r="AU76" t="s">
        <v>86</v>
      </c>
      <c r="AV76" t="s">
        <v>416</v>
      </c>
      <c r="AW76" t="s">
        <v>69</v>
      </c>
      <c r="AX76" t="s">
        <v>417</v>
      </c>
      <c r="AY76" t="s">
        <v>418</v>
      </c>
      <c r="AZ76" t="s">
        <v>243</v>
      </c>
      <c r="BA76" t="s">
        <v>245</v>
      </c>
      <c r="BB76" t="s">
        <v>310</v>
      </c>
      <c r="BC76" t="s">
        <v>264</v>
      </c>
      <c r="BD76" t="s">
        <v>419</v>
      </c>
      <c r="BE76" t="s">
        <v>420</v>
      </c>
      <c r="BF76" t="s">
        <v>291</v>
      </c>
      <c r="BG76" t="s">
        <v>87</v>
      </c>
      <c r="BH76" t="str">
        <f>IF(COUNTIF(工作表1!A:A, $C76)&gt;0, "預購款", "非預購款")</f>
        <v>非預購款</v>
      </c>
    </row>
    <row r="77" spans="1:60" x14ac:dyDescent="0.25">
      <c r="A77" t="s">
        <v>409</v>
      </c>
      <c r="B77" t="s">
        <v>301</v>
      </c>
      <c r="C77" t="s">
        <v>410</v>
      </c>
      <c r="D77" t="s">
        <v>411</v>
      </c>
      <c r="E77" t="s">
        <v>412</v>
      </c>
      <c r="F77" t="s">
        <v>377</v>
      </c>
      <c r="G77" t="s">
        <v>413</v>
      </c>
      <c r="H77" t="s">
        <v>130</v>
      </c>
      <c r="I77" t="s">
        <v>97</v>
      </c>
      <c r="J77" t="s">
        <v>98</v>
      </c>
      <c r="K77" t="s">
        <v>80</v>
      </c>
      <c r="L77" t="s">
        <v>414</v>
      </c>
      <c r="M77" t="s">
        <v>71</v>
      </c>
      <c r="N77" t="s">
        <v>72</v>
      </c>
      <c r="O77" t="s">
        <v>73</v>
      </c>
      <c r="P77" t="s">
        <v>74</v>
      </c>
      <c r="R77" t="s">
        <v>381</v>
      </c>
      <c r="S77" t="s">
        <v>382</v>
      </c>
      <c r="T77" t="s">
        <v>291</v>
      </c>
      <c r="U77" t="s">
        <v>150</v>
      </c>
      <c r="V77" t="s">
        <v>415</v>
      </c>
      <c r="W77">
        <v>790</v>
      </c>
      <c r="X77">
        <v>34.99</v>
      </c>
      <c r="Y77">
        <v>99</v>
      </c>
      <c r="Z77">
        <v>569000</v>
      </c>
      <c r="AA77">
        <v>244900</v>
      </c>
      <c r="AB77">
        <v>450</v>
      </c>
      <c r="AD77" t="s">
        <v>238</v>
      </c>
      <c r="AE77">
        <v>2</v>
      </c>
      <c r="AF77">
        <v>0</v>
      </c>
      <c r="AI77">
        <v>10</v>
      </c>
      <c r="AJ77">
        <v>50</v>
      </c>
      <c r="AK77">
        <v>60</v>
      </c>
      <c r="AL77">
        <v>310</v>
      </c>
      <c r="AM77">
        <v>70</v>
      </c>
      <c r="AN77">
        <v>0</v>
      </c>
      <c r="AO77">
        <v>70</v>
      </c>
      <c r="AP77" t="s">
        <v>80</v>
      </c>
      <c r="AQ77" t="s">
        <v>75</v>
      </c>
      <c r="AR77" t="s">
        <v>86</v>
      </c>
      <c r="AS77" t="s">
        <v>86</v>
      </c>
      <c r="AT77" t="s">
        <v>240</v>
      </c>
      <c r="AU77" t="s">
        <v>86</v>
      </c>
      <c r="AV77" t="s">
        <v>416</v>
      </c>
      <c r="AW77" t="s">
        <v>69</v>
      </c>
      <c r="AX77" t="s">
        <v>417</v>
      </c>
      <c r="AY77" t="s">
        <v>418</v>
      </c>
      <c r="AZ77" t="s">
        <v>243</v>
      </c>
      <c r="BA77" t="s">
        <v>245</v>
      </c>
      <c r="BB77" t="s">
        <v>310</v>
      </c>
      <c r="BC77" t="s">
        <v>264</v>
      </c>
      <c r="BD77" t="s">
        <v>421</v>
      </c>
      <c r="BE77" t="s">
        <v>420</v>
      </c>
      <c r="BF77" t="s">
        <v>291</v>
      </c>
      <c r="BG77" t="s">
        <v>87</v>
      </c>
      <c r="BH77" t="str">
        <f>IF(COUNTIF(工作表1!A:A, $C77)&gt;0, "預購款", "非預購款")</f>
        <v>非預購款</v>
      </c>
    </row>
    <row r="78" spans="1:60" x14ac:dyDescent="0.25">
      <c r="A78" t="s">
        <v>409</v>
      </c>
      <c r="B78" t="s">
        <v>301</v>
      </c>
      <c r="C78" t="s">
        <v>410</v>
      </c>
      <c r="D78" t="s">
        <v>411</v>
      </c>
      <c r="E78" t="s">
        <v>412</v>
      </c>
      <c r="F78" t="s">
        <v>377</v>
      </c>
      <c r="G78" t="s">
        <v>413</v>
      </c>
      <c r="H78" t="s">
        <v>119</v>
      </c>
      <c r="I78" t="s">
        <v>422</v>
      </c>
      <c r="J78" t="s">
        <v>423</v>
      </c>
      <c r="K78" t="s">
        <v>69</v>
      </c>
      <c r="L78" t="s">
        <v>414</v>
      </c>
      <c r="M78" t="s">
        <v>71</v>
      </c>
      <c r="N78" t="s">
        <v>72</v>
      </c>
      <c r="O78" t="s">
        <v>73</v>
      </c>
      <c r="P78" t="s">
        <v>74</v>
      </c>
      <c r="R78" t="s">
        <v>381</v>
      </c>
      <c r="S78" t="s">
        <v>382</v>
      </c>
      <c r="T78" t="s">
        <v>291</v>
      </c>
      <c r="U78" t="s">
        <v>150</v>
      </c>
      <c r="V78" t="s">
        <v>415</v>
      </c>
      <c r="W78">
        <v>790</v>
      </c>
      <c r="X78">
        <v>34.99</v>
      </c>
      <c r="Y78">
        <v>99</v>
      </c>
      <c r="Z78">
        <v>569000</v>
      </c>
      <c r="AA78">
        <v>244900</v>
      </c>
      <c r="AB78">
        <v>450</v>
      </c>
      <c r="AD78" t="s">
        <v>238</v>
      </c>
      <c r="AE78">
        <v>2</v>
      </c>
      <c r="AF78">
        <v>0</v>
      </c>
      <c r="AI78">
        <v>10</v>
      </c>
      <c r="AJ78">
        <v>50</v>
      </c>
      <c r="AK78">
        <v>60</v>
      </c>
      <c r="AL78">
        <v>310</v>
      </c>
      <c r="AM78">
        <v>70</v>
      </c>
      <c r="AN78">
        <v>0</v>
      </c>
      <c r="AO78">
        <v>70</v>
      </c>
      <c r="AP78" t="s">
        <v>80</v>
      </c>
      <c r="AQ78" t="s">
        <v>75</v>
      </c>
      <c r="AR78" t="s">
        <v>86</v>
      </c>
      <c r="AS78" t="s">
        <v>86</v>
      </c>
      <c r="AT78" t="s">
        <v>240</v>
      </c>
      <c r="AU78" t="s">
        <v>86</v>
      </c>
      <c r="AV78" t="s">
        <v>416</v>
      </c>
      <c r="AW78" t="s">
        <v>69</v>
      </c>
      <c r="AX78" t="s">
        <v>417</v>
      </c>
      <c r="AY78" t="s">
        <v>418</v>
      </c>
      <c r="AZ78" t="s">
        <v>243</v>
      </c>
      <c r="BA78" t="s">
        <v>245</v>
      </c>
      <c r="BB78" t="s">
        <v>310</v>
      </c>
      <c r="BC78" t="s">
        <v>264</v>
      </c>
      <c r="BD78" t="s">
        <v>424</v>
      </c>
      <c r="BE78" t="s">
        <v>420</v>
      </c>
      <c r="BF78" t="s">
        <v>291</v>
      </c>
      <c r="BG78" t="s">
        <v>87</v>
      </c>
      <c r="BH78" t="str">
        <f>IF(COUNTIF(工作表1!A:A, $C78)&gt;0, "預購款", "非預購款")</f>
        <v>非預購款</v>
      </c>
    </row>
    <row r="79" spans="1:60" x14ac:dyDescent="0.25">
      <c r="A79" t="s">
        <v>409</v>
      </c>
      <c r="B79" t="s">
        <v>301</v>
      </c>
      <c r="C79" t="s">
        <v>410</v>
      </c>
      <c r="D79" t="s">
        <v>411</v>
      </c>
      <c r="E79" t="s">
        <v>412</v>
      </c>
      <c r="F79" t="s">
        <v>377</v>
      </c>
      <c r="G79" t="s">
        <v>413</v>
      </c>
      <c r="H79" t="s">
        <v>130</v>
      </c>
      <c r="I79" t="s">
        <v>422</v>
      </c>
      <c r="J79" t="s">
        <v>423</v>
      </c>
      <c r="K79" t="s">
        <v>69</v>
      </c>
      <c r="L79" t="s">
        <v>414</v>
      </c>
      <c r="M79" t="s">
        <v>71</v>
      </c>
      <c r="N79" t="s">
        <v>72</v>
      </c>
      <c r="O79" t="s">
        <v>73</v>
      </c>
      <c r="P79" t="s">
        <v>74</v>
      </c>
      <c r="R79" t="s">
        <v>381</v>
      </c>
      <c r="S79" t="s">
        <v>382</v>
      </c>
      <c r="T79" t="s">
        <v>291</v>
      </c>
      <c r="U79" t="s">
        <v>150</v>
      </c>
      <c r="V79" t="s">
        <v>415</v>
      </c>
      <c r="W79">
        <v>790</v>
      </c>
      <c r="X79">
        <v>34.99</v>
      </c>
      <c r="Y79">
        <v>99</v>
      </c>
      <c r="Z79">
        <v>569000</v>
      </c>
      <c r="AA79">
        <v>244900</v>
      </c>
      <c r="AB79">
        <v>450</v>
      </c>
      <c r="AD79" t="s">
        <v>238</v>
      </c>
      <c r="AE79">
        <v>2</v>
      </c>
      <c r="AF79">
        <v>0</v>
      </c>
      <c r="AI79">
        <v>10</v>
      </c>
      <c r="AJ79">
        <v>60</v>
      </c>
      <c r="AK79">
        <v>70</v>
      </c>
      <c r="AL79">
        <v>310</v>
      </c>
      <c r="AM79">
        <v>80</v>
      </c>
      <c r="AN79">
        <v>0</v>
      </c>
      <c r="AO79">
        <v>80</v>
      </c>
      <c r="AP79" t="s">
        <v>80</v>
      </c>
      <c r="AQ79" t="s">
        <v>75</v>
      </c>
      <c r="AR79" t="s">
        <v>86</v>
      </c>
      <c r="AS79" t="s">
        <v>86</v>
      </c>
      <c r="AT79" t="s">
        <v>240</v>
      </c>
      <c r="AU79" t="s">
        <v>86</v>
      </c>
      <c r="AV79" t="s">
        <v>416</v>
      </c>
      <c r="AW79" t="s">
        <v>69</v>
      </c>
      <c r="AX79" t="s">
        <v>417</v>
      </c>
      <c r="AY79" t="s">
        <v>418</v>
      </c>
      <c r="AZ79" t="s">
        <v>243</v>
      </c>
      <c r="BA79" t="s">
        <v>245</v>
      </c>
      <c r="BB79" t="s">
        <v>310</v>
      </c>
      <c r="BC79" t="s">
        <v>264</v>
      </c>
      <c r="BD79" t="s">
        <v>425</v>
      </c>
      <c r="BE79" t="s">
        <v>420</v>
      </c>
      <c r="BF79" t="s">
        <v>291</v>
      </c>
      <c r="BG79" t="s">
        <v>87</v>
      </c>
      <c r="BH79" t="str">
        <f>IF(COUNTIF(工作表1!A:A, $C79)&gt;0, "預購款", "非預購款")</f>
        <v>非預購款</v>
      </c>
    </row>
    <row r="80" spans="1:60" x14ac:dyDescent="0.25">
      <c r="A80" t="s">
        <v>426</v>
      </c>
      <c r="B80" t="s">
        <v>301</v>
      </c>
      <c r="C80" t="s">
        <v>427</v>
      </c>
      <c r="D80" t="s">
        <v>428</v>
      </c>
      <c r="E80" t="s">
        <v>429</v>
      </c>
      <c r="F80" t="s">
        <v>377</v>
      </c>
      <c r="G80" t="s">
        <v>430</v>
      </c>
      <c r="H80" t="s">
        <v>119</v>
      </c>
      <c r="I80" t="s">
        <v>120</v>
      </c>
      <c r="J80" t="s">
        <v>121</v>
      </c>
      <c r="K80" t="s">
        <v>69</v>
      </c>
      <c r="L80" t="s">
        <v>431</v>
      </c>
      <c r="M80" t="s">
        <v>71</v>
      </c>
      <c r="N80" t="s">
        <v>72</v>
      </c>
      <c r="O80" t="s">
        <v>73</v>
      </c>
      <c r="P80" t="s">
        <v>74</v>
      </c>
      <c r="R80" t="s">
        <v>381</v>
      </c>
      <c r="S80" t="s">
        <v>382</v>
      </c>
      <c r="T80" t="s">
        <v>76</v>
      </c>
      <c r="U80" t="s">
        <v>146</v>
      </c>
      <c r="V80" t="s">
        <v>321</v>
      </c>
      <c r="W80">
        <v>690</v>
      </c>
      <c r="X80">
        <v>29.99</v>
      </c>
      <c r="Y80">
        <v>89</v>
      </c>
      <c r="Z80">
        <v>499000</v>
      </c>
      <c r="AA80">
        <v>210450</v>
      </c>
      <c r="AB80">
        <v>232</v>
      </c>
      <c r="AD80" t="s">
        <v>238</v>
      </c>
      <c r="AE80">
        <v>1</v>
      </c>
      <c r="AF80">
        <v>0</v>
      </c>
      <c r="AI80">
        <v>15</v>
      </c>
      <c r="AJ80">
        <v>100</v>
      </c>
      <c r="AK80">
        <v>115</v>
      </c>
      <c r="AL80">
        <v>305</v>
      </c>
      <c r="AM80">
        <v>116</v>
      </c>
      <c r="AN80">
        <v>0</v>
      </c>
      <c r="AO80">
        <v>116</v>
      </c>
      <c r="AP80" t="s">
        <v>80</v>
      </c>
      <c r="AQ80" t="s">
        <v>260</v>
      </c>
      <c r="AR80" t="s">
        <v>86</v>
      </c>
      <c r="AS80" t="s">
        <v>86</v>
      </c>
      <c r="AT80" t="s">
        <v>240</v>
      </c>
      <c r="AU80" t="s">
        <v>86</v>
      </c>
      <c r="AV80" t="s">
        <v>432</v>
      </c>
      <c r="AW80" t="s">
        <v>69</v>
      </c>
      <c r="AX80" t="s">
        <v>387</v>
      </c>
      <c r="AY80" t="s">
        <v>433</v>
      </c>
      <c r="AZ80" t="s">
        <v>264</v>
      </c>
      <c r="BA80" t="s">
        <v>244</v>
      </c>
      <c r="BB80" t="s">
        <v>244</v>
      </c>
      <c r="BC80" t="s">
        <v>310</v>
      </c>
      <c r="BD80" t="s">
        <v>434</v>
      </c>
      <c r="BE80" t="s">
        <v>435</v>
      </c>
      <c r="BF80" t="s">
        <v>86</v>
      </c>
      <c r="BG80" t="s">
        <v>110</v>
      </c>
      <c r="BH80" t="str">
        <f>IF(COUNTIF(工作表1!A:A, $C80)&gt;0, "預購款", "非預購款")</f>
        <v>非預購款</v>
      </c>
    </row>
    <row r="81" spans="1:60" x14ac:dyDescent="0.25">
      <c r="A81" t="s">
        <v>426</v>
      </c>
      <c r="B81" t="s">
        <v>301</v>
      </c>
      <c r="C81" t="s">
        <v>427</v>
      </c>
      <c r="D81" t="s">
        <v>428</v>
      </c>
      <c r="E81" t="s">
        <v>429</v>
      </c>
      <c r="F81" t="s">
        <v>377</v>
      </c>
      <c r="G81" t="s">
        <v>430</v>
      </c>
      <c r="H81" t="s">
        <v>130</v>
      </c>
      <c r="I81" t="s">
        <v>120</v>
      </c>
      <c r="J81" t="s">
        <v>121</v>
      </c>
      <c r="K81" t="s">
        <v>69</v>
      </c>
      <c r="L81" t="s">
        <v>431</v>
      </c>
      <c r="M81" t="s">
        <v>71</v>
      </c>
      <c r="N81" t="s">
        <v>72</v>
      </c>
      <c r="O81" t="s">
        <v>73</v>
      </c>
      <c r="P81" t="s">
        <v>74</v>
      </c>
      <c r="R81" t="s">
        <v>381</v>
      </c>
      <c r="S81" t="s">
        <v>382</v>
      </c>
      <c r="T81" t="s">
        <v>76</v>
      </c>
      <c r="U81" t="s">
        <v>146</v>
      </c>
      <c r="V81" t="s">
        <v>321</v>
      </c>
      <c r="W81">
        <v>690</v>
      </c>
      <c r="X81">
        <v>29.99</v>
      </c>
      <c r="Y81">
        <v>89</v>
      </c>
      <c r="Z81">
        <v>499000</v>
      </c>
      <c r="AA81">
        <v>210450</v>
      </c>
      <c r="AB81">
        <v>232</v>
      </c>
      <c r="AD81" t="s">
        <v>238</v>
      </c>
      <c r="AE81">
        <v>1</v>
      </c>
      <c r="AF81">
        <v>0</v>
      </c>
      <c r="AI81">
        <v>15</v>
      </c>
      <c r="AJ81">
        <v>100</v>
      </c>
      <c r="AK81">
        <v>115</v>
      </c>
      <c r="AL81">
        <v>305</v>
      </c>
      <c r="AM81">
        <v>116</v>
      </c>
      <c r="AN81">
        <v>0</v>
      </c>
      <c r="AO81">
        <v>116</v>
      </c>
      <c r="AP81" t="s">
        <v>80</v>
      </c>
      <c r="AQ81" t="s">
        <v>260</v>
      </c>
      <c r="AR81" t="s">
        <v>86</v>
      </c>
      <c r="AS81" t="s">
        <v>86</v>
      </c>
      <c r="AT81" t="s">
        <v>240</v>
      </c>
      <c r="AU81" t="s">
        <v>86</v>
      </c>
      <c r="AV81" t="s">
        <v>432</v>
      </c>
      <c r="AW81" t="s">
        <v>69</v>
      </c>
      <c r="AX81" t="s">
        <v>387</v>
      </c>
      <c r="AY81" t="s">
        <v>433</v>
      </c>
      <c r="AZ81" t="s">
        <v>264</v>
      </c>
      <c r="BA81" t="s">
        <v>244</v>
      </c>
      <c r="BB81" t="s">
        <v>244</v>
      </c>
      <c r="BC81" t="s">
        <v>310</v>
      </c>
      <c r="BD81" t="s">
        <v>436</v>
      </c>
      <c r="BE81" t="s">
        <v>435</v>
      </c>
      <c r="BF81" t="s">
        <v>86</v>
      </c>
      <c r="BG81" t="s">
        <v>110</v>
      </c>
      <c r="BH81" t="str">
        <f>IF(COUNTIF(工作表1!A:A, $C81)&gt;0, "預購款", "非預購款")</f>
        <v>非預購款</v>
      </c>
    </row>
    <row r="82" spans="1:60" x14ac:dyDescent="0.25">
      <c r="A82" t="s">
        <v>426</v>
      </c>
      <c r="B82" t="s">
        <v>301</v>
      </c>
      <c r="C82" t="s">
        <v>427</v>
      </c>
      <c r="D82" t="s">
        <v>428</v>
      </c>
      <c r="E82" t="s">
        <v>429</v>
      </c>
      <c r="F82" t="s">
        <v>377</v>
      </c>
      <c r="G82" t="s">
        <v>430</v>
      </c>
      <c r="H82" t="s">
        <v>132</v>
      </c>
      <c r="I82" t="s">
        <v>120</v>
      </c>
      <c r="J82" t="s">
        <v>121</v>
      </c>
      <c r="K82" t="s">
        <v>69</v>
      </c>
      <c r="L82" t="s">
        <v>431</v>
      </c>
      <c r="M82" t="s">
        <v>71</v>
      </c>
      <c r="N82" t="s">
        <v>72</v>
      </c>
      <c r="O82" t="s">
        <v>73</v>
      </c>
      <c r="P82" t="s">
        <v>74</v>
      </c>
      <c r="R82" t="s">
        <v>381</v>
      </c>
      <c r="S82" t="s">
        <v>382</v>
      </c>
      <c r="T82" t="s">
        <v>76</v>
      </c>
      <c r="U82" t="s">
        <v>146</v>
      </c>
      <c r="V82" t="s">
        <v>321</v>
      </c>
      <c r="W82">
        <v>690</v>
      </c>
      <c r="X82">
        <v>29.99</v>
      </c>
      <c r="Y82">
        <v>89</v>
      </c>
      <c r="Z82">
        <v>499000</v>
      </c>
      <c r="AA82">
        <v>210450</v>
      </c>
      <c r="AB82">
        <v>232</v>
      </c>
      <c r="AD82" t="s">
        <v>238</v>
      </c>
      <c r="AE82">
        <v>1</v>
      </c>
      <c r="AF82">
        <v>0</v>
      </c>
      <c r="AI82">
        <v>15</v>
      </c>
      <c r="AJ82">
        <v>60</v>
      </c>
      <c r="AK82">
        <v>75</v>
      </c>
      <c r="AL82">
        <v>305</v>
      </c>
      <c r="AM82">
        <v>75</v>
      </c>
      <c r="AN82">
        <v>0</v>
      </c>
      <c r="AO82">
        <v>75</v>
      </c>
      <c r="AP82" t="s">
        <v>80</v>
      </c>
      <c r="AQ82" t="s">
        <v>260</v>
      </c>
      <c r="AR82" t="s">
        <v>86</v>
      </c>
      <c r="AS82" t="s">
        <v>86</v>
      </c>
      <c r="AT82" t="s">
        <v>240</v>
      </c>
      <c r="AU82" t="s">
        <v>86</v>
      </c>
      <c r="AV82" t="s">
        <v>432</v>
      </c>
      <c r="AW82" t="s">
        <v>69</v>
      </c>
      <c r="AX82" t="s">
        <v>387</v>
      </c>
      <c r="AY82" t="s">
        <v>433</v>
      </c>
      <c r="AZ82" t="s">
        <v>264</v>
      </c>
      <c r="BA82" t="s">
        <v>244</v>
      </c>
      <c r="BB82" t="s">
        <v>244</v>
      </c>
      <c r="BC82" t="s">
        <v>310</v>
      </c>
      <c r="BD82" t="s">
        <v>437</v>
      </c>
      <c r="BE82" t="s">
        <v>435</v>
      </c>
      <c r="BF82" t="s">
        <v>86</v>
      </c>
      <c r="BG82" t="s">
        <v>110</v>
      </c>
      <c r="BH82" t="str">
        <f>IF(COUNTIF(工作表1!A:A, $C82)&gt;0, "預購款", "非預購款")</f>
        <v>非預購款</v>
      </c>
    </row>
    <row r="83" spans="1:60" x14ac:dyDescent="0.25">
      <c r="A83" t="s">
        <v>438</v>
      </c>
      <c r="B83" t="s">
        <v>301</v>
      </c>
      <c r="C83" t="s">
        <v>439</v>
      </c>
      <c r="D83" t="s">
        <v>440</v>
      </c>
      <c r="E83" t="s">
        <v>441</v>
      </c>
      <c r="F83" t="s">
        <v>377</v>
      </c>
      <c r="G83" t="s">
        <v>442</v>
      </c>
      <c r="H83" t="s">
        <v>66</v>
      </c>
      <c r="I83" t="s">
        <v>97</v>
      </c>
      <c r="J83" t="s">
        <v>98</v>
      </c>
      <c r="K83" t="s">
        <v>69</v>
      </c>
      <c r="L83" t="s">
        <v>443</v>
      </c>
      <c r="M83" t="s">
        <v>71</v>
      </c>
      <c r="N83" t="s">
        <v>72</v>
      </c>
      <c r="O83" t="s">
        <v>73</v>
      </c>
      <c r="P83" t="s">
        <v>74</v>
      </c>
      <c r="R83" t="s">
        <v>381</v>
      </c>
      <c r="S83" t="s">
        <v>382</v>
      </c>
      <c r="T83" t="s">
        <v>258</v>
      </c>
      <c r="U83" t="s">
        <v>150</v>
      </c>
      <c r="V83" t="s">
        <v>307</v>
      </c>
      <c r="W83">
        <v>990</v>
      </c>
      <c r="X83">
        <v>39.99</v>
      </c>
      <c r="Y83">
        <v>129</v>
      </c>
      <c r="Z83">
        <v>709000</v>
      </c>
      <c r="AA83">
        <v>128700</v>
      </c>
      <c r="AB83">
        <v>565</v>
      </c>
      <c r="AD83" t="s">
        <v>238</v>
      </c>
      <c r="AE83">
        <v>1</v>
      </c>
      <c r="AF83">
        <v>0</v>
      </c>
      <c r="AI83">
        <v>30</v>
      </c>
      <c r="AJ83">
        <v>100</v>
      </c>
      <c r="AK83">
        <v>130</v>
      </c>
      <c r="AL83">
        <v>130</v>
      </c>
      <c r="AM83">
        <v>139</v>
      </c>
      <c r="AN83">
        <v>0</v>
      </c>
      <c r="AO83">
        <v>139</v>
      </c>
      <c r="AP83" t="s">
        <v>80</v>
      </c>
      <c r="AQ83" t="s">
        <v>75</v>
      </c>
      <c r="AR83" t="s">
        <v>86</v>
      </c>
      <c r="AS83" t="s">
        <v>261</v>
      </c>
      <c r="AT83" t="s">
        <v>240</v>
      </c>
      <c r="AU83" t="s">
        <v>86</v>
      </c>
      <c r="AV83" t="s">
        <v>444</v>
      </c>
      <c r="AW83" t="s">
        <v>69</v>
      </c>
      <c r="AX83" t="s">
        <v>445</v>
      </c>
      <c r="AY83" t="s">
        <v>446</v>
      </c>
      <c r="AZ83" t="s">
        <v>243</v>
      </c>
      <c r="BA83" t="s">
        <v>243</v>
      </c>
      <c r="BB83" t="s">
        <v>245</v>
      </c>
      <c r="BC83" t="s">
        <v>264</v>
      </c>
      <c r="BD83" t="s">
        <v>447</v>
      </c>
      <c r="BE83" t="s">
        <v>448</v>
      </c>
      <c r="BF83" t="s">
        <v>240</v>
      </c>
      <c r="BG83" t="s">
        <v>87</v>
      </c>
      <c r="BH83" t="str">
        <f>IF(COUNTIF(工作表1!A:A, $C83)&gt;0, "預購款", "非預購款")</f>
        <v>非預購款</v>
      </c>
    </row>
    <row r="84" spans="1:60" x14ac:dyDescent="0.25">
      <c r="A84" t="s">
        <v>449</v>
      </c>
      <c r="B84" t="s">
        <v>315</v>
      </c>
      <c r="C84" t="s">
        <v>450</v>
      </c>
      <c r="D84" t="s">
        <v>451</v>
      </c>
      <c r="E84" t="s">
        <v>452</v>
      </c>
      <c r="F84" t="s">
        <v>377</v>
      </c>
      <c r="G84" t="s">
        <v>453</v>
      </c>
      <c r="H84" t="s">
        <v>119</v>
      </c>
      <c r="I84" t="s">
        <v>422</v>
      </c>
      <c r="J84" t="s">
        <v>423</v>
      </c>
      <c r="K84" t="s">
        <v>69</v>
      </c>
      <c r="L84" t="s">
        <v>454</v>
      </c>
      <c r="M84" t="s">
        <v>71</v>
      </c>
      <c r="N84" t="s">
        <v>72</v>
      </c>
      <c r="O84" t="s">
        <v>73</v>
      </c>
      <c r="P84" t="s">
        <v>74</v>
      </c>
      <c r="R84" t="s">
        <v>381</v>
      </c>
      <c r="S84" t="s">
        <v>382</v>
      </c>
      <c r="T84" t="s">
        <v>258</v>
      </c>
      <c r="U84" t="s">
        <v>150</v>
      </c>
      <c r="V84" t="s">
        <v>307</v>
      </c>
      <c r="W84">
        <v>1280</v>
      </c>
      <c r="X84">
        <v>49.99</v>
      </c>
      <c r="Y84">
        <v>169</v>
      </c>
      <c r="Z84">
        <v>919000</v>
      </c>
      <c r="AA84">
        <v>768000</v>
      </c>
      <c r="AB84">
        <v>540</v>
      </c>
      <c r="AD84" t="s">
        <v>238</v>
      </c>
      <c r="AE84">
        <v>2</v>
      </c>
      <c r="AF84">
        <v>0</v>
      </c>
      <c r="AI84">
        <v>30</v>
      </c>
      <c r="AJ84">
        <v>200</v>
      </c>
      <c r="AK84">
        <v>230</v>
      </c>
      <c r="AL84">
        <v>600</v>
      </c>
      <c r="AM84">
        <v>239</v>
      </c>
      <c r="AN84">
        <v>0</v>
      </c>
      <c r="AO84">
        <v>239</v>
      </c>
      <c r="AP84" t="s">
        <v>80</v>
      </c>
      <c r="AQ84" t="s">
        <v>385</v>
      </c>
      <c r="AR84" t="s">
        <v>261</v>
      </c>
      <c r="AS84" t="s">
        <v>261</v>
      </c>
      <c r="AT84" t="s">
        <v>240</v>
      </c>
      <c r="AU84" t="s">
        <v>86</v>
      </c>
      <c r="AV84" t="s">
        <v>444</v>
      </c>
      <c r="AW84" t="s">
        <v>69</v>
      </c>
      <c r="AX84" t="s">
        <v>455</v>
      </c>
      <c r="AY84" t="s">
        <v>456</v>
      </c>
      <c r="AZ84" t="s">
        <v>243</v>
      </c>
      <c r="BA84" t="s">
        <v>243</v>
      </c>
      <c r="BB84" t="s">
        <v>243</v>
      </c>
      <c r="BC84" t="s">
        <v>264</v>
      </c>
      <c r="BD84" t="s">
        <v>457</v>
      </c>
      <c r="BE84" t="s">
        <v>458</v>
      </c>
      <c r="BF84" t="s">
        <v>240</v>
      </c>
      <c r="BG84" t="s">
        <v>87</v>
      </c>
      <c r="BH84" t="str">
        <f>IF(COUNTIF(工作表1!A:A, $C84)&gt;0, "預購款", "非預購款")</f>
        <v>非預購款</v>
      </c>
    </row>
    <row r="85" spans="1:60" x14ac:dyDescent="0.25">
      <c r="A85" t="s">
        <v>449</v>
      </c>
      <c r="B85" t="s">
        <v>315</v>
      </c>
      <c r="C85" t="s">
        <v>450</v>
      </c>
      <c r="D85" t="s">
        <v>451</v>
      </c>
      <c r="E85" t="s">
        <v>452</v>
      </c>
      <c r="F85" t="s">
        <v>377</v>
      </c>
      <c r="G85" t="s">
        <v>453</v>
      </c>
      <c r="H85" t="s">
        <v>130</v>
      </c>
      <c r="I85" t="s">
        <v>422</v>
      </c>
      <c r="J85" t="s">
        <v>423</v>
      </c>
      <c r="K85" t="s">
        <v>69</v>
      </c>
      <c r="L85" t="s">
        <v>454</v>
      </c>
      <c r="M85" t="s">
        <v>71</v>
      </c>
      <c r="N85" t="s">
        <v>72</v>
      </c>
      <c r="O85" t="s">
        <v>73</v>
      </c>
      <c r="P85" t="s">
        <v>74</v>
      </c>
      <c r="R85" t="s">
        <v>381</v>
      </c>
      <c r="S85" t="s">
        <v>382</v>
      </c>
      <c r="T85" t="s">
        <v>258</v>
      </c>
      <c r="U85" t="s">
        <v>150</v>
      </c>
      <c r="V85" t="s">
        <v>307</v>
      </c>
      <c r="W85">
        <v>1280</v>
      </c>
      <c r="X85">
        <v>49.99</v>
      </c>
      <c r="Y85">
        <v>169</v>
      </c>
      <c r="Z85">
        <v>919000</v>
      </c>
      <c r="AA85">
        <v>768000</v>
      </c>
      <c r="AB85">
        <v>540</v>
      </c>
      <c r="AD85" t="s">
        <v>238</v>
      </c>
      <c r="AE85">
        <v>2</v>
      </c>
      <c r="AF85">
        <v>0</v>
      </c>
      <c r="AI85">
        <v>20</v>
      </c>
      <c r="AJ85">
        <v>40</v>
      </c>
      <c r="AK85">
        <v>60</v>
      </c>
      <c r="AL85">
        <v>600</v>
      </c>
      <c r="AM85">
        <v>70</v>
      </c>
      <c r="AN85">
        <v>0</v>
      </c>
      <c r="AO85">
        <v>70</v>
      </c>
      <c r="AP85" t="s">
        <v>80</v>
      </c>
      <c r="AQ85" t="s">
        <v>385</v>
      </c>
      <c r="AR85" t="s">
        <v>261</v>
      </c>
      <c r="AS85" t="s">
        <v>261</v>
      </c>
      <c r="AT85" t="s">
        <v>240</v>
      </c>
      <c r="AU85" t="s">
        <v>86</v>
      </c>
      <c r="AV85" t="s">
        <v>444</v>
      </c>
      <c r="AW85" t="s">
        <v>69</v>
      </c>
      <c r="AX85" t="s">
        <v>455</v>
      </c>
      <c r="AY85" t="s">
        <v>456</v>
      </c>
      <c r="AZ85" t="s">
        <v>243</v>
      </c>
      <c r="BA85" t="s">
        <v>243</v>
      </c>
      <c r="BB85" t="s">
        <v>243</v>
      </c>
      <c r="BC85" t="s">
        <v>264</v>
      </c>
      <c r="BD85" t="s">
        <v>459</v>
      </c>
      <c r="BE85" t="s">
        <v>458</v>
      </c>
      <c r="BF85" t="s">
        <v>240</v>
      </c>
      <c r="BG85" t="s">
        <v>87</v>
      </c>
      <c r="BH85" t="str">
        <f>IF(COUNTIF(工作表1!A:A, $C85)&gt;0, "預購款", "非預購款")</f>
        <v>非預購款</v>
      </c>
    </row>
    <row r="86" spans="1:60" x14ac:dyDescent="0.25">
      <c r="A86" t="s">
        <v>449</v>
      </c>
      <c r="B86" t="s">
        <v>315</v>
      </c>
      <c r="C86" t="s">
        <v>450</v>
      </c>
      <c r="D86" t="s">
        <v>451</v>
      </c>
      <c r="E86" t="s">
        <v>452</v>
      </c>
      <c r="F86" t="s">
        <v>377</v>
      </c>
      <c r="G86" t="s">
        <v>453</v>
      </c>
      <c r="H86" t="s">
        <v>119</v>
      </c>
      <c r="I86" t="s">
        <v>88</v>
      </c>
      <c r="J86" t="s">
        <v>89</v>
      </c>
      <c r="K86" t="s">
        <v>69</v>
      </c>
      <c r="L86" t="s">
        <v>454</v>
      </c>
      <c r="M86" t="s">
        <v>71</v>
      </c>
      <c r="N86" t="s">
        <v>72</v>
      </c>
      <c r="O86" t="s">
        <v>73</v>
      </c>
      <c r="P86" t="s">
        <v>74</v>
      </c>
      <c r="R86" t="s">
        <v>381</v>
      </c>
      <c r="S86" t="s">
        <v>382</v>
      </c>
      <c r="T86" t="s">
        <v>258</v>
      </c>
      <c r="U86" t="s">
        <v>150</v>
      </c>
      <c r="V86" t="s">
        <v>307</v>
      </c>
      <c r="W86">
        <v>1280</v>
      </c>
      <c r="X86">
        <v>49.99</v>
      </c>
      <c r="Y86">
        <v>169</v>
      </c>
      <c r="Z86">
        <v>919000</v>
      </c>
      <c r="AA86">
        <v>768000</v>
      </c>
      <c r="AB86">
        <v>540</v>
      </c>
      <c r="AD86" t="s">
        <v>238</v>
      </c>
      <c r="AE86">
        <v>2</v>
      </c>
      <c r="AF86">
        <v>0</v>
      </c>
      <c r="AI86">
        <v>30</v>
      </c>
      <c r="AJ86">
        <v>170</v>
      </c>
      <c r="AK86">
        <v>200</v>
      </c>
      <c r="AL86">
        <v>600</v>
      </c>
      <c r="AM86">
        <v>209</v>
      </c>
      <c r="AN86">
        <v>0</v>
      </c>
      <c r="AO86">
        <v>209</v>
      </c>
      <c r="AP86" t="s">
        <v>80</v>
      </c>
      <c r="AQ86" t="s">
        <v>385</v>
      </c>
      <c r="AR86" t="s">
        <v>261</v>
      </c>
      <c r="AS86" t="s">
        <v>261</v>
      </c>
      <c r="AT86" t="s">
        <v>240</v>
      </c>
      <c r="AU86" t="s">
        <v>86</v>
      </c>
      <c r="AV86" t="s">
        <v>444</v>
      </c>
      <c r="AW86" t="s">
        <v>69</v>
      </c>
      <c r="AX86" t="s">
        <v>455</v>
      </c>
      <c r="AY86" t="s">
        <v>456</v>
      </c>
      <c r="AZ86" t="s">
        <v>243</v>
      </c>
      <c r="BA86" t="s">
        <v>243</v>
      </c>
      <c r="BB86" t="s">
        <v>243</v>
      </c>
      <c r="BC86" t="s">
        <v>264</v>
      </c>
      <c r="BD86" t="s">
        <v>460</v>
      </c>
      <c r="BE86" t="s">
        <v>458</v>
      </c>
      <c r="BF86" t="s">
        <v>240</v>
      </c>
      <c r="BG86" t="s">
        <v>87</v>
      </c>
      <c r="BH86" t="str">
        <f>IF(COUNTIF(工作表1!A:A, $C86)&gt;0, "預購款", "非預購款")</f>
        <v>非預購款</v>
      </c>
    </row>
    <row r="87" spans="1:60" x14ac:dyDescent="0.25">
      <c r="A87" t="s">
        <v>449</v>
      </c>
      <c r="B87" t="s">
        <v>315</v>
      </c>
      <c r="C87" t="s">
        <v>450</v>
      </c>
      <c r="D87" t="s">
        <v>451</v>
      </c>
      <c r="E87" t="s">
        <v>452</v>
      </c>
      <c r="F87" t="s">
        <v>377</v>
      </c>
      <c r="G87" t="s">
        <v>453</v>
      </c>
      <c r="H87" t="s">
        <v>130</v>
      </c>
      <c r="I87" t="s">
        <v>88</v>
      </c>
      <c r="J87" t="s">
        <v>89</v>
      </c>
      <c r="K87" t="s">
        <v>69</v>
      </c>
      <c r="L87" t="s">
        <v>454</v>
      </c>
      <c r="M87" t="s">
        <v>71</v>
      </c>
      <c r="N87" t="s">
        <v>72</v>
      </c>
      <c r="O87" t="s">
        <v>73</v>
      </c>
      <c r="P87" t="s">
        <v>74</v>
      </c>
      <c r="R87" t="s">
        <v>381</v>
      </c>
      <c r="S87" t="s">
        <v>382</v>
      </c>
      <c r="T87" t="s">
        <v>258</v>
      </c>
      <c r="U87" t="s">
        <v>150</v>
      </c>
      <c r="V87" t="s">
        <v>307</v>
      </c>
      <c r="W87">
        <v>1280</v>
      </c>
      <c r="X87">
        <v>49.99</v>
      </c>
      <c r="Y87">
        <v>169</v>
      </c>
      <c r="Z87">
        <v>919000</v>
      </c>
      <c r="AA87">
        <v>768000</v>
      </c>
      <c r="AB87">
        <v>540</v>
      </c>
      <c r="AD87" t="s">
        <v>238</v>
      </c>
      <c r="AE87">
        <v>2</v>
      </c>
      <c r="AF87">
        <v>0</v>
      </c>
      <c r="AI87">
        <v>20</v>
      </c>
      <c r="AJ87">
        <v>90</v>
      </c>
      <c r="AK87">
        <v>110</v>
      </c>
      <c r="AL87">
        <v>600</v>
      </c>
      <c r="AM87">
        <v>120</v>
      </c>
      <c r="AN87">
        <v>0</v>
      </c>
      <c r="AO87">
        <v>120</v>
      </c>
      <c r="AP87" t="s">
        <v>80</v>
      </c>
      <c r="AQ87" t="s">
        <v>385</v>
      </c>
      <c r="AR87" t="s">
        <v>261</v>
      </c>
      <c r="AS87" t="s">
        <v>261</v>
      </c>
      <c r="AT87" t="s">
        <v>240</v>
      </c>
      <c r="AU87" t="s">
        <v>86</v>
      </c>
      <c r="AV87" t="s">
        <v>444</v>
      </c>
      <c r="AW87" t="s">
        <v>69</v>
      </c>
      <c r="AX87" t="s">
        <v>455</v>
      </c>
      <c r="AY87" t="s">
        <v>456</v>
      </c>
      <c r="AZ87" t="s">
        <v>243</v>
      </c>
      <c r="BA87" t="s">
        <v>243</v>
      </c>
      <c r="BB87" t="s">
        <v>243</v>
      </c>
      <c r="BC87" t="s">
        <v>264</v>
      </c>
      <c r="BD87" t="s">
        <v>461</v>
      </c>
      <c r="BE87" t="s">
        <v>458</v>
      </c>
      <c r="BF87" t="s">
        <v>240</v>
      </c>
      <c r="BG87" t="s">
        <v>87</v>
      </c>
      <c r="BH87" t="str">
        <f>IF(COUNTIF(工作表1!A:A, $C87)&gt;0, "預購款", "非預購款")</f>
        <v>非預購款</v>
      </c>
    </row>
    <row r="88" spans="1:60" x14ac:dyDescent="0.25">
      <c r="A88" t="s">
        <v>462</v>
      </c>
      <c r="B88" t="s">
        <v>315</v>
      </c>
      <c r="C88" t="s">
        <v>463</v>
      </c>
      <c r="D88" t="s">
        <v>464</v>
      </c>
      <c r="E88" t="s">
        <v>465</v>
      </c>
      <c r="F88" t="s">
        <v>377</v>
      </c>
      <c r="G88" t="s">
        <v>466</v>
      </c>
      <c r="H88" t="s">
        <v>119</v>
      </c>
      <c r="I88" t="s">
        <v>97</v>
      </c>
      <c r="J88" t="s">
        <v>98</v>
      </c>
      <c r="K88" t="s">
        <v>69</v>
      </c>
      <c r="L88" t="s">
        <v>467</v>
      </c>
      <c r="M88" t="s">
        <v>71</v>
      </c>
      <c r="N88" t="s">
        <v>72</v>
      </c>
      <c r="O88" t="s">
        <v>73</v>
      </c>
      <c r="P88" t="s">
        <v>74</v>
      </c>
      <c r="R88" t="s">
        <v>381</v>
      </c>
      <c r="S88" t="s">
        <v>382</v>
      </c>
      <c r="T88" t="s">
        <v>258</v>
      </c>
      <c r="U88" t="s">
        <v>150</v>
      </c>
      <c r="V88" t="s">
        <v>307</v>
      </c>
      <c r="W88">
        <v>1080</v>
      </c>
      <c r="X88">
        <v>44.99</v>
      </c>
      <c r="Y88">
        <v>139</v>
      </c>
      <c r="Z88">
        <v>779000</v>
      </c>
      <c r="AA88">
        <v>615600</v>
      </c>
      <c r="AB88">
        <v>605</v>
      </c>
      <c r="AD88" t="s">
        <v>238</v>
      </c>
      <c r="AE88">
        <v>1</v>
      </c>
      <c r="AF88">
        <v>0</v>
      </c>
      <c r="AI88">
        <v>30</v>
      </c>
      <c r="AJ88">
        <v>370</v>
      </c>
      <c r="AK88">
        <v>400</v>
      </c>
      <c r="AL88">
        <v>570</v>
      </c>
      <c r="AM88">
        <v>409</v>
      </c>
      <c r="AN88">
        <v>0</v>
      </c>
      <c r="AO88">
        <v>409</v>
      </c>
      <c r="AP88" t="s">
        <v>80</v>
      </c>
      <c r="AQ88" t="s">
        <v>385</v>
      </c>
      <c r="AR88" t="s">
        <v>86</v>
      </c>
      <c r="AT88" t="s">
        <v>86</v>
      </c>
      <c r="AU88" t="s">
        <v>86</v>
      </c>
      <c r="AV88" t="s">
        <v>444</v>
      </c>
      <c r="AW88" t="s">
        <v>69</v>
      </c>
      <c r="AX88" t="s">
        <v>468</v>
      </c>
      <c r="AY88" t="s">
        <v>469</v>
      </c>
      <c r="AZ88" t="s">
        <v>243</v>
      </c>
      <c r="BA88" t="s">
        <v>245</v>
      </c>
      <c r="BB88" t="s">
        <v>245</v>
      </c>
      <c r="BC88" t="s">
        <v>244</v>
      </c>
      <c r="BD88" t="s">
        <v>470</v>
      </c>
      <c r="BE88" t="s">
        <v>471</v>
      </c>
      <c r="BF88" t="s">
        <v>240</v>
      </c>
      <c r="BG88" t="s">
        <v>87</v>
      </c>
      <c r="BH88" t="str">
        <f>IF(COUNTIF(工作表1!A:A, $C88)&gt;0, "預購款", "非預購款")</f>
        <v>非預購款</v>
      </c>
    </row>
    <row r="89" spans="1:60" x14ac:dyDescent="0.25">
      <c r="A89" t="s">
        <v>462</v>
      </c>
      <c r="B89" t="s">
        <v>315</v>
      </c>
      <c r="C89" t="s">
        <v>463</v>
      </c>
      <c r="D89" t="s">
        <v>464</v>
      </c>
      <c r="E89" t="s">
        <v>465</v>
      </c>
      <c r="F89" t="s">
        <v>377</v>
      </c>
      <c r="G89" t="s">
        <v>466</v>
      </c>
      <c r="H89" t="s">
        <v>130</v>
      </c>
      <c r="I89" t="s">
        <v>97</v>
      </c>
      <c r="J89" t="s">
        <v>98</v>
      </c>
      <c r="K89" t="s">
        <v>69</v>
      </c>
      <c r="L89" t="s">
        <v>467</v>
      </c>
      <c r="M89" t="s">
        <v>71</v>
      </c>
      <c r="N89" t="s">
        <v>72</v>
      </c>
      <c r="O89" t="s">
        <v>73</v>
      </c>
      <c r="P89" t="s">
        <v>74</v>
      </c>
      <c r="R89" t="s">
        <v>381</v>
      </c>
      <c r="S89" t="s">
        <v>382</v>
      </c>
      <c r="T89" t="s">
        <v>258</v>
      </c>
      <c r="U89" t="s">
        <v>150</v>
      </c>
      <c r="V89" t="s">
        <v>307</v>
      </c>
      <c r="W89">
        <v>1080</v>
      </c>
      <c r="X89">
        <v>44.99</v>
      </c>
      <c r="Y89">
        <v>139</v>
      </c>
      <c r="Z89">
        <v>779000</v>
      </c>
      <c r="AA89">
        <v>615600</v>
      </c>
      <c r="AB89">
        <v>605</v>
      </c>
      <c r="AD89" t="s">
        <v>238</v>
      </c>
      <c r="AE89">
        <v>1</v>
      </c>
      <c r="AF89">
        <v>0</v>
      </c>
      <c r="AI89">
        <v>20</v>
      </c>
      <c r="AJ89">
        <v>150</v>
      </c>
      <c r="AK89">
        <v>170</v>
      </c>
      <c r="AL89">
        <v>570</v>
      </c>
      <c r="AM89">
        <v>180</v>
      </c>
      <c r="AN89">
        <v>0</v>
      </c>
      <c r="AO89">
        <v>180</v>
      </c>
      <c r="AP89" t="s">
        <v>80</v>
      </c>
      <c r="AQ89" t="s">
        <v>385</v>
      </c>
      <c r="AR89" t="s">
        <v>86</v>
      </c>
      <c r="AT89" t="s">
        <v>86</v>
      </c>
      <c r="AU89" t="s">
        <v>86</v>
      </c>
      <c r="AV89" t="s">
        <v>444</v>
      </c>
      <c r="AW89" t="s">
        <v>69</v>
      </c>
      <c r="AX89" t="s">
        <v>468</v>
      </c>
      <c r="AY89" t="s">
        <v>469</v>
      </c>
      <c r="AZ89" t="s">
        <v>243</v>
      </c>
      <c r="BA89" t="s">
        <v>245</v>
      </c>
      <c r="BB89" t="s">
        <v>245</v>
      </c>
      <c r="BC89" t="s">
        <v>244</v>
      </c>
      <c r="BD89" t="s">
        <v>472</v>
      </c>
      <c r="BE89" t="s">
        <v>471</v>
      </c>
      <c r="BF89" t="s">
        <v>240</v>
      </c>
      <c r="BG89" t="s">
        <v>87</v>
      </c>
      <c r="BH89" t="str">
        <f>IF(COUNTIF(工作表1!A:A, $C89)&gt;0, "預購款", "非預購款")</f>
        <v>非預購款</v>
      </c>
    </row>
    <row r="90" spans="1:60" x14ac:dyDescent="0.25">
      <c r="A90" t="s">
        <v>473</v>
      </c>
      <c r="B90" t="s">
        <v>474</v>
      </c>
      <c r="C90" t="s">
        <v>475</v>
      </c>
      <c r="D90" t="s">
        <v>476</v>
      </c>
      <c r="E90" t="s">
        <v>477</v>
      </c>
      <c r="F90" t="s">
        <v>377</v>
      </c>
      <c r="G90" t="s">
        <v>478</v>
      </c>
      <c r="H90" t="s">
        <v>119</v>
      </c>
      <c r="I90" t="s">
        <v>214</v>
      </c>
      <c r="J90" t="s">
        <v>215</v>
      </c>
      <c r="K90" t="s">
        <v>69</v>
      </c>
      <c r="L90" t="s">
        <v>479</v>
      </c>
      <c r="M90" t="s">
        <v>71</v>
      </c>
      <c r="N90" t="s">
        <v>72</v>
      </c>
      <c r="O90" t="s">
        <v>73</v>
      </c>
      <c r="P90" t="s">
        <v>74</v>
      </c>
      <c r="R90" t="s">
        <v>381</v>
      </c>
      <c r="S90" t="s">
        <v>382</v>
      </c>
      <c r="T90" t="s">
        <v>291</v>
      </c>
      <c r="U90" t="s">
        <v>150</v>
      </c>
      <c r="V90" t="s">
        <v>307</v>
      </c>
      <c r="W90">
        <v>890</v>
      </c>
      <c r="X90">
        <v>39.99</v>
      </c>
      <c r="Y90">
        <v>115</v>
      </c>
      <c r="Z90">
        <v>639000</v>
      </c>
      <c r="AA90">
        <v>115700</v>
      </c>
      <c r="AB90">
        <v>590</v>
      </c>
      <c r="AD90" t="s">
        <v>238</v>
      </c>
      <c r="AE90">
        <v>1</v>
      </c>
      <c r="AF90">
        <v>0</v>
      </c>
      <c r="AI90">
        <v>20</v>
      </c>
      <c r="AJ90">
        <v>60</v>
      </c>
      <c r="AK90">
        <v>80</v>
      </c>
      <c r="AL90">
        <v>130</v>
      </c>
      <c r="AM90">
        <v>86</v>
      </c>
      <c r="AN90">
        <v>0</v>
      </c>
      <c r="AO90">
        <v>86</v>
      </c>
      <c r="AP90" t="s">
        <v>80</v>
      </c>
      <c r="AQ90" t="s">
        <v>480</v>
      </c>
      <c r="AR90" t="s">
        <v>86</v>
      </c>
      <c r="AS90" t="s">
        <v>86</v>
      </c>
      <c r="AT90" t="s">
        <v>86</v>
      </c>
      <c r="AU90" t="s">
        <v>86</v>
      </c>
      <c r="AV90" t="s">
        <v>481</v>
      </c>
      <c r="AW90" t="s">
        <v>69</v>
      </c>
      <c r="AX90" t="s">
        <v>482</v>
      </c>
      <c r="AY90" t="s">
        <v>483</v>
      </c>
      <c r="AZ90" t="s">
        <v>243</v>
      </c>
      <c r="BA90" t="s">
        <v>243</v>
      </c>
      <c r="BB90" t="s">
        <v>310</v>
      </c>
      <c r="BC90" t="s">
        <v>244</v>
      </c>
      <c r="BD90" t="s">
        <v>484</v>
      </c>
      <c r="BE90" t="s">
        <v>485</v>
      </c>
      <c r="BF90" t="s">
        <v>291</v>
      </c>
      <c r="BG90" t="s">
        <v>87</v>
      </c>
      <c r="BH90" t="str">
        <f>IF(COUNTIF(工作表1!A:A, $C90)&gt;0, "預購款", "非預購款")</f>
        <v>非預購款</v>
      </c>
    </row>
    <row r="91" spans="1:60" x14ac:dyDescent="0.25">
      <c r="A91" t="s">
        <v>473</v>
      </c>
      <c r="B91" t="s">
        <v>474</v>
      </c>
      <c r="C91" t="s">
        <v>475</v>
      </c>
      <c r="D91" t="s">
        <v>476</v>
      </c>
      <c r="E91" t="s">
        <v>477</v>
      </c>
      <c r="F91" t="s">
        <v>377</v>
      </c>
      <c r="G91" t="s">
        <v>478</v>
      </c>
      <c r="H91" t="s">
        <v>130</v>
      </c>
      <c r="I91" t="s">
        <v>214</v>
      </c>
      <c r="J91" t="s">
        <v>215</v>
      </c>
      <c r="K91" t="s">
        <v>69</v>
      </c>
      <c r="L91" t="s">
        <v>479</v>
      </c>
      <c r="M91" t="s">
        <v>71</v>
      </c>
      <c r="N91" t="s">
        <v>72</v>
      </c>
      <c r="O91" t="s">
        <v>73</v>
      </c>
      <c r="P91" t="s">
        <v>74</v>
      </c>
      <c r="R91" t="s">
        <v>381</v>
      </c>
      <c r="S91" t="s">
        <v>382</v>
      </c>
      <c r="T91" t="s">
        <v>291</v>
      </c>
      <c r="U91" t="s">
        <v>150</v>
      </c>
      <c r="V91" t="s">
        <v>307</v>
      </c>
      <c r="W91">
        <v>890</v>
      </c>
      <c r="X91">
        <v>39.99</v>
      </c>
      <c r="Y91">
        <v>115</v>
      </c>
      <c r="Z91">
        <v>639000</v>
      </c>
      <c r="AA91">
        <v>115700</v>
      </c>
      <c r="AB91">
        <v>590</v>
      </c>
      <c r="AD91" t="s">
        <v>238</v>
      </c>
      <c r="AE91">
        <v>1</v>
      </c>
      <c r="AF91">
        <v>0</v>
      </c>
      <c r="AI91">
        <v>10</v>
      </c>
      <c r="AJ91">
        <v>40</v>
      </c>
      <c r="AK91">
        <v>50</v>
      </c>
      <c r="AL91">
        <v>130</v>
      </c>
      <c r="AM91">
        <v>51</v>
      </c>
      <c r="AN91">
        <v>0</v>
      </c>
      <c r="AO91">
        <v>51</v>
      </c>
      <c r="AP91" t="s">
        <v>80</v>
      </c>
      <c r="AQ91" t="s">
        <v>480</v>
      </c>
      <c r="AR91" t="s">
        <v>86</v>
      </c>
      <c r="AS91" t="s">
        <v>86</v>
      </c>
      <c r="AT91" t="s">
        <v>86</v>
      </c>
      <c r="AU91" t="s">
        <v>86</v>
      </c>
      <c r="AV91" t="s">
        <v>481</v>
      </c>
      <c r="AW91" t="s">
        <v>69</v>
      </c>
      <c r="AX91" t="s">
        <v>482</v>
      </c>
      <c r="AY91" t="s">
        <v>483</v>
      </c>
      <c r="AZ91" t="s">
        <v>243</v>
      </c>
      <c r="BA91" t="s">
        <v>243</v>
      </c>
      <c r="BB91" t="s">
        <v>310</v>
      </c>
      <c r="BC91" t="s">
        <v>244</v>
      </c>
      <c r="BD91" t="s">
        <v>486</v>
      </c>
      <c r="BE91" t="s">
        <v>485</v>
      </c>
      <c r="BF91" t="s">
        <v>291</v>
      </c>
      <c r="BG91" t="s">
        <v>87</v>
      </c>
      <c r="BH91" t="str">
        <f>IF(COUNTIF(工作表1!A:A, $C91)&gt;0, "預購款", "非預購款")</f>
        <v>非預購款</v>
      </c>
    </row>
    <row r="92" spans="1:60" x14ac:dyDescent="0.25">
      <c r="A92" t="s">
        <v>487</v>
      </c>
      <c r="B92" t="s">
        <v>488</v>
      </c>
      <c r="C92" t="s">
        <v>489</v>
      </c>
      <c r="D92" t="s">
        <v>490</v>
      </c>
      <c r="E92" t="s">
        <v>491</v>
      </c>
      <c r="F92" t="s">
        <v>64</v>
      </c>
      <c r="G92" t="s">
        <v>492</v>
      </c>
      <c r="H92" t="s">
        <v>119</v>
      </c>
      <c r="I92" t="s">
        <v>120</v>
      </c>
      <c r="J92" t="s">
        <v>121</v>
      </c>
      <c r="K92" t="s">
        <v>69</v>
      </c>
      <c r="L92" t="s">
        <v>493</v>
      </c>
      <c r="M92" t="s">
        <v>71</v>
      </c>
      <c r="N92" t="s">
        <v>72</v>
      </c>
      <c r="O92" t="s">
        <v>233</v>
      </c>
      <c r="P92" t="s">
        <v>234</v>
      </c>
      <c r="R92" t="s">
        <v>235</v>
      </c>
      <c r="S92" t="s">
        <v>75</v>
      </c>
      <c r="T92" t="s">
        <v>258</v>
      </c>
      <c r="U92" t="s">
        <v>104</v>
      </c>
      <c r="V92" t="s">
        <v>237</v>
      </c>
      <c r="W92">
        <v>490</v>
      </c>
      <c r="X92">
        <v>22.99</v>
      </c>
      <c r="Y92">
        <v>60</v>
      </c>
      <c r="Z92">
        <v>355000</v>
      </c>
      <c r="AA92">
        <v>107800</v>
      </c>
      <c r="AB92">
        <v>190</v>
      </c>
      <c r="AD92" t="s">
        <v>238</v>
      </c>
      <c r="AE92">
        <v>1</v>
      </c>
      <c r="AF92">
        <v>0</v>
      </c>
      <c r="AI92">
        <v>20</v>
      </c>
      <c r="AJ92">
        <v>50</v>
      </c>
      <c r="AK92">
        <v>70</v>
      </c>
      <c r="AL92">
        <v>220</v>
      </c>
      <c r="AM92">
        <v>74</v>
      </c>
      <c r="AN92">
        <v>0</v>
      </c>
      <c r="AO92">
        <v>74</v>
      </c>
      <c r="AP92" t="s">
        <v>80</v>
      </c>
      <c r="AQ92" t="s">
        <v>480</v>
      </c>
      <c r="AR92" t="s">
        <v>86</v>
      </c>
      <c r="AS92" t="s">
        <v>86</v>
      </c>
      <c r="AT92" t="s">
        <v>86</v>
      </c>
      <c r="AU92" t="s">
        <v>240</v>
      </c>
      <c r="AV92" t="s">
        <v>494</v>
      </c>
      <c r="AW92" t="s">
        <v>69</v>
      </c>
      <c r="AX92" t="s">
        <v>495</v>
      </c>
      <c r="AY92" t="s">
        <v>496</v>
      </c>
      <c r="AZ92" t="s">
        <v>243</v>
      </c>
      <c r="BA92" t="s">
        <v>244</v>
      </c>
      <c r="BB92" t="s">
        <v>244</v>
      </c>
      <c r="BC92" t="s">
        <v>264</v>
      </c>
      <c r="BD92" t="s">
        <v>497</v>
      </c>
      <c r="BE92" t="s">
        <v>498</v>
      </c>
      <c r="BF92" t="s">
        <v>240</v>
      </c>
      <c r="BG92" t="s">
        <v>150</v>
      </c>
      <c r="BH92" t="str">
        <f>IF(COUNTIF(工作表1!A:A, $C92)&gt;0, "預購款", "非預購款")</f>
        <v>非預購款</v>
      </c>
    </row>
    <row r="93" spans="1:60" x14ac:dyDescent="0.25">
      <c r="A93" t="s">
        <v>487</v>
      </c>
      <c r="B93" t="s">
        <v>488</v>
      </c>
      <c r="C93" t="s">
        <v>489</v>
      </c>
      <c r="D93" t="s">
        <v>490</v>
      </c>
      <c r="E93" t="s">
        <v>491</v>
      </c>
      <c r="F93" t="s">
        <v>64</v>
      </c>
      <c r="G93" t="s">
        <v>492</v>
      </c>
      <c r="H93" t="s">
        <v>130</v>
      </c>
      <c r="I93" t="s">
        <v>120</v>
      </c>
      <c r="J93" t="s">
        <v>121</v>
      </c>
      <c r="K93" t="s">
        <v>69</v>
      </c>
      <c r="L93" t="s">
        <v>493</v>
      </c>
      <c r="M93" t="s">
        <v>71</v>
      </c>
      <c r="N93" t="s">
        <v>72</v>
      </c>
      <c r="O93" t="s">
        <v>233</v>
      </c>
      <c r="P93" t="s">
        <v>234</v>
      </c>
      <c r="R93" t="s">
        <v>235</v>
      </c>
      <c r="S93" t="s">
        <v>75</v>
      </c>
      <c r="T93" t="s">
        <v>258</v>
      </c>
      <c r="U93" t="s">
        <v>104</v>
      </c>
      <c r="V93" t="s">
        <v>237</v>
      </c>
      <c r="W93">
        <v>490</v>
      </c>
      <c r="X93">
        <v>22.99</v>
      </c>
      <c r="Y93">
        <v>60</v>
      </c>
      <c r="Z93">
        <v>355000</v>
      </c>
      <c r="AA93">
        <v>107800</v>
      </c>
      <c r="AB93">
        <v>190</v>
      </c>
      <c r="AD93" t="s">
        <v>238</v>
      </c>
      <c r="AE93">
        <v>1</v>
      </c>
      <c r="AF93">
        <v>0</v>
      </c>
      <c r="AI93">
        <v>40</v>
      </c>
      <c r="AJ93">
        <v>50</v>
      </c>
      <c r="AK93">
        <v>90</v>
      </c>
      <c r="AL93">
        <v>220</v>
      </c>
      <c r="AM93">
        <v>94</v>
      </c>
      <c r="AN93">
        <v>0</v>
      </c>
      <c r="AO93">
        <v>94</v>
      </c>
      <c r="AP93" t="s">
        <v>80</v>
      </c>
      <c r="AQ93" t="s">
        <v>480</v>
      </c>
      <c r="AR93" t="s">
        <v>86</v>
      </c>
      <c r="AS93" t="s">
        <v>86</v>
      </c>
      <c r="AT93" t="s">
        <v>86</v>
      </c>
      <c r="AU93" t="s">
        <v>240</v>
      </c>
      <c r="AV93" t="s">
        <v>494</v>
      </c>
      <c r="AW93" t="s">
        <v>69</v>
      </c>
      <c r="AX93" t="s">
        <v>495</v>
      </c>
      <c r="AY93" t="s">
        <v>496</v>
      </c>
      <c r="AZ93" t="s">
        <v>243</v>
      </c>
      <c r="BA93" t="s">
        <v>244</v>
      </c>
      <c r="BB93" t="s">
        <v>244</v>
      </c>
      <c r="BC93" t="s">
        <v>264</v>
      </c>
      <c r="BD93" t="s">
        <v>499</v>
      </c>
      <c r="BE93" t="s">
        <v>498</v>
      </c>
      <c r="BF93" t="s">
        <v>240</v>
      </c>
      <c r="BG93" t="s">
        <v>150</v>
      </c>
      <c r="BH93" t="str">
        <f>IF(COUNTIF(工作表1!A:A, $C93)&gt;0, "預購款", "非預購款")</f>
        <v>非預購款</v>
      </c>
    </row>
    <row r="94" spans="1:60" x14ac:dyDescent="0.25">
      <c r="A94" t="s">
        <v>487</v>
      </c>
      <c r="B94" t="s">
        <v>488</v>
      </c>
      <c r="C94" t="s">
        <v>489</v>
      </c>
      <c r="D94" t="s">
        <v>490</v>
      </c>
      <c r="E94" t="s">
        <v>491</v>
      </c>
      <c r="F94" t="s">
        <v>64</v>
      </c>
      <c r="G94" t="s">
        <v>492</v>
      </c>
      <c r="H94" t="s">
        <v>132</v>
      </c>
      <c r="I94" t="s">
        <v>120</v>
      </c>
      <c r="J94" t="s">
        <v>121</v>
      </c>
      <c r="K94" t="s">
        <v>69</v>
      </c>
      <c r="L94" t="s">
        <v>493</v>
      </c>
      <c r="M94" t="s">
        <v>71</v>
      </c>
      <c r="N94" t="s">
        <v>72</v>
      </c>
      <c r="O94" t="s">
        <v>233</v>
      </c>
      <c r="P94" t="s">
        <v>234</v>
      </c>
      <c r="R94" t="s">
        <v>235</v>
      </c>
      <c r="S94" t="s">
        <v>75</v>
      </c>
      <c r="T94" t="s">
        <v>258</v>
      </c>
      <c r="U94" t="s">
        <v>104</v>
      </c>
      <c r="V94" t="s">
        <v>237</v>
      </c>
      <c r="W94">
        <v>490</v>
      </c>
      <c r="X94">
        <v>22.99</v>
      </c>
      <c r="Y94">
        <v>60</v>
      </c>
      <c r="Z94">
        <v>355000</v>
      </c>
      <c r="AA94">
        <v>107800</v>
      </c>
      <c r="AB94">
        <v>190</v>
      </c>
      <c r="AD94" t="s">
        <v>238</v>
      </c>
      <c r="AE94">
        <v>1</v>
      </c>
      <c r="AF94">
        <v>0</v>
      </c>
      <c r="AI94">
        <v>30</v>
      </c>
      <c r="AJ94">
        <v>30</v>
      </c>
      <c r="AK94">
        <v>60</v>
      </c>
      <c r="AL94">
        <v>220</v>
      </c>
      <c r="AM94">
        <v>64</v>
      </c>
      <c r="AN94">
        <v>0</v>
      </c>
      <c r="AO94">
        <v>64</v>
      </c>
      <c r="AP94" t="s">
        <v>80</v>
      </c>
      <c r="AQ94" t="s">
        <v>480</v>
      </c>
      <c r="AR94" t="s">
        <v>86</v>
      </c>
      <c r="AS94" t="s">
        <v>86</v>
      </c>
      <c r="AT94" t="s">
        <v>86</v>
      </c>
      <c r="AU94" t="s">
        <v>240</v>
      </c>
      <c r="AV94" t="s">
        <v>494</v>
      </c>
      <c r="AW94" t="s">
        <v>69</v>
      </c>
      <c r="AX94" t="s">
        <v>495</v>
      </c>
      <c r="AY94" t="s">
        <v>496</v>
      </c>
      <c r="AZ94" t="s">
        <v>243</v>
      </c>
      <c r="BA94" t="s">
        <v>244</v>
      </c>
      <c r="BB94" t="s">
        <v>244</v>
      </c>
      <c r="BC94" t="s">
        <v>264</v>
      </c>
      <c r="BD94" t="s">
        <v>500</v>
      </c>
      <c r="BE94" t="s">
        <v>498</v>
      </c>
      <c r="BF94" t="s">
        <v>240</v>
      </c>
      <c r="BG94" t="s">
        <v>150</v>
      </c>
      <c r="BH94" t="str">
        <f>IF(COUNTIF(工作表1!A:A, $C94)&gt;0, "預購款", "非預購款")</f>
        <v>非預購款</v>
      </c>
    </row>
    <row r="95" spans="1:60" x14ac:dyDescent="0.25">
      <c r="A95" t="s">
        <v>396</v>
      </c>
      <c r="B95" t="s">
        <v>226</v>
      </c>
      <c r="C95" t="s">
        <v>397</v>
      </c>
      <c r="D95" t="s">
        <v>398</v>
      </c>
      <c r="E95" t="s">
        <v>399</v>
      </c>
      <c r="F95" t="s">
        <v>503</v>
      </c>
      <c r="G95" t="s">
        <v>400</v>
      </c>
      <c r="H95" t="s">
        <v>379</v>
      </c>
      <c r="I95" t="s">
        <v>120</v>
      </c>
      <c r="J95" t="s">
        <v>121</v>
      </c>
      <c r="K95" t="s">
        <v>69</v>
      </c>
      <c r="L95" t="s">
        <v>401</v>
      </c>
      <c r="M95" t="s">
        <v>71</v>
      </c>
      <c r="N95" t="s">
        <v>72</v>
      </c>
      <c r="O95" t="s">
        <v>73</v>
      </c>
      <c r="P95" t="s">
        <v>74</v>
      </c>
      <c r="R95" t="s">
        <v>381</v>
      </c>
      <c r="S95" t="s">
        <v>504</v>
      </c>
      <c r="T95" t="s">
        <v>76</v>
      </c>
      <c r="U95" t="s">
        <v>383</v>
      </c>
      <c r="V95" t="s">
        <v>384</v>
      </c>
      <c r="W95">
        <v>890</v>
      </c>
      <c r="X95">
        <v>39.99</v>
      </c>
      <c r="Y95">
        <v>115</v>
      </c>
      <c r="Z95">
        <v>639000</v>
      </c>
      <c r="AA95">
        <v>400500</v>
      </c>
      <c r="AB95">
        <v>528</v>
      </c>
      <c r="AD95" t="s">
        <v>238</v>
      </c>
      <c r="AE95">
        <v>2</v>
      </c>
      <c r="AF95">
        <v>0</v>
      </c>
      <c r="AI95">
        <v>10</v>
      </c>
      <c r="AJ95">
        <v>15</v>
      </c>
      <c r="AK95">
        <v>25</v>
      </c>
      <c r="AL95">
        <v>450</v>
      </c>
      <c r="AM95">
        <v>24</v>
      </c>
      <c r="AN95">
        <v>0</v>
      </c>
      <c r="AO95">
        <v>24</v>
      </c>
      <c r="AP95" t="s">
        <v>80</v>
      </c>
      <c r="AQ95" t="s">
        <v>105</v>
      </c>
      <c r="AR95" t="s">
        <v>86</v>
      </c>
      <c r="AS95" t="s">
        <v>86</v>
      </c>
      <c r="AT95" t="s">
        <v>240</v>
      </c>
      <c r="AU95" t="s">
        <v>86</v>
      </c>
      <c r="AV95" t="s">
        <v>386</v>
      </c>
      <c r="AW95" t="s">
        <v>80</v>
      </c>
      <c r="AX95" t="s">
        <v>387</v>
      </c>
      <c r="AY95" t="s">
        <v>402</v>
      </c>
      <c r="AZ95" t="s">
        <v>243</v>
      </c>
      <c r="BA95" t="s">
        <v>243</v>
      </c>
      <c r="BB95" t="s">
        <v>245</v>
      </c>
      <c r="BC95" t="s">
        <v>244</v>
      </c>
      <c r="BD95" t="s">
        <v>403</v>
      </c>
      <c r="BE95" t="s">
        <v>505</v>
      </c>
      <c r="BF95" t="s">
        <v>86</v>
      </c>
      <c r="BG95" t="s">
        <v>150</v>
      </c>
      <c r="BH95" t="str">
        <f>IF(COUNTIF(工作表1!A:A, $C95)&gt;0, "預購款", "非預購款")</f>
        <v>非預購款</v>
      </c>
    </row>
    <row r="96" spans="1:60" x14ac:dyDescent="0.25">
      <c r="A96" t="s">
        <v>396</v>
      </c>
      <c r="B96" t="s">
        <v>226</v>
      </c>
      <c r="C96" t="s">
        <v>397</v>
      </c>
      <c r="D96" t="s">
        <v>398</v>
      </c>
      <c r="E96" t="s">
        <v>399</v>
      </c>
      <c r="F96" t="s">
        <v>503</v>
      </c>
      <c r="G96" t="s">
        <v>400</v>
      </c>
      <c r="H96" t="s">
        <v>119</v>
      </c>
      <c r="I96" t="s">
        <v>120</v>
      </c>
      <c r="J96" t="s">
        <v>121</v>
      </c>
      <c r="K96" t="s">
        <v>69</v>
      </c>
      <c r="L96" t="s">
        <v>401</v>
      </c>
      <c r="M96" t="s">
        <v>71</v>
      </c>
      <c r="N96" t="s">
        <v>72</v>
      </c>
      <c r="O96" t="s">
        <v>73</v>
      </c>
      <c r="P96" t="s">
        <v>74</v>
      </c>
      <c r="R96" t="s">
        <v>381</v>
      </c>
      <c r="S96" t="s">
        <v>504</v>
      </c>
      <c r="T96" t="s">
        <v>76</v>
      </c>
      <c r="U96" t="s">
        <v>383</v>
      </c>
      <c r="V96" t="s">
        <v>384</v>
      </c>
      <c r="W96">
        <v>890</v>
      </c>
      <c r="X96">
        <v>39.99</v>
      </c>
      <c r="Y96">
        <v>115</v>
      </c>
      <c r="Z96">
        <v>639000</v>
      </c>
      <c r="AA96">
        <v>400500</v>
      </c>
      <c r="AB96">
        <v>528</v>
      </c>
      <c r="AD96" t="s">
        <v>238</v>
      </c>
      <c r="AE96">
        <v>2</v>
      </c>
      <c r="AF96">
        <v>0</v>
      </c>
      <c r="AI96">
        <v>20</v>
      </c>
      <c r="AJ96">
        <v>30</v>
      </c>
      <c r="AK96">
        <v>50</v>
      </c>
      <c r="AL96">
        <v>450</v>
      </c>
      <c r="AM96">
        <v>49</v>
      </c>
      <c r="AN96">
        <v>0</v>
      </c>
      <c r="AO96">
        <v>49</v>
      </c>
      <c r="AP96" t="s">
        <v>80</v>
      </c>
      <c r="AQ96" t="s">
        <v>105</v>
      </c>
      <c r="AR96" t="s">
        <v>86</v>
      </c>
      <c r="AS96" t="s">
        <v>86</v>
      </c>
      <c r="AT96" t="s">
        <v>240</v>
      </c>
      <c r="AU96" t="s">
        <v>86</v>
      </c>
      <c r="AV96" t="s">
        <v>386</v>
      </c>
      <c r="AW96" t="s">
        <v>80</v>
      </c>
      <c r="AX96" t="s">
        <v>387</v>
      </c>
      <c r="AY96" t="s">
        <v>402</v>
      </c>
      <c r="AZ96" t="s">
        <v>243</v>
      </c>
      <c r="BA96" t="s">
        <v>243</v>
      </c>
      <c r="BB96" t="s">
        <v>245</v>
      </c>
      <c r="BC96" t="s">
        <v>244</v>
      </c>
      <c r="BD96" t="s">
        <v>405</v>
      </c>
      <c r="BE96" t="s">
        <v>505</v>
      </c>
      <c r="BF96" t="s">
        <v>86</v>
      </c>
      <c r="BG96" t="s">
        <v>150</v>
      </c>
      <c r="BH96" t="str">
        <f>IF(COUNTIF(工作表1!A:A, $C96)&gt;0, "預購款", "非預購款")</f>
        <v>非預購款</v>
      </c>
    </row>
    <row r="97" spans="1:60" x14ac:dyDescent="0.25">
      <c r="A97" t="s">
        <v>396</v>
      </c>
      <c r="B97" t="s">
        <v>226</v>
      </c>
      <c r="C97" t="s">
        <v>397</v>
      </c>
      <c r="D97" t="s">
        <v>398</v>
      </c>
      <c r="E97" t="s">
        <v>399</v>
      </c>
      <c r="F97" t="s">
        <v>503</v>
      </c>
      <c r="G97" t="s">
        <v>400</v>
      </c>
      <c r="H97" t="s">
        <v>392</v>
      </c>
      <c r="I97" t="s">
        <v>120</v>
      </c>
      <c r="J97" t="s">
        <v>121</v>
      </c>
      <c r="K97" t="s">
        <v>69</v>
      </c>
      <c r="L97" t="s">
        <v>401</v>
      </c>
      <c r="M97" t="s">
        <v>71</v>
      </c>
      <c r="N97" t="s">
        <v>72</v>
      </c>
      <c r="O97" t="s">
        <v>73</v>
      </c>
      <c r="P97" t="s">
        <v>74</v>
      </c>
      <c r="R97" t="s">
        <v>381</v>
      </c>
      <c r="S97" t="s">
        <v>504</v>
      </c>
      <c r="T97" t="s">
        <v>76</v>
      </c>
      <c r="U97" t="s">
        <v>383</v>
      </c>
      <c r="V97" t="s">
        <v>384</v>
      </c>
      <c r="W97">
        <v>890</v>
      </c>
      <c r="X97">
        <v>39.99</v>
      </c>
      <c r="Y97">
        <v>115</v>
      </c>
      <c r="Z97">
        <v>639000</v>
      </c>
      <c r="AA97">
        <v>400500</v>
      </c>
      <c r="AB97">
        <v>528</v>
      </c>
      <c r="AD97" t="s">
        <v>238</v>
      </c>
      <c r="AE97">
        <v>2</v>
      </c>
      <c r="AF97">
        <v>0</v>
      </c>
      <c r="AI97">
        <v>15</v>
      </c>
      <c r="AJ97">
        <v>15</v>
      </c>
      <c r="AK97">
        <v>30</v>
      </c>
      <c r="AL97">
        <v>450</v>
      </c>
      <c r="AM97">
        <v>29</v>
      </c>
      <c r="AN97">
        <v>0</v>
      </c>
      <c r="AO97">
        <v>29</v>
      </c>
      <c r="AP97" t="s">
        <v>80</v>
      </c>
      <c r="AQ97" t="s">
        <v>105</v>
      </c>
      <c r="AR97" t="s">
        <v>86</v>
      </c>
      <c r="AS97" t="s">
        <v>86</v>
      </c>
      <c r="AT97" t="s">
        <v>240</v>
      </c>
      <c r="AU97" t="s">
        <v>86</v>
      </c>
      <c r="AV97" t="s">
        <v>386</v>
      </c>
      <c r="AW97" t="s">
        <v>80</v>
      </c>
      <c r="AX97" t="s">
        <v>387</v>
      </c>
      <c r="AY97" t="s">
        <v>402</v>
      </c>
      <c r="AZ97" t="s">
        <v>243</v>
      </c>
      <c r="BA97" t="s">
        <v>243</v>
      </c>
      <c r="BB97" t="s">
        <v>245</v>
      </c>
      <c r="BC97" t="s">
        <v>244</v>
      </c>
      <c r="BD97" t="s">
        <v>406</v>
      </c>
      <c r="BE97" t="s">
        <v>505</v>
      </c>
      <c r="BF97" t="s">
        <v>86</v>
      </c>
      <c r="BG97" t="s">
        <v>150</v>
      </c>
      <c r="BH97" t="str">
        <f>IF(COUNTIF(工作表1!A:A, $C97)&gt;0, "預購款", "非預購款")</f>
        <v>非預購款</v>
      </c>
    </row>
    <row r="98" spans="1:60" x14ac:dyDescent="0.25">
      <c r="A98" t="s">
        <v>396</v>
      </c>
      <c r="B98" t="s">
        <v>226</v>
      </c>
      <c r="C98" t="s">
        <v>397</v>
      </c>
      <c r="D98" t="s">
        <v>398</v>
      </c>
      <c r="E98" t="s">
        <v>399</v>
      </c>
      <c r="F98" t="s">
        <v>503</v>
      </c>
      <c r="G98" t="s">
        <v>400</v>
      </c>
      <c r="H98" t="s">
        <v>130</v>
      </c>
      <c r="I98" t="s">
        <v>120</v>
      </c>
      <c r="J98" t="s">
        <v>121</v>
      </c>
      <c r="K98" t="s">
        <v>69</v>
      </c>
      <c r="L98" t="s">
        <v>401</v>
      </c>
      <c r="M98" t="s">
        <v>71</v>
      </c>
      <c r="N98" t="s">
        <v>72</v>
      </c>
      <c r="O98" t="s">
        <v>73</v>
      </c>
      <c r="P98" t="s">
        <v>74</v>
      </c>
      <c r="R98" t="s">
        <v>381</v>
      </c>
      <c r="S98" t="s">
        <v>504</v>
      </c>
      <c r="T98" t="s">
        <v>76</v>
      </c>
      <c r="U98" t="s">
        <v>383</v>
      </c>
      <c r="V98" t="s">
        <v>384</v>
      </c>
      <c r="W98">
        <v>890</v>
      </c>
      <c r="X98">
        <v>39.99</v>
      </c>
      <c r="Y98">
        <v>115</v>
      </c>
      <c r="Z98">
        <v>639000</v>
      </c>
      <c r="AA98">
        <v>400500</v>
      </c>
      <c r="AB98">
        <v>528</v>
      </c>
      <c r="AD98" t="s">
        <v>238</v>
      </c>
      <c r="AE98">
        <v>2</v>
      </c>
      <c r="AF98">
        <v>0</v>
      </c>
      <c r="AI98">
        <v>15</v>
      </c>
      <c r="AJ98">
        <v>20</v>
      </c>
      <c r="AK98">
        <v>35</v>
      </c>
      <c r="AL98">
        <v>450</v>
      </c>
      <c r="AM98">
        <v>36</v>
      </c>
      <c r="AN98">
        <v>0</v>
      </c>
      <c r="AO98">
        <v>36</v>
      </c>
      <c r="AP98" t="s">
        <v>80</v>
      </c>
      <c r="AQ98" t="s">
        <v>105</v>
      </c>
      <c r="AR98" t="s">
        <v>86</v>
      </c>
      <c r="AS98" t="s">
        <v>86</v>
      </c>
      <c r="AT98" t="s">
        <v>240</v>
      </c>
      <c r="AU98" t="s">
        <v>86</v>
      </c>
      <c r="AV98" t="s">
        <v>386</v>
      </c>
      <c r="AW98" t="s">
        <v>80</v>
      </c>
      <c r="AX98" t="s">
        <v>387</v>
      </c>
      <c r="AY98" t="s">
        <v>402</v>
      </c>
      <c r="AZ98" t="s">
        <v>243</v>
      </c>
      <c r="BA98" t="s">
        <v>243</v>
      </c>
      <c r="BB98" t="s">
        <v>245</v>
      </c>
      <c r="BC98" t="s">
        <v>244</v>
      </c>
      <c r="BD98" t="s">
        <v>407</v>
      </c>
      <c r="BE98" t="s">
        <v>505</v>
      </c>
      <c r="BF98" t="s">
        <v>86</v>
      </c>
      <c r="BG98" t="s">
        <v>150</v>
      </c>
      <c r="BH98" t="str">
        <f>IF(COUNTIF(工作表1!A:A, $C98)&gt;0, "預購款", "非預購款")</f>
        <v>非預購款</v>
      </c>
    </row>
    <row r="99" spans="1:60" x14ac:dyDescent="0.25">
      <c r="A99" t="s">
        <v>396</v>
      </c>
      <c r="B99" t="s">
        <v>226</v>
      </c>
      <c r="C99" t="s">
        <v>397</v>
      </c>
      <c r="D99" t="s">
        <v>398</v>
      </c>
      <c r="E99" t="s">
        <v>399</v>
      </c>
      <c r="F99" t="s">
        <v>503</v>
      </c>
      <c r="G99" t="s">
        <v>400</v>
      </c>
      <c r="H99" t="s">
        <v>132</v>
      </c>
      <c r="I99" t="s">
        <v>120</v>
      </c>
      <c r="J99" t="s">
        <v>121</v>
      </c>
      <c r="K99" t="s">
        <v>69</v>
      </c>
      <c r="L99" t="s">
        <v>401</v>
      </c>
      <c r="M99" t="s">
        <v>71</v>
      </c>
      <c r="N99" t="s">
        <v>72</v>
      </c>
      <c r="O99" t="s">
        <v>73</v>
      </c>
      <c r="P99" t="s">
        <v>74</v>
      </c>
      <c r="R99" t="s">
        <v>381</v>
      </c>
      <c r="S99" t="s">
        <v>504</v>
      </c>
      <c r="T99" t="s">
        <v>76</v>
      </c>
      <c r="U99" t="s">
        <v>383</v>
      </c>
      <c r="V99" t="s">
        <v>384</v>
      </c>
      <c r="W99">
        <v>890</v>
      </c>
      <c r="X99">
        <v>39.99</v>
      </c>
      <c r="Y99">
        <v>115</v>
      </c>
      <c r="Z99">
        <v>639000</v>
      </c>
      <c r="AA99">
        <v>400500</v>
      </c>
      <c r="AB99">
        <v>528</v>
      </c>
      <c r="AD99" t="s">
        <v>238</v>
      </c>
      <c r="AE99">
        <v>2</v>
      </c>
      <c r="AF99">
        <v>0</v>
      </c>
      <c r="AI99">
        <v>20</v>
      </c>
      <c r="AJ99">
        <v>20</v>
      </c>
      <c r="AK99">
        <v>40</v>
      </c>
      <c r="AL99">
        <v>450</v>
      </c>
      <c r="AM99">
        <v>39</v>
      </c>
      <c r="AN99">
        <v>0</v>
      </c>
      <c r="AO99">
        <v>39</v>
      </c>
      <c r="AP99" t="s">
        <v>80</v>
      </c>
      <c r="AQ99" t="s">
        <v>105</v>
      </c>
      <c r="AR99" t="s">
        <v>86</v>
      </c>
      <c r="AS99" t="s">
        <v>86</v>
      </c>
      <c r="AT99" t="s">
        <v>240</v>
      </c>
      <c r="AU99" t="s">
        <v>86</v>
      </c>
      <c r="AV99" t="s">
        <v>386</v>
      </c>
      <c r="AW99" t="s">
        <v>80</v>
      </c>
      <c r="AX99" t="s">
        <v>387</v>
      </c>
      <c r="AY99" t="s">
        <v>402</v>
      </c>
      <c r="AZ99" t="s">
        <v>243</v>
      </c>
      <c r="BA99" t="s">
        <v>243</v>
      </c>
      <c r="BB99" t="s">
        <v>245</v>
      </c>
      <c r="BC99" t="s">
        <v>244</v>
      </c>
      <c r="BD99" t="s">
        <v>408</v>
      </c>
      <c r="BE99" t="s">
        <v>505</v>
      </c>
      <c r="BF99" t="s">
        <v>86</v>
      </c>
      <c r="BG99" t="s">
        <v>150</v>
      </c>
      <c r="BH99" t="str">
        <f>IF(COUNTIF(工作表1!A:A, $C99)&gt;0, "預購款", "非預購款")</f>
        <v>非預購款</v>
      </c>
    </row>
    <row r="100" spans="1:60" x14ac:dyDescent="0.25">
      <c r="A100" t="s">
        <v>396</v>
      </c>
      <c r="B100" t="s">
        <v>226</v>
      </c>
      <c r="C100" t="s">
        <v>397</v>
      </c>
      <c r="D100" t="s">
        <v>398</v>
      </c>
      <c r="E100" t="s">
        <v>399</v>
      </c>
      <c r="F100" t="s">
        <v>503</v>
      </c>
      <c r="G100" t="s">
        <v>400</v>
      </c>
      <c r="H100" t="s">
        <v>379</v>
      </c>
      <c r="I100" t="s">
        <v>171</v>
      </c>
      <c r="J100" t="s">
        <v>172</v>
      </c>
      <c r="K100" t="s">
        <v>69</v>
      </c>
      <c r="L100" t="s">
        <v>401</v>
      </c>
      <c r="M100" t="s">
        <v>71</v>
      </c>
      <c r="N100" t="s">
        <v>72</v>
      </c>
      <c r="O100" t="s">
        <v>73</v>
      </c>
      <c r="P100" t="s">
        <v>74</v>
      </c>
      <c r="R100" t="s">
        <v>381</v>
      </c>
      <c r="S100" t="s">
        <v>504</v>
      </c>
      <c r="T100" t="s">
        <v>76</v>
      </c>
      <c r="U100" t="s">
        <v>383</v>
      </c>
      <c r="V100" t="s">
        <v>384</v>
      </c>
      <c r="W100">
        <v>890</v>
      </c>
      <c r="X100">
        <v>39.99</v>
      </c>
      <c r="Y100">
        <v>115</v>
      </c>
      <c r="Z100">
        <v>639000</v>
      </c>
      <c r="AA100">
        <v>400500</v>
      </c>
      <c r="AB100">
        <v>528</v>
      </c>
      <c r="AD100" t="s">
        <v>238</v>
      </c>
      <c r="AE100">
        <v>2</v>
      </c>
      <c r="AF100">
        <v>0</v>
      </c>
      <c r="AI100">
        <v>15</v>
      </c>
      <c r="AJ100">
        <v>30</v>
      </c>
      <c r="AK100">
        <v>45</v>
      </c>
      <c r="AL100">
        <v>450</v>
      </c>
      <c r="AM100">
        <v>45</v>
      </c>
      <c r="AN100">
        <v>0</v>
      </c>
      <c r="AO100">
        <v>45</v>
      </c>
      <c r="AP100" t="s">
        <v>80</v>
      </c>
      <c r="AQ100" t="s">
        <v>105</v>
      </c>
      <c r="AR100" t="s">
        <v>86</v>
      </c>
      <c r="AS100" t="s">
        <v>86</v>
      </c>
      <c r="AT100" t="s">
        <v>240</v>
      </c>
      <c r="AU100" t="s">
        <v>86</v>
      </c>
      <c r="AV100" t="s">
        <v>386</v>
      </c>
      <c r="AW100" t="s">
        <v>80</v>
      </c>
      <c r="AX100" t="s">
        <v>387</v>
      </c>
      <c r="AY100" t="s">
        <v>402</v>
      </c>
      <c r="AZ100" t="s">
        <v>243</v>
      </c>
      <c r="BA100" t="s">
        <v>243</v>
      </c>
      <c r="BB100" t="s">
        <v>245</v>
      </c>
      <c r="BC100" t="s">
        <v>244</v>
      </c>
      <c r="BD100" t="s">
        <v>506</v>
      </c>
      <c r="BE100" t="s">
        <v>505</v>
      </c>
      <c r="BF100" t="s">
        <v>86</v>
      </c>
      <c r="BG100" t="s">
        <v>150</v>
      </c>
      <c r="BH100" t="str">
        <f>IF(COUNTIF(工作表1!A:A, $C100)&gt;0, "預購款", "非預購款")</f>
        <v>非預購款</v>
      </c>
    </row>
    <row r="101" spans="1:60" x14ac:dyDescent="0.25">
      <c r="A101" t="s">
        <v>396</v>
      </c>
      <c r="B101" t="s">
        <v>226</v>
      </c>
      <c r="C101" t="s">
        <v>397</v>
      </c>
      <c r="D101" t="s">
        <v>398</v>
      </c>
      <c r="E101" t="s">
        <v>399</v>
      </c>
      <c r="F101" t="s">
        <v>503</v>
      </c>
      <c r="G101" t="s">
        <v>400</v>
      </c>
      <c r="H101" t="s">
        <v>119</v>
      </c>
      <c r="I101" t="s">
        <v>171</v>
      </c>
      <c r="J101" t="s">
        <v>172</v>
      </c>
      <c r="K101" t="s">
        <v>69</v>
      </c>
      <c r="L101" t="s">
        <v>401</v>
      </c>
      <c r="M101" t="s">
        <v>71</v>
      </c>
      <c r="N101" t="s">
        <v>72</v>
      </c>
      <c r="O101" t="s">
        <v>73</v>
      </c>
      <c r="P101" t="s">
        <v>74</v>
      </c>
      <c r="R101" t="s">
        <v>381</v>
      </c>
      <c r="S101" t="s">
        <v>504</v>
      </c>
      <c r="T101" t="s">
        <v>76</v>
      </c>
      <c r="U101" t="s">
        <v>383</v>
      </c>
      <c r="V101" t="s">
        <v>384</v>
      </c>
      <c r="W101">
        <v>890</v>
      </c>
      <c r="X101">
        <v>39.99</v>
      </c>
      <c r="Y101">
        <v>115</v>
      </c>
      <c r="Z101">
        <v>639000</v>
      </c>
      <c r="AA101">
        <v>400500</v>
      </c>
      <c r="AB101">
        <v>528</v>
      </c>
      <c r="AD101" t="s">
        <v>238</v>
      </c>
      <c r="AE101">
        <v>2</v>
      </c>
      <c r="AF101">
        <v>0</v>
      </c>
      <c r="AI101">
        <v>45</v>
      </c>
      <c r="AJ101">
        <v>80</v>
      </c>
      <c r="AK101">
        <v>125</v>
      </c>
      <c r="AL101">
        <v>450</v>
      </c>
      <c r="AM101">
        <v>133</v>
      </c>
      <c r="AN101">
        <v>0</v>
      </c>
      <c r="AO101">
        <v>133</v>
      </c>
      <c r="AP101" t="s">
        <v>80</v>
      </c>
      <c r="AQ101" t="s">
        <v>105</v>
      </c>
      <c r="AR101" t="s">
        <v>86</v>
      </c>
      <c r="AS101" t="s">
        <v>86</v>
      </c>
      <c r="AT101" t="s">
        <v>240</v>
      </c>
      <c r="AU101" t="s">
        <v>86</v>
      </c>
      <c r="AV101" t="s">
        <v>386</v>
      </c>
      <c r="AW101" t="s">
        <v>80</v>
      </c>
      <c r="AX101" t="s">
        <v>387</v>
      </c>
      <c r="AY101" t="s">
        <v>402</v>
      </c>
      <c r="AZ101" t="s">
        <v>243</v>
      </c>
      <c r="BA101" t="s">
        <v>243</v>
      </c>
      <c r="BB101" t="s">
        <v>245</v>
      </c>
      <c r="BC101" t="s">
        <v>244</v>
      </c>
      <c r="BD101" t="s">
        <v>507</v>
      </c>
      <c r="BE101" t="s">
        <v>505</v>
      </c>
      <c r="BF101" t="s">
        <v>86</v>
      </c>
      <c r="BG101" t="s">
        <v>150</v>
      </c>
      <c r="BH101" t="str">
        <f>IF(COUNTIF(工作表1!A:A, $C101)&gt;0, "預購款", "非預購款")</f>
        <v>非預購款</v>
      </c>
    </row>
    <row r="102" spans="1:60" x14ac:dyDescent="0.25">
      <c r="A102" t="s">
        <v>396</v>
      </c>
      <c r="B102" t="s">
        <v>226</v>
      </c>
      <c r="C102" t="s">
        <v>397</v>
      </c>
      <c r="D102" t="s">
        <v>398</v>
      </c>
      <c r="E102" t="s">
        <v>399</v>
      </c>
      <c r="F102" t="s">
        <v>503</v>
      </c>
      <c r="G102" t="s">
        <v>400</v>
      </c>
      <c r="H102" t="s">
        <v>392</v>
      </c>
      <c r="I102" t="s">
        <v>171</v>
      </c>
      <c r="J102" t="s">
        <v>172</v>
      </c>
      <c r="K102" t="s">
        <v>69</v>
      </c>
      <c r="L102" t="s">
        <v>401</v>
      </c>
      <c r="M102" t="s">
        <v>71</v>
      </c>
      <c r="N102" t="s">
        <v>72</v>
      </c>
      <c r="O102" t="s">
        <v>73</v>
      </c>
      <c r="P102" t="s">
        <v>74</v>
      </c>
      <c r="R102" t="s">
        <v>381</v>
      </c>
      <c r="S102" t="s">
        <v>504</v>
      </c>
      <c r="T102" t="s">
        <v>76</v>
      </c>
      <c r="U102" t="s">
        <v>383</v>
      </c>
      <c r="V102" t="s">
        <v>384</v>
      </c>
      <c r="W102">
        <v>890</v>
      </c>
      <c r="X102">
        <v>39.99</v>
      </c>
      <c r="Y102">
        <v>115</v>
      </c>
      <c r="Z102">
        <v>639000</v>
      </c>
      <c r="AA102">
        <v>400500</v>
      </c>
      <c r="AB102">
        <v>528</v>
      </c>
      <c r="AD102" t="s">
        <v>238</v>
      </c>
      <c r="AE102">
        <v>2</v>
      </c>
      <c r="AF102">
        <v>0</v>
      </c>
      <c r="AI102">
        <v>20</v>
      </c>
      <c r="AJ102">
        <v>15</v>
      </c>
      <c r="AK102">
        <v>35</v>
      </c>
      <c r="AL102">
        <v>450</v>
      </c>
      <c r="AM102">
        <v>34</v>
      </c>
      <c r="AN102">
        <v>0</v>
      </c>
      <c r="AO102">
        <v>34</v>
      </c>
      <c r="AP102" t="s">
        <v>80</v>
      </c>
      <c r="AQ102" t="s">
        <v>105</v>
      </c>
      <c r="AR102" t="s">
        <v>86</v>
      </c>
      <c r="AS102" t="s">
        <v>86</v>
      </c>
      <c r="AT102" t="s">
        <v>240</v>
      </c>
      <c r="AU102" t="s">
        <v>86</v>
      </c>
      <c r="AV102" t="s">
        <v>386</v>
      </c>
      <c r="AW102" t="s">
        <v>80</v>
      </c>
      <c r="AX102" t="s">
        <v>387</v>
      </c>
      <c r="AY102" t="s">
        <v>402</v>
      </c>
      <c r="AZ102" t="s">
        <v>243</v>
      </c>
      <c r="BA102" t="s">
        <v>243</v>
      </c>
      <c r="BB102" t="s">
        <v>245</v>
      </c>
      <c r="BC102" t="s">
        <v>244</v>
      </c>
      <c r="BD102" t="s">
        <v>508</v>
      </c>
      <c r="BE102" t="s">
        <v>505</v>
      </c>
      <c r="BF102" t="s">
        <v>86</v>
      </c>
      <c r="BG102" t="s">
        <v>150</v>
      </c>
      <c r="BH102" t="str">
        <f>IF(COUNTIF(工作表1!A:A, $C102)&gt;0, "預購款", "非預購款")</f>
        <v>非預購款</v>
      </c>
    </row>
    <row r="103" spans="1:60" x14ac:dyDescent="0.25">
      <c r="A103" t="s">
        <v>396</v>
      </c>
      <c r="B103" t="s">
        <v>226</v>
      </c>
      <c r="C103" t="s">
        <v>397</v>
      </c>
      <c r="D103" t="s">
        <v>398</v>
      </c>
      <c r="E103" t="s">
        <v>399</v>
      </c>
      <c r="F103" t="s">
        <v>503</v>
      </c>
      <c r="G103" t="s">
        <v>400</v>
      </c>
      <c r="H103" t="s">
        <v>130</v>
      </c>
      <c r="I103" t="s">
        <v>171</v>
      </c>
      <c r="J103" t="s">
        <v>172</v>
      </c>
      <c r="K103" t="s">
        <v>69</v>
      </c>
      <c r="L103" t="s">
        <v>401</v>
      </c>
      <c r="M103" t="s">
        <v>71</v>
      </c>
      <c r="N103" t="s">
        <v>72</v>
      </c>
      <c r="O103" t="s">
        <v>73</v>
      </c>
      <c r="P103" t="s">
        <v>74</v>
      </c>
      <c r="R103" t="s">
        <v>381</v>
      </c>
      <c r="S103" t="s">
        <v>504</v>
      </c>
      <c r="T103" t="s">
        <v>76</v>
      </c>
      <c r="U103" t="s">
        <v>383</v>
      </c>
      <c r="V103" t="s">
        <v>384</v>
      </c>
      <c r="W103">
        <v>890</v>
      </c>
      <c r="X103">
        <v>39.99</v>
      </c>
      <c r="Y103">
        <v>115</v>
      </c>
      <c r="Z103">
        <v>639000</v>
      </c>
      <c r="AA103">
        <v>400500</v>
      </c>
      <c r="AB103">
        <v>528</v>
      </c>
      <c r="AD103" t="s">
        <v>238</v>
      </c>
      <c r="AE103">
        <v>2</v>
      </c>
      <c r="AF103">
        <v>0</v>
      </c>
      <c r="AI103">
        <v>15</v>
      </c>
      <c r="AJ103">
        <v>20</v>
      </c>
      <c r="AK103">
        <v>35</v>
      </c>
      <c r="AL103">
        <v>450</v>
      </c>
      <c r="AM103">
        <v>33</v>
      </c>
      <c r="AN103">
        <v>0</v>
      </c>
      <c r="AO103">
        <v>33</v>
      </c>
      <c r="AP103" t="s">
        <v>80</v>
      </c>
      <c r="AQ103" t="s">
        <v>105</v>
      </c>
      <c r="AR103" t="s">
        <v>86</v>
      </c>
      <c r="AS103" t="s">
        <v>86</v>
      </c>
      <c r="AT103" t="s">
        <v>240</v>
      </c>
      <c r="AU103" t="s">
        <v>86</v>
      </c>
      <c r="AV103" t="s">
        <v>386</v>
      </c>
      <c r="AW103" t="s">
        <v>80</v>
      </c>
      <c r="AX103" t="s">
        <v>387</v>
      </c>
      <c r="AY103" t="s">
        <v>402</v>
      </c>
      <c r="AZ103" t="s">
        <v>243</v>
      </c>
      <c r="BA103" t="s">
        <v>243</v>
      </c>
      <c r="BB103" t="s">
        <v>245</v>
      </c>
      <c r="BC103" t="s">
        <v>244</v>
      </c>
      <c r="BD103" t="s">
        <v>509</v>
      </c>
      <c r="BE103" t="s">
        <v>505</v>
      </c>
      <c r="BF103" t="s">
        <v>86</v>
      </c>
      <c r="BG103" t="s">
        <v>150</v>
      </c>
      <c r="BH103" t="str">
        <f>IF(COUNTIF(工作表1!A:A, $C103)&gt;0, "預購款", "非預購款")</f>
        <v>非預購款</v>
      </c>
    </row>
    <row r="104" spans="1:60" x14ac:dyDescent="0.25">
      <c r="A104" t="s">
        <v>396</v>
      </c>
      <c r="B104" t="s">
        <v>226</v>
      </c>
      <c r="C104" t="s">
        <v>397</v>
      </c>
      <c r="D104" t="s">
        <v>398</v>
      </c>
      <c r="E104" t="s">
        <v>399</v>
      </c>
      <c r="F104" t="s">
        <v>503</v>
      </c>
      <c r="G104" t="s">
        <v>400</v>
      </c>
      <c r="H104" t="s">
        <v>132</v>
      </c>
      <c r="I104" t="s">
        <v>171</v>
      </c>
      <c r="J104" t="s">
        <v>172</v>
      </c>
      <c r="K104" t="s">
        <v>69</v>
      </c>
      <c r="L104" t="s">
        <v>401</v>
      </c>
      <c r="M104" t="s">
        <v>71</v>
      </c>
      <c r="N104" t="s">
        <v>72</v>
      </c>
      <c r="O104" t="s">
        <v>73</v>
      </c>
      <c r="P104" t="s">
        <v>74</v>
      </c>
      <c r="R104" t="s">
        <v>381</v>
      </c>
      <c r="S104" t="s">
        <v>504</v>
      </c>
      <c r="T104" t="s">
        <v>76</v>
      </c>
      <c r="U104" t="s">
        <v>383</v>
      </c>
      <c r="V104" t="s">
        <v>384</v>
      </c>
      <c r="W104">
        <v>890</v>
      </c>
      <c r="X104">
        <v>39.99</v>
      </c>
      <c r="Y104">
        <v>115</v>
      </c>
      <c r="Z104">
        <v>639000</v>
      </c>
      <c r="AA104">
        <v>400500</v>
      </c>
      <c r="AB104">
        <v>528</v>
      </c>
      <c r="AD104" t="s">
        <v>238</v>
      </c>
      <c r="AE104">
        <v>2</v>
      </c>
      <c r="AF104">
        <v>0</v>
      </c>
      <c r="AI104">
        <v>10</v>
      </c>
      <c r="AJ104">
        <v>20</v>
      </c>
      <c r="AK104">
        <v>30</v>
      </c>
      <c r="AL104">
        <v>450</v>
      </c>
      <c r="AM104">
        <v>28</v>
      </c>
      <c r="AN104">
        <v>0</v>
      </c>
      <c r="AO104">
        <v>28</v>
      </c>
      <c r="AP104" t="s">
        <v>80</v>
      </c>
      <c r="AQ104" t="s">
        <v>105</v>
      </c>
      <c r="AR104" t="s">
        <v>86</v>
      </c>
      <c r="AS104" t="s">
        <v>86</v>
      </c>
      <c r="AT104" t="s">
        <v>240</v>
      </c>
      <c r="AU104" t="s">
        <v>86</v>
      </c>
      <c r="AV104" t="s">
        <v>386</v>
      </c>
      <c r="AW104" t="s">
        <v>80</v>
      </c>
      <c r="AX104" t="s">
        <v>387</v>
      </c>
      <c r="AY104" t="s">
        <v>402</v>
      </c>
      <c r="AZ104" t="s">
        <v>243</v>
      </c>
      <c r="BA104" t="s">
        <v>243</v>
      </c>
      <c r="BB104" t="s">
        <v>245</v>
      </c>
      <c r="BC104" t="s">
        <v>244</v>
      </c>
      <c r="BD104" t="s">
        <v>510</v>
      </c>
      <c r="BE104" t="s">
        <v>505</v>
      </c>
      <c r="BF104" t="s">
        <v>86</v>
      </c>
      <c r="BG104" t="s">
        <v>150</v>
      </c>
      <c r="BH104" t="str">
        <f>IF(COUNTIF(工作表1!A:A, $C104)&gt;0, "預購款", "非預購款")</f>
        <v>非預購款</v>
      </c>
    </row>
    <row r="105" spans="1:60" x14ac:dyDescent="0.25">
      <c r="A105" t="s">
        <v>373</v>
      </c>
      <c r="B105" t="s">
        <v>226</v>
      </c>
      <c r="C105" t="s">
        <v>374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 t="s">
        <v>120</v>
      </c>
      <c r="J105" t="s">
        <v>121</v>
      </c>
      <c r="K105" t="s">
        <v>69</v>
      </c>
      <c r="L105" t="s">
        <v>380</v>
      </c>
      <c r="M105" t="s">
        <v>71</v>
      </c>
      <c r="N105" t="s">
        <v>72</v>
      </c>
      <c r="O105" t="s">
        <v>73</v>
      </c>
      <c r="P105" t="s">
        <v>74</v>
      </c>
      <c r="R105" t="s">
        <v>381</v>
      </c>
      <c r="S105" t="s">
        <v>382</v>
      </c>
      <c r="T105" t="s">
        <v>76</v>
      </c>
      <c r="U105" t="s">
        <v>383</v>
      </c>
      <c r="V105" t="s">
        <v>384</v>
      </c>
      <c r="W105">
        <v>890</v>
      </c>
      <c r="X105">
        <v>39.99</v>
      </c>
      <c r="Y105">
        <v>115</v>
      </c>
      <c r="Z105">
        <v>639000</v>
      </c>
      <c r="AA105">
        <v>623000</v>
      </c>
      <c r="AB105">
        <v>484</v>
      </c>
      <c r="AD105" t="s">
        <v>238</v>
      </c>
      <c r="AE105">
        <v>1</v>
      </c>
      <c r="AF105">
        <v>0</v>
      </c>
      <c r="AI105">
        <v>10</v>
      </c>
      <c r="AJ105">
        <v>40</v>
      </c>
      <c r="AK105">
        <v>50</v>
      </c>
      <c r="AL105">
        <v>700</v>
      </c>
      <c r="AM105">
        <v>57</v>
      </c>
      <c r="AN105">
        <v>0</v>
      </c>
      <c r="AO105">
        <v>57</v>
      </c>
      <c r="AP105" t="s">
        <v>80</v>
      </c>
      <c r="AQ105" t="s">
        <v>345</v>
      </c>
      <c r="AR105" t="s">
        <v>86</v>
      </c>
      <c r="AS105" t="s">
        <v>86</v>
      </c>
      <c r="AT105" t="s">
        <v>240</v>
      </c>
      <c r="AU105" t="s">
        <v>86</v>
      </c>
      <c r="AV105" t="s">
        <v>386</v>
      </c>
      <c r="AW105" t="s">
        <v>80</v>
      </c>
      <c r="AX105" t="s">
        <v>387</v>
      </c>
      <c r="AY105" t="s">
        <v>388</v>
      </c>
      <c r="AZ105" t="s">
        <v>243</v>
      </c>
      <c r="BA105" t="s">
        <v>243</v>
      </c>
      <c r="BB105" t="s">
        <v>245</v>
      </c>
      <c r="BC105" t="s">
        <v>244</v>
      </c>
      <c r="BD105" t="s">
        <v>511</v>
      </c>
      <c r="BE105" t="s">
        <v>512</v>
      </c>
      <c r="BF105" t="s">
        <v>86</v>
      </c>
      <c r="BG105" t="s">
        <v>150</v>
      </c>
      <c r="BH105" t="str">
        <f>IF(COUNTIF(工作表1!A:A, $C105)&gt;0, "預購款", "非預購款")</f>
        <v>非預購款</v>
      </c>
    </row>
    <row r="106" spans="1:60" x14ac:dyDescent="0.25">
      <c r="A106" t="s">
        <v>373</v>
      </c>
      <c r="B106" t="s">
        <v>226</v>
      </c>
      <c r="C106" t="s">
        <v>374</v>
      </c>
      <c r="D106" t="s">
        <v>375</v>
      </c>
      <c r="E106" t="s">
        <v>376</v>
      </c>
      <c r="F106" t="s">
        <v>377</v>
      </c>
      <c r="G106" t="s">
        <v>378</v>
      </c>
      <c r="H106" t="s">
        <v>119</v>
      </c>
      <c r="I106" t="s">
        <v>120</v>
      </c>
      <c r="J106" t="s">
        <v>121</v>
      </c>
      <c r="K106" t="s">
        <v>69</v>
      </c>
      <c r="L106" t="s">
        <v>380</v>
      </c>
      <c r="M106" t="s">
        <v>71</v>
      </c>
      <c r="N106" t="s">
        <v>72</v>
      </c>
      <c r="O106" t="s">
        <v>73</v>
      </c>
      <c r="P106" t="s">
        <v>74</v>
      </c>
      <c r="R106" t="s">
        <v>381</v>
      </c>
      <c r="S106" t="s">
        <v>382</v>
      </c>
      <c r="T106" t="s">
        <v>76</v>
      </c>
      <c r="U106" t="s">
        <v>383</v>
      </c>
      <c r="V106" t="s">
        <v>384</v>
      </c>
      <c r="W106">
        <v>890</v>
      </c>
      <c r="X106">
        <v>39.99</v>
      </c>
      <c r="Y106">
        <v>115</v>
      </c>
      <c r="Z106">
        <v>639000</v>
      </c>
      <c r="AA106">
        <v>623000</v>
      </c>
      <c r="AB106">
        <v>484</v>
      </c>
      <c r="AD106" t="s">
        <v>238</v>
      </c>
      <c r="AE106">
        <v>1</v>
      </c>
      <c r="AF106">
        <v>0</v>
      </c>
      <c r="AI106">
        <v>30</v>
      </c>
      <c r="AJ106">
        <v>300</v>
      </c>
      <c r="AK106">
        <v>330</v>
      </c>
      <c r="AL106">
        <v>700</v>
      </c>
      <c r="AM106">
        <v>340</v>
      </c>
      <c r="AN106">
        <v>0</v>
      </c>
      <c r="AO106">
        <v>340</v>
      </c>
      <c r="AP106" t="s">
        <v>80</v>
      </c>
      <c r="AQ106" t="s">
        <v>345</v>
      </c>
      <c r="AR106" t="s">
        <v>86</v>
      </c>
      <c r="AS106" t="s">
        <v>86</v>
      </c>
      <c r="AT106" t="s">
        <v>240</v>
      </c>
      <c r="AU106" t="s">
        <v>86</v>
      </c>
      <c r="AV106" t="s">
        <v>386</v>
      </c>
      <c r="AW106" t="s">
        <v>80</v>
      </c>
      <c r="AX106" t="s">
        <v>387</v>
      </c>
      <c r="AY106" t="s">
        <v>388</v>
      </c>
      <c r="AZ106" t="s">
        <v>243</v>
      </c>
      <c r="BA106" t="s">
        <v>243</v>
      </c>
      <c r="BB106" t="s">
        <v>245</v>
      </c>
      <c r="BC106" t="s">
        <v>244</v>
      </c>
      <c r="BD106" t="s">
        <v>513</v>
      </c>
      <c r="BE106" t="s">
        <v>512</v>
      </c>
      <c r="BF106" t="s">
        <v>86</v>
      </c>
      <c r="BG106" t="s">
        <v>150</v>
      </c>
      <c r="BH106" t="str">
        <f>IF(COUNTIF(工作表1!A:A, $C106)&gt;0, "預購款", "非預購款")</f>
        <v>非預購款</v>
      </c>
    </row>
    <row r="107" spans="1:60" x14ac:dyDescent="0.25">
      <c r="A107" t="s">
        <v>373</v>
      </c>
      <c r="B107" t="s">
        <v>226</v>
      </c>
      <c r="C107" t="s">
        <v>374</v>
      </c>
      <c r="D107" t="s">
        <v>375</v>
      </c>
      <c r="E107" t="s">
        <v>376</v>
      </c>
      <c r="F107" t="s">
        <v>377</v>
      </c>
      <c r="G107" t="s">
        <v>378</v>
      </c>
      <c r="H107" t="s">
        <v>392</v>
      </c>
      <c r="I107" t="s">
        <v>120</v>
      </c>
      <c r="J107" t="s">
        <v>121</v>
      </c>
      <c r="K107" t="s">
        <v>69</v>
      </c>
      <c r="L107" t="s">
        <v>380</v>
      </c>
      <c r="M107" t="s">
        <v>71</v>
      </c>
      <c r="N107" t="s">
        <v>72</v>
      </c>
      <c r="O107" t="s">
        <v>73</v>
      </c>
      <c r="P107" t="s">
        <v>74</v>
      </c>
      <c r="R107" t="s">
        <v>381</v>
      </c>
      <c r="S107" t="s">
        <v>382</v>
      </c>
      <c r="T107" t="s">
        <v>76</v>
      </c>
      <c r="U107" t="s">
        <v>383</v>
      </c>
      <c r="V107" t="s">
        <v>384</v>
      </c>
      <c r="W107">
        <v>890</v>
      </c>
      <c r="X107">
        <v>39.99</v>
      </c>
      <c r="Y107">
        <v>115</v>
      </c>
      <c r="Z107">
        <v>639000</v>
      </c>
      <c r="AA107">
        <v>623000</v>
      </c>
      <c r="AB107">
        <v>484</v>
      </c>
      <c r="AD107" t="s">
        <v>238</v>
      </c>
      <c r="AE107">
        <v>1</v>
      </c>
      <c r="AF107">
        <v>0</v>
      </c>
      <c r="AI107">
        <v>10</v>
      </c>
      <c r="AJ107">
        <v>75</v>
      </c>
      <c r="AK107">
        <v>85</v>
      </c>
      <c r="AL107">
        <v>700</v>
      </c>
      <c r="AM107">
        <v>85</v>
      </c>
      <c r="AN107">
        <v>0</v>
      </c>
      <c r="AO107">
        <v>85</v>
      </c>
      <c r="AP107" t="s">
        <v>80</v>
      </c>
      <c r="AQ107" t="s">
        <v>345</v>
      </c>
      <c r="AR107" t="s">
        <v>86</v>
      </c>
      <c r="AS107" t="s">
        <v>86</v>
      </c>
      <c r="AT107" t="s">
        <v>240</v>
      </c>
      <c r="AU107" t="s">
        <v>86</v>
      </c>
      <c r="AV107" t="s">
        <v>386</v>
      </c>
      <c r="AW107" t="s">
        <v>80</v>
      </c>
      <c r="AX107" t="s">
        <v>387</v>
      </c>
      <c r="AY107" t="s">
        <v>388</v>
      </c>
      <c r="AZ107" t="s">
        <v>243</v>
      </c>
      <c r="BA107" t="s">
        <v>243</v>
      </c>
      <c r="BB107" t="s">
        <v>245</v>
      </c>
      <c r="BC107" t="s">
        <v>244</v>
      </c>
      <c r="BD107" t="s">
        <v>514</v>
      </c>
      <c r="BE107" t="s">
        <v>512</v>
      </c>
      <c r="BF107" t="s">
        <v>86</v>
      </c>
      <c r="BG107" t="s">
        <v>150</v>
      </c>
      <c r="BH107" t="str">
        <f>IF(COUNTIF(工作表1!A:A, $C107)&gt;0, "預購款", "非預購款")</f>
        <v>非預購款</v>
      </c>
    </row>
    <row r="108" spans="1:60" x14ac:dyDescent="0.25">
      <c r="A108" t="s">
        <v>373</v>
      </c>
      <c r="B108" t="s">
        <v>226</v>
      </c>
      <c r="C108" t="s">
        <v>374</v>
      </c>
      <c r="D108" t="s">
        <v>375</v>
      </c>
      <c r="E108" t="s">
        <v>376</v>
      </c>
      <c r="F108" t="s">
        <v>377</v>
      </c>
      <c r="G108" t="s">
        <v>378</v>
      </c>
      <c r="H108" t="s">
        <v>130</v>
      </c>
      <c r="I108" t="s">
        <v>120</v>
      </c>
      <c r="J108" t="s">
        <v>121</v>
      </c>
      <c r="K108" t="s">
        <v>69</v>
      </c>
      <c r="L108" t="s">
        <v>380</v>
      </c>
      <c r="M108" t="s">
        <v>71</v>
      </c>
      <c r="N108" t="s">
        <v>72</v>
      </c>
      <c r="O108" t="s">
        <v>73</v>
      </c>
      <c r="P108" t="s">
        <v>74</v>
      </c>
      <c r="R108" t="s">
        <v>381</v>
      </c>
      <c r="S108" t="s">
        <v>382</v>
      </c>
      <c r="T108" t="s">
        <v>76</v>
      </c>
      <c r="U108" t="s">
        <v>383</v>
      </c>
      <c r="V108" t="s">
        <v>384</v>
      </c>
      <c r="W108">
        <v>890</v>
      </c>
      <c r="X108">
        <v>39.99</v>
      </c>
      <c r="Y108">
        <v>115</v>
      </c>
      <c r="Z108">
        <v>639000</v>
      </c>
      <c r="AA108">
        <v>623000</v>
      </c>
      <c r="AB108">
        <v>484</v>
      </c>
      <c r="AD108" t="s">
        <v>238</v>
      </c>
      <c r="AE108">
        <v>1</v>
      </c>
      <c r="AF108">
        <v>0</v>
      </c>
      <c r="AI108">
        <v>30</v>
      </c>
      <c r="AJ108">
        <v>135</v>
      </c>
      <c r="AK108">
        <v>165</v>
      </c>
      <c r="AL108">
        <v>700</v>
      </c>
      <c r="AM108">
        <v>168</v>
      </c>
      <c r="AN108">
        <v>0</v>
      </c>
      <c r="AO108">
        <v>168</v>
      </c>
      <c r="AP108" t="s">
        <v>80</v>
      </c>
      <c r="AQ108" t="s">
        <v>345</v>
      </c>
      <c r="AR108" t="s">
        <v>86</v>
      </c>
      <c r="AS108" t="s">
        <v>86</v>
      </c>
      <c r="AT108" t="s">
        <v>240</v>
      </c>
      <c r="AU108" t="s">
        <v>86</v>
      </c>
      <c r="AV108" t="s">
        <v>386</v>
      </c>
      <c r="AW108" t="s">
        <v>80</v>
      </c>
      <c r="AX108" t="s">
        <v>387</v>
      </c>
      <c r="AY108" t="s">
        <v>388</v>
      </c>
      <c r="AZ108" t="s">
        <v>243</v>
      </c>
      <c r="BA108" t="s">
        <v>243</v>
      </c>
      <c r="BB108" t="s">
        <v>245</v>
      </c>
      <c r="BC108" t="s">
        <v>244</v>
      </c>
      <c r="BD108" t="s">
        <v>515</v>
      </c>
      <c r="BE108" t="s">
        <v>512</v>
      </c>
      <c r="BF108" t="s">
        <v>86</v>
      </c>
      <c r="BG108" t="s">
        <v>150</v>
      </c>
      <c r="BH108" t="str">
        <f>IF(COUNTIF(工作表1!A:A, $C108)&gt;0, "預購款", "非預購款")</f>
        <v>非預購款</v>
      </c>
    </row>
    <row r="109" spans="1:60" x14ac:dyDescent="0.25">
      <c r="A109" t="s">
        <v>373</v>
      </c>
      <c r="B109" t="s">
        <v>226</v>
      </c>
      <c r="C109" t="s">
        <v>374</v>
      </c>
      <c r="D109" t="s">
        <v>375</v>
      </c>
      <c r="E109" t="s">
        <v>376</v>
      </c>
      <c r="F109" t="s">
        <v>377</v>
      </c>
      <c r="G109" t="s">
        <v>378</v>
      </c>
      <c r="H109" t="s">
        <v>132</v>
      </c>
      <c r="I109" t="s">
        <v>120</v>
      </c>
      <c r="J109" t="s">
        <v>121</v>
      </c>
      <c r="K109" t="s">
        <v>69</v>
      </c>
      <c r="L109" t="s">
        <v>380</v>
      </c>
      <c r="M109" t="s">
        <v>71</v>
      </c>
      <c r="N109" t="s">
        <v>72</v>
      </c>
      <c r="O109" t="s">
        <v>73</v>
      </c>
      <c r="P109" t="s">
        <v>74</v>
      </c>
      <c r="R109" t="s">
        <v>381</v>
      </c>
      <c r="S109" t="s">
        <v>382</v>
      </c>
      <c r="T109" t="s">
        <v>76</v>
      </c>
      <c r="U109" t="s">
        <v>383</v>
      </c>
      <c r="V109" t="s">
        <v>384</v>
      </c>
      <c r="W109">
        <v>890</v>
      </c>
      <c r="X109">
        <v>39.99</v>
      </c>
      <c r="Y109">
        <v>115</v>
      </c>
      <c r="Z109">
        <v>639000</v>
      </c>
      <c r="AA109">
        <v>623000</v>
      </c>
      <c r="AB109">
        <v>484</v>
      </c>
      <c r="AD109" t="s">
        <v>238</v>
      </c>
      <c r="AE109">
        <v>1</v>
      </c>
      <c r="AF109">
        <v>0</v>
      </c>
      <c r="AI109">
        <v>10</v>
      </c>
      <c r="AJ109">
        <v>60</v>
      </c>
      <c r="AK109">
        <v>70</v>
      </c>
      <c r="AL109">
        <v>700</v>
      </c>
      <c r="AM109">
        <v>75</v>
      </c>
      <c r="AN109">
        <v>0</v>
      </c>
      <c r="AO109">
        <v>75</v>
      </c>
      <c r="AP109" t="s">
        <v>80</v>
      </c>
      <c r="AQ109" t="s">
        <v>345</v>
      </c>
      <c r="AR109" t="s">
        <v>86</v>
      </c>
      <c r="AS109" t="s">
        <v>86</v>
      </c>
      <c r="AT109" t="s">
        <v>240</v>
      </c>
      <c r="AU109" t="s">
        <v>86</v>
      </c>
      <c r="AV109" t="s">
        <v>386</v>
      </c>
      <c r="AW109" t="s">
        <v>80</v>
      </c>
      <c r="AX109" t="s">
        <v>387</v>
      </c>
      <c r="AY109" t="s">
        <v>388</v>
      </c>
      <c r="AZ109" t="s">
        <v>243</v>
      </c>
      <c r="BA109" t="s">
        <v>243</v>
      </c>
      <c r="BB109" t="s">
        <v>245</v>
      </c>
      <c r="BC109" t="s">
        <v>244</v>
      </c>
      <c r="BD109" t="s">
        <v>516</v>
      </c>
      <c r="BE109" t="s">
        <v>512</v>
      </c>
      <c r="BF109" t="s">
        <v>86</v>
      </c>
      <c r="BG109" t="s">
        <v>150</v>
      </c>
      <c r="BH109" t="str">
        <f>IF(COUNTIF(工作表1!A:A, $C109)&gt;0, "預購款", "非預購款")</f>
        <v>非預購款</v>
      </c>
    </row>
    <row r="110" spans="1:60" x14ac:dyDescent="0.25">
      <c r="A110" t="s">
        <v>517</v>
      </c>
      <c r="B110" t="s">
        <v>60</v>
      </c>
      <c r="C110" t="s">
        <v>518</v>
      </c>
      <c r="D110" t="s">
        <v>519</v>
      </c>
      <c r="E110" t="s">
        <v>520</v>
      </c>
      <c r="F110" t="s">
        <v>521</v>
      </c>
      <c r="G110" t="s">
        <v>522</v>
      </c>
      <c r="H110" t="s">
        <v>66</v>
      </c>
      <c r="I110" t="s">
        <v>214</v>
      </c>
      <c r="J110" t="s">
        <v>215</v>
      </c>
      <c r="K110" t="s">
        <v>69</v>
      </c>
      <c r="L110" t="s">
        <v>523</v>
      </c>
      <c r="M110" t="s">
        <v>71</v>
      </c>
      <c r="N110" t="s">
        <v>100</v>
      </c>
      <c r="O110" t="s">
        <v>524</v>
      </c>
      <c r="P110" t="s">
        <v>525</v>
      </c>
      <c r="R110" t="s">
        <v>526</v>
      </c>
      <c r="S110" t="s">
        <v>142</v>
      </c>
      <c r="T110" t="s">
        <v>258</v>
      </c>
      <c r="U110" t="s">
        <v>527</v>
      </c>
      <c r="V110" t="s">
        <v>528</v>
      </c>
      <c r="W110">
        <v>890</v>
      </c>
      <c r="X110">
        <v>39.99</v>
      </c>
      <c r="Y110">
        <v>115</v>
      </c>
      <c r="Z110">
        <v>639000</v>
      </c>
      <c r="AA110">
        <v>400500</v>
      </c>
      <c r="AB110">
        <v>460</v>
      </c>
      <c r="AD110" t="s">
        <v>238</v>
      </c>
      <c r="AE110">
        <v>1</v>
      </c>
      <c r="AF110">
        <v>0</v>
      </c>
      <c r="AI110">
        <v>300</v>
      </c>
      <c r="AJ110">
        <v>150</v>
      </c>
      <c r="AK110">
        <v>450</v>
      </c>
      <c r="AL110">
        <v>450</v>
      </c>
      <c r="AM110">
        <v>450</v>
      </c>
      <c r="AN110">
        <v>0</v>
      </c>
      <c r="AO110">
        <v>450</v>
      </c>
      <c r="AP110" t="s">
        <v>80</v>
      </c>
      <c r="AQ110" t="s">
        <v>167</v>
      </c>
      <c r="AT110" t="s">
        <v>264</v>
      </c>
      <c r="AU110" t="s">
        <v>264</v>
      </c>
      <c r="AV110" t="s">
        <v>529</v>
      </c>
      <c r="AW110" t="s">
        <v>69</v>
      </c>
      <c r="AX110" t="s">
        <v>530</v>
      </c>
      <c r="AY110" t="s">
        <v>531</v>
      </c>
      <c r="BD110" t="s">
        <v>532</v>
      </c>
      <c r="BE110" t="s">
        <v>533</v>
      </c>
      <c r="BH110" t="str">
        <f>IF(COUNTIF(工作表1!A:A, $C110)&gt;0, "預購款", "非預購款")</f>
        <v>非預購款</v>
      </c>
    </row>
    <row r="111" spans="1:60" x14ac:dyDescent="0.25">
      <c r="A111" t="s">
        <v>534</v>
      </c>
      <c r="B111" t="s">
        <v>535</v>
      </c>
      <c r="C111" t="s">
        <v>536</v>
      </c>
      <c r="D111" t="s">
        <v>537</v>
      </c>
      <c r="E111" t="s">
        <v>538</v>
      </c>
      <c r="F111" t="s">
        <v>521</v>
      </c>
      <c r="G111" t="s">
        <v>539</v>
      </c>
      <c r="H111" t="s">
        <v>66</v>
      </c>
      <c r="I111" t="s">
        <v>111</v>
      </c>
      <c r="J111" t="s">
        <v>112</v>
      </c>
      <c r="K111" t="s">
        <v>69</v>
      </c>
      <c r="L111" t="s">
        <v>540</v>
      </c>
      <c r="M111" t="s">
        <v>71</v>
      </c>
      <c r="N111" t="s">
        <v>100</v>
      </c>
      <c r="O111" t="s">
        <v>524</v>
      </c>
      <c r="P111" t="s">
        <v>525</v>
      </c>
      <c r="R111" t="s">
        <v>526</v>
      </c>
      <c r="S111" t="s">
        <v>142</v>
      </c>
      <c r="T111" t="s">
        <v>258</v>
      </c>
      <c r="U111" t="s">
        <v>527</v>
      </c>
      <c r="V111" t="s">
        <v>541</v>
      </c>
      <c r="W111">
        <v>290</v>
      </c>
      <c r="X111">
        <v>12.99</v>
      </c>
      <c r="Y111">
        <v>39</v>
      </c>
      <c r="Z111">
        <v>209000</v>
      </c>
      <c r="AA111">
        <v>290000</v>
      </c>
      <c r="AB111">
        <v>65</v>
      </c>
      <c r="AD111" t="s">
        <v>238</v>
      </c>
      <c r="AE111">
        <v>2</v>
      </c>
      <c r="AF111">
        <v>0</v>
      </c>
      <c r="AI111">
        <v>200</v>
      </c>
      <c r="AJ111">
        <v>200</v>
      </c>
      <c r="AK111">
        <v>400</v>
      </c>
      <c r="AL111">
        <v>1000</v>
      </c>
      <c r="AM111">
        <v>401</v>
      </c>
      <c r="AN111">
        <v>0</v>
      </c>
      <c r="AO111">
        <v>401</v>
      </c>
      <c r="AP111" t="s">
        <v>80</v>
      </c>
      <c r="AQ111" t="s">
        <v>125</v>
      </c>
      <c r="AT111" t="s">
        <v>264</v>
      </c>
      <c r="AU111" t="s">
        <v>264</v>
      </c>
      <c r="AV111" t="s">
        <v>542</v>
      </c>
      <c r="AW111" t="s">
        <v>69</v>
      </c>
      <c r="AX111" t="s">
        <v>543</v>
      </c>
      <c r="AY111" t="s">
        <v>544</v>
      </c>
      <c r="BD111" t="s">
        <v>545</v>
      </c>
      <c r="BE111" t="s">
        <v>546</v>
      </c>
      <c r="BF111" t="s">
        <v>240</v>
      </c>
      <c r="BH111" t="str">
        <f>IF(COUNTIF(工作表1!A:A, $C111)&gt;0, "預購款", "非預購款")</f>
        <v>非預購款</v>
      </c>
    </row>
    <row r="112" spans="1:60" x14ac:dyDescent="0.25">
      <c r="A112" t="s">
        <v>534</v>
      </c>
      <c r="B112" t="s">
        <v>535</v>
      </c>
      <c r="C112" t="s">
        <v>536</v>
      </c>
      <c r="D112" t="s">
        <v>537</v>
      </c>
      <c r="E112" t="s">
        <v>538</v>
      </c>
      <c r="F112" t="s">
        <v>521</v>
      </c>
      <c r="G112" t="s">
        <v>539</v>
      </c>
      <c r="H112" t="s">
        <v>66</v>
      </c>
      <c r="I112" t="s">
        <v>422</v>
      </c>
      <c r="J112" t="s">
        <v>423</v>
      </c>
      <c r="K112" t="s">
        <v>69</v>
      </c>
      <c r="L112" t="s">
        <v>540</v>
      </c>
      <c r="M112" t="s">
        <v>71</v>
      </c>
      <c r="N112" t="s">
        <v>100</v>
      </c>
      <c r="O112" t="s">
        <v>524</v>
      </c>
      <c r="P112" t="s">
        <v>525</v>
      </c>
      <c r="R112" t="s">
        <v>526</v>
      </c>
      <c r="S112" t="s">
        <v>142</v>
      </c>
      <c r="T112" t="s">
        <v>258</v>
      </c>
      <c r="U112" t="s">
        <v>527</v>
      </c>
      <c r="V112" t="s">
        <v>541</v>
      </c>
      <c r="W112">
        <v>290</v>
      </c>
      <c r="X112">
        <v>12.99</v>
      </c>
      <c r="Y112">
        <v>39</v>
      </c>
      <c r="Z112">
        <v>209000</v>
      </c>
      <c r="AA112">
        <v>290000</v>
      </c>
      <c r="AB112">
        <v>65</v>
      </c>
      <c r="AD112" t="s">
        <v>238</v>
      </c>
      <c r="AE112">
        <v>2</v>
      </c>
      <c r="AF112">
        <v>0</v>
      </c>
      <c r="AI112">
        <v>300</v>
      </c>
      <c r="AJ112">
        <v>300</v>
      </c>
      <c r="AK112">
        <v>600</v>
      </c>
      <c r="AL112">
        <v>1000</v>
      </c>
      <c r="AM112">
        <v>596</v>
      </c>
      <c r="AN112">
        <v>0</v>
      </c>
      <c r="AO112">
        <v>596</v>
      </c>
      <c r="AP112" t="s">
        <v>80</v>
      </c>
      <c r="AQ112" t="s">
        <v>125</v>
      </c>
      <c r="AT112" t="s">
        <v>264</v>
      </c>
      <c r="AU112" t="s">
        <v>264</v>
      </c>
      <c r="AV112" t="s">
        <v>542</v>
      </c>
      <c r="AW112" t="s">
        <v>69</v>
      </c>
      <c r="AX112" t="s">
        <v>543</v>
      </c>
      <c r="AY112" t="s">
        <v>544</v>
      </c>
      <c r="BD112" t="s">
        <v>547</v>
      </c>
      <c r="BE112" t="s">
        <v>546</v>
      </c>
      <c r="BF112" t="s">
        <v>240</v>
      </c>
      <c r="BH112" t="str">
        <f>IF(COUNTIF(工作表1!A:A, $C112)&gt;0, "預購款", "非預購款")</f>
        <v>非預購款</v>
      </c>
    </row>
    <row r="113" spans="1:60" x14ac:dyDescent="0.25">
      <c r="A113" t="s">
        <v>548</v>
      </c>
      <c r="B113" t="s">
        <v>535</v>
      </c>
      <c r="C113" t="s">
        <v>549</v>
      </c>
      <c r="D113" t="s">
        <v>550</v>
      </c>
      <c r="E113" t="s">
        <v>551</v>
      </c>
      <c r="F113" t="s">
        <v>521</v>
      </c>
      <c r="G113" t="s">
        <v>552</v>
      </c>
      <c r="H113" t="s">
        <v>66</v>
      </c>
      <c r="I113" t="s">
        <v>214</v>
      </c>
      <c r="J113" t="s">
        <v>215</v>
      </c>
      <c r="K113" t="s">
        <v>69</v>
      </c>
      <c r="L113" t="s">
        <v>553</v>
      </c>
      <c r="M113" t="s">
        <v>71</v>
      </c>
      <c r="N113" t="s">
        <v>100</v>
      </c>
      <c r="O113" t="s">
        <v>524</v>
      </c>
      <c r="P113" t="s">
        <v>525</v>
      </c>
      <c r="R113" t="s">
        <v>526</v>
      </c>
      <c r="S113" t="s">
        <v>142</v>
      </c>
      <c r="T113" t="s">
        <v>258</v>
      </c>
      <c r="U113" t="s">
        <v>527</v>
      </c>
      <c r="V113" t="s">
        <v>554</v>
      </c>
      <c r="W113">
        <v>690</v>
      </c>
      <c r="X113">
        <v>29.99</v>
      </c>
      <c r="Y113">
        <v>89</v>
      </c>
      <c r="Z113">
        <v>499000</v>
      </c>
      <c r="AA113">
        <v>1702230</v>
      </c>
      <c r="AB113">
        <v>90</v>
      </c>
      <c r="AD113" t="s">
        <v>238</v>
      </c>
      <c r="AE113">
        <v>1</v>
      </c>
      <c r="AF113">
        <v>0</v>
      </c>
      <c r="AI113">
        <v>1667</v>
      </c>
      <c r="AJ113">
        <v>800</v>
      </c>
      <c r="AK113">
        <v>2467</v>
      </c>
      <c r="AL113">
        <v>2467</v>
      </c>
      <c r="AM113">
        <v>2467</v>
      </c>
      <c r="AN113">
        <v>0</v>
      </c>
      <c r="AO113">
        <v>2467</v>
      </c>
      <c r="AP113" t="s">
        <v>80</v>
      </c>
      <c r="AQ113" t="s">
        <v>167</v>
      </c>
      <c r="AT113" t="s">
        <v>264</v>
      </c>
      <c r="AU113" t="s">
        <v>264</v>
      </c>
      <c r="AV113" t="s">
        <v>555</v>
      </c>
      <c r="AW113" t="s">
        <v>69</v>
      </c>
      <c r="AX113" t="s">
        <v>556</v>
      </c>
      <c r="AY113" t="s">
        <v>557</v>
      </c>
      <c r="BD113" t="s">
        <v>558</v>
      </c>
      <c r="BE113" t="s">
        <v>559</v>
      </c>
      <c r="BF113" t="s">
        <v>240</v>
      </c>
      <c r="BH113" t="str">
        <f>IF(COUNTIF(工作表1!A:A, $C113)&gt;0, "預購款", "非預購款")</f>
        <v>非預購款</v>
      </c>
    </row>
    <row r="114" spans="1:60" x14ac:dyDescent="0.25">
      <c r="A114" t="s">
        <v>560</v>
      </c>
      <c r="B114" t="s">
        <v>561</v>
      </c>
      <c r="C114" t="s">
        <v>562</v>
      </c>
      <c r="D114" t="s">
        <v>563</v>
      </c>
      <c r="E114" t="s">
        <v>564</v>
      </c>
      <c r="F114" t="s">
        <v>521</v>
      </c>
      <c r="G114" t="s">
        <v>565</v>
      </c>
      <c r="H114" t="s">
        <v>566</v>
      </c>
      <c r="I114" t="s">
        <v>120</v>
      </c>
      <c r="J114" t="s">
        <v>121</v>
      </c>
      <c r="K114" t="s">
        <v>69</v>
      </c>
      <c r="L114" t="s">
        <v>567</v>
      </c>
      <c r="M114" t="s">
        <v>71</v>
      </c>
      <c r="N114" t="s">
        <v>100</v>
      </c>
      <c r="O114" t="s">
        <v>524</v>
      </c>
      <c r="P114" t="s">
        <v>525</v>
      </c>
      <c r="R114" t="s">
        <v>526</v>
      </c>
      <c r="S114" t="s">
        <v>142</v>
      </c>
      <c r="T114" t="s">
        <v>258</v>
      </c>
      <c r="U114" t="s">
        <v>527</v>
      </c>
      <c r="V114" t="s">
        <v>568</v>
      </c>
      <c r="W114">
        <v>790</v>
      </c>
      <c r="X114">
        <v>34.99</v>
      </c>
      <c r="Y114">
        <v>99</v>
      </c>
      <c r="Z114">
        <v>569000</v>
      </c>
      <c r="AA114">
        <v>205400</v>
      </c>
      <c r="AB114">
        <v>130</v>
      </c>
      <c r="AD114" t="s">
        <v>238</v>
      </c>
      <c r="AE114">
        <v>2</v>
      </c>
      <c r="AF114">
        <v>0</v>
      </c>
      <c r="AI114">
        <v>150</v>
      </c>
      <c r="AJ114">
        <v>60</v>
      </c>
      <c r="AK114">
        <v>210</v>
      </c>
      <c r="AL114">
        <v>260</v>
      </c>
      <c r="AM114">
        <v>210</v>
      </c>
      <c r="AN114">
        <v>0</v>
      </c>
      <c r="AO114">
        <v>210</v>
      </c>
      <c r="AP114" t="s">
        <v>80</v>
      </c>
      <c r="AQ114" t="s">
        <v>125</v>
      </c>
      <c r="AT114" t="s">
        <v>240</v>
      </c>
      <c r="AU114" t="s">
        <v>240</v>
      </c>
      <c r="AV114" t="s">
        <v>569</v>
      </c>
      <c r="AW114" t="s">
        <v>69</v>
      </c>
      <c r="AX114" t="s">
        <v>570</v>
      </c>
      <c r="AY114" t="s">
        <v>571</v>
      </c>
      <c r="AZ114" t="s">
        <v>264</v>
      </c>
      <c r="BA114" t="s">
        <v>245</v>
      </c>
      <c r="BB114" t="s">
        <v>245</v>
      </c>
      <c r="BC114" t="s">
        <v>244</v>
      </c>
      <c r="BD114" t="s">
        <v>572</v>
      </c>
      <c r="BE114" t="s">
        <v>573</v>
      </c>
      <c r="BF114" t="s">
        <v>240</v>
      </c>
      <c r="BG114" t="s">
        <v>110</v>
      </c>
      <c r="BH114" t="str">
        <f>IF(COUNTIF(工作表1!A:A, $C114)&gt;0, "預購款", "非預購款")</f>
        <v>非預購款</v>
      </c>
    </row>
    <row r="115" spans="1:60" x14ac:dyDescent="0.25">
      <c r="A115" t="s">
        <v>575</v>
      </c>
      <c r="B115" t="s">
        <v>576</v>
      </c>
      <c r="C115" t="s">
        <v>577</v>
      </c>
      <c r="D115" t="s">
        <v>578</v>
      </c>
      <c r="E115" t="s">
        <v>579</v>
      </c>
      <c r="F115" t="s">
        <v>521</v>
      </c>
      <c r="G115" t="s">
        <v>580</v>
      </c>
      <c r="H115" t="s">
        <v>66</v>
      </c>
      <c r="I115" t="s">
        <v>422</v>
      </c>
      <c r="J115" t="s">
        <v>423</v>
      </c>
      <c r="K115" t="s">
        <v>69</v>
      </c>
      <c r="L115" t="s">
        <v>581</v>
      </c>
      <c r="M115" t="s">
        <v>71</v>
      </c>
      <c r="N115" t="s">
        <v>100</v>
      </c>
      <c r="O115" t="s">
        <v>524</v>
      </c>
      <c r="P115" t="s">
        <v>525</v>
      </c>
      <c r="R115" t="s">
        <v>526</v>
      </c>
      <c r="S115" t="s">
        <v>142</v>
      </c>
      <c r="T115" t="s">
        <v>258</v>
      </c>
      <c r="U115" t="s">
        <v>104</v>
      </c>
      <c r="V115" t="s">
        <v>99</v>
      </c>
      <c r="W115">
        <v>990</v>
      </c>
      <c r="X115">
        <v>39.99</v>
      </c>
      <c r="Y115">
        <v>129</v>
      </c>
      <c r="Z115">
        <v>709000</v>
      </c>
      <c r="AA115">
        <v>267300</v>
      </c>
      <c r="AB115">
        <v>330</v>
      </c>
      <c r="AD115" t="s">
        <v>238</v>
      </c>
      <c r="AE115">
        <v>1</v>
      </c>
      <c r="AF115">
        <v>0</v>
      </c>
      <c r="AI115">
        <v>135</v>
      </c>
      <c r="AJ115">
        <v>135</v>
      </c>
      <c r="AK115">
        <v>270</v>
      </c>
      <c r="AL115">
        <v>270</v>
      </c>
      <c r="AM115">
        <v>273</v>
      </c>
      <c r="AN115">
        <v>0</v>
      </c>
      <c r="AO115">
        <v>273</v>
      </c>
      <c r="AP115" t="s">
        <v>80</v>
      </c>
      <c r="AQ115" t="s">
        <v>582</v>
      </c>
      <c r="AT115" t="s">
        <v>86</v>
      </c>
      <c r="AU115" t="s">
        <v>86</v>
      </c>
      <c r="AV115" t="s">
        <v>569</v>
      </c>
      <c r="AW115" t="s">
        <v>69</v>
      </c>
      <c r="AX115" t="s">
        <v>583</v>
      </c>
      <c r="AY115" t="s">
        <v>584</v>
      </c>
      <c r="AZ115" t="s">
        <v>264</v>
      </c>
      <c r="BA115" t="s">
        <v>243</v>
      </c>
      <c r="BB115" t="s">
        <v>264</v>
      </c>
      <c r="BC115" t="s">
        <v>264</v>
      </c>
      <c r="BD115" t="s">
        <v>585</v>
      </c>
      <c r="BE115" t="s">
        <v>586</v>
      </c>
      <c r="BF115" t="s">
        <v>240</v>
      </c>
      <c r="BG115" t="s">
        <v>110</v>
      </c>
      <c r="BH115" t="str">
        <f>IF(COUNTIF(工作表1!A:A, $C115)&gt;0, "預購款", "非預購款")</f>
        <v>非預購款</v>
      </c>
    </row>
    <row r="116" spans="1:60" x14ac:dyDescent="0.25">
      <c r="A116" t="s">
        <v>587</v>
      </c>
      <c r="B116" t="s">
        <v>226</v>
      </c>
      <c r="C116" t="s">
        <v>588</v>
      </c>
      <c r="D116" t="s">
        <v>589</v>
      </c>
      <c r="E116" t="s">
        <v>590</v>
      </c>
      <c r="F116" t="s">
        <v>521</v>
      </c>
      <c r="G116" t="s">
        <v>591</v>
      </c>
      <c r="H116" t="s">
        <v>119</v>
      </c>
      <c r="I116" t="s">
        <v>97</v>
      </c>
      <c r="J116" t="s">
        <v>98</v>
      </c>
      <c r="K116" t="s">
        <v>69</v>
      </c>
      <c r="L116" t="s">
        <v>592</v>
      </c>
      <c r="M116" t="s">
        <v>71</v>
      </c>
      <c r="N116" t="s">
        <v>100</v>
      </c>
      <c r="O116" t="s">
        <v>524</v>
      </c>
      <c r="P116" t="s">
        <v>525</v>
      </c>
      <c r="R116" t="s">
        <v>526</v>
      </c>
      <c r="S116" t="s">
        <v>142</v>
      </c>
      <c r="T116" t="s">
        <v>258</v>
      </c>
      <c r="U116" t="s">
        <v>104</v>
      </c>
      <c r="V116" t="s">
        <v>593</v>
      </c>
      <c r="W116">
        <v>590</v>
      </c>
      <c r="X116">
        <v>29.99</v>
      </c>
      <c r="Y116">
        <v>75</v>
      </c>
      <c r="Z116">
        <v>429000</v>
      </c>
      <c r="AA116">
        <v>1227200</v>
      </c>
      <c r="AB116">
        <v>140</v>
      </c>
      <c r="AD116" t="s">
        <v>238</v>
      </c>
      <c r="AE116">
        <v>3</v>
      </c>
      <c r="AF116">
        <v>0</v>
      </c>
      <c r="AI116">
        <v>40</v>
      </c>
      <c r="AJ116">
        <v>210</v>
      </c>
      <c r="AK116">
        <v>250</v>
      </c>
      <c r="AL116">
        <v>2080</v>
      </c>
      <c r="AM116">
        <v>255</v>
      </c>
      <c r="AN116">
        <v>0</v>
      </c>
      <c r="AO116">
        <v>255</v>
      </c>
      <c r="AP116" t="s">
        <v>80</v>
      </c>
      <c r="AQ116" t="s">
        <v>582</v>
      </c>
      <c r="AT116" t="s">
        <v>264</v>
      </c>
      <c r="AU116" t="s">
        <v>264</v>
      </c>
      <c r="AV116" t="s">
        <v>569</v>
      </c>
      <c r="AW116" t="s">
        <v>69</v>
      </c>
      <c r="AX116" t="s">
        <v>583</v>
      </c>
      <c r="AY116" t="s">
        <v>594</v>
      </c>
      <c r="AZ116" t="s">
        <v>245</v>
      </c>
      <c r="BA116" t="s">
        <v>244</v>
      </c>
      <c r="BB116" t="s">
        <v>244</v>
      </c>
      <c r="BC116" t="s">
        <v>264</v>
      </c>
      <c r="BD116" t="s">
        <v>595</v>
      </c>
      <c r="BE116" t="s">
        <v>596</v>
      </c>
      <c r="BF116" t="s">
        <v>240</v>
      </c>
      <c r="BG116" t="s">
        <v>150</v>
      </c>
      <c r="BH116" t="str">
        <f>IF(COUNTIF(工作表1!A:A, $C116)&gt;0, "預購款", "非預購款")</f>
        <v>非預購款</v>
      </c>
    </row>
    <row r="117" spans="1:60" x14ac:dyDescent="0.25">
      <c r="A117" t="s">
        <v>587</v>
      </c>
      <c r="B117" t="s">
        <v>226</v>
      </c>
      <c r="C117" t="s">
        <v>588</v>
      </c>
      <c r="D117" t="s">
        <v>589</v>
      </c>
      <c r="E117" t="s">
        <v>590</v>
      </c>
      <c r="F117" t="s">
        <v>521</v>
      </c>
      <c r="G117" t="s">
        <v>591</v>
      </c>
      <c r="H117" t="s">
        <v>130</v>
      </c>
      <c r="I117" t="s">
        <v>97</v>
      </c>
      <c r="J117" t="s">
        <v>98</v>
      </c>
      <c r="K117" t="s">
        <v>69</v>
      </c>
      <c r="L117" t="s">
        <v>592</v>
      </c>
      <c r="M117" t="s">
        <v>71</v>
      </c>
      <c r="N117" t="s">
        <v>100</v>
      </c>
      <c r="O117" t="s">
        <v>524</v>
      </c>
      <c r="P117" t="s">
        <v>525</v>
      </c>
      <c r="R117" t="s">
        <v>526</v>
      </c>
      <c r="S117" t="s">
        <v>142</v>
      </c>
      <c r="T117" t="s">
        <v>258</v>
      </c>
      <c r="U117" t="s">
        <v>104</v>
      </c>
      <c r="V117" t="s">
        <v>593</v>
      </c>
      <c r="W117">
        <v>590</v>
      </c>
      <c r="X117">
        <v>29.99</v>
      </c>
      <c r="Y117">
        <v>75</v>
      </c>
      <c r="Z117">
        <v>429000</v>
      </c>
      <c r="AA117">
        <v>1227200</v>
      </c>
      <c r="AB117">
        <v>140</v>
      </c>
      <c r="AD117" t="s">
        <v>238</v>
      </c>
      <c r="AE117">
        <v>3</v>
      </c>
      <c r="AF117">
        <v>0</v>
      </c>
      <c r="AI117">
        <v>30</v>
      </c>
      <c r="AJ117">
        <v>240</v>
      </c>
      <c r="AK117">
        <v>270</v>
      </c>
      <c r="AL117">
        <v>2080</v>
      </c>
      <c r="AM117">
        <v>275</v>
      </c>
      <c r="AN117">
        <v>0</v>
      </c>
      <c r="AO117">
        <v>275</v>
      </c>
      <c r="AP117" t="s">
        <v>80</v>
      </c>
      <c r="AQ117" t="s">
        <v>582</v>
      </c>
      <c r="AT117" t="s">
        <v>264</v>
      </c>
      <c r="AU117" t="s">
        <v>264</v>
      </c>
      <c r="AV117" t="s">
        <v>569</v>
      </c>
      <c r="AW117" t="s">
        <v>69</v>
      </c>
      <c r="AX117" t="s">
        <v>583</v>
      </c>
      <c r="AY117" t="s">
        <v>594</v>
      </c>
      <c r="AZ117" t="s">
        <v>245</v>
      </c>
      <c r="BA117" t="s">
        <v>244</v>
      </c>
      <c r="BB117" t="s">
        <v>244</v>
      </c>
      <c r="BC117" t="s">
        <v>264</v>
      </c>
      <c r="BD117" t="s">
        <v>597</v>
      </c>
      <c r="BE117" t="s">
        <v>596</v>
      </c>
      <c r="BF117" t="s">
        <v>240</v>
      </c>
      <c r="BG117" t="s">
        <v>150</v>
      </c>
      <c r="BH117" t="str">
        <f>IF(COUNTIF(工作表1!A:A, $C117)&gt;0, "預購款", "非預購款")</f>
        <v>非預購款</v>
      </c>
    </row>
    <row r="118" spans="1:60" x14ac:dyDescent="0.25">
      <c r="A118" t="s">
        <v>587</v>
      </c>
      <c r="B118" t="s">
        <v>226</v>
      </c>
      <c r="C118" t="s">
        <v>588</v>
      </c>
      <c r="D118" t="s">
        <v>589</v>
      </c>
      <c r="E118" t="s">
        <v>590</v>
      </c>
      <c r="F118" t="s">
        <v>521</v>
      </c>
      <c r="G118" t="s">
        <v>591</v>
      </c>
      <c r="H118" t="s">
        <v>132</v>
      </c>
      <c r="I118" t="s">
        <v>97</v>
      </c>
      <c r="J118" t="s">
        <v>98</v>
      </c>
      <c r="K118" t="s">
        <v>69</v>
      </c>
      <c r="L118" t="s">
        <v>592</v>
      </c>
      <c r="M118" t="s">
        <v>71</v>
      </c>
      <c r="N118" t="s">
        <v>100</v>
      </c>
      <c r="O118" t="s">
        <v>524</v>
      </c>
      <c r="P118" t="s">
        <v>525</v>
      </c>
      <c r="R118" t="s">
        <v>526</v>
      </c>
      <c r="S118" t="s">
        <v>142</v>
      </c>
      <c r="T118" t="s">
        <v>258</v>
      </c>
      <c r="U118" t="s">
        <v>104</v>
      </c>
      <c r="V118" t="s">
        <v>593</v>
      </c>
      <c r="W118">
        <v>590</v>
      </c>
      <c r="X118">
        <v>29.99</v>
      </c>
      <c r="Y118">
        <v>75</v>
      </c>
      <c r="Z118">
        <v>429000</v>
      </c>
      <c r="AA118">
        <v>1227200</v>
      </c>
      <c r="AB118">
        <v>140</v>
      </c>
      <c r="AD118" t="s">
        <v>238</v>
      </c>
      <c r="AE118">
        <v>3</v>
      </c>
      <c r="AF118">
        <v>0</v>
      </c>
      <c r="AI118">
        <v>15</v>
      </c>
      <c r="AJ118">
        <v>190</v>
      </c>
      <c r="AK118">
        <v>205</v>
      </c>
      <c r="AL118">
        <v>2080</v>
      </c>
      <c r="AM118">
        <v>209</v>
      </c>
      <c r="AN118">
        <v>0</v>
      </c>
      <c r="AO118">
        <v>209</v>
      </c>
      <c r="AP118" t="s">
        <v>80</v>
      </c>
      <c r="AQ118" t="s">
        <v>582</v>
      </c>
      <c r="AT118" t="s">
        <v>264</v>
      </c>
      <c r="AU118" t="s">
        <v>264</v>
      </c>
      <c r="AV118" t="s">
        <v>569</v>
      </c>
      <c r="AW118" t="s">
        <v>69</v>
      </c>
      <c r="AX118" t="s">
        <v>583</v>
      </c>
      <c r="AY118" t="s">
        <v>594</v>
      </c>
      <c r="AZ118" t="s">
        <v>245</v>
      </c>
      <c r="BA118" t="s">
        <v>244</v>
      </c>
      <c r="BB118" t="s">
        <v>244</v>
      </c>
      <c r="BC118" t="s">
        <v>264</v>
      </c>
      <c r="BD118" t="s">
        <v>598</v>
      </c>
      <c r="BE118" t="s">
        <v>596</v>
      </c>
      <c r="BF118" t="s">
        <v>240</v>
      </c>
      <c r="BG118" t="s">
        <v>150</v>
      </c>
      <c r="BH118" t="str">
        <f>IF(COUNTIF(工作表1!A:A, $C118)&gt;0, "預購款", "非預購款")</f>
        <v>非預購款</v>
      </c>
    </row>
    <row r="119" spans="1:60" x14ac:dyDescent="0.25">
      <c r="A119" t="s">
        <v>587</v>
      </c>
      <c r="B119" t="s">
        <v>226</v>
      </c>
      <c r="C119" t="s">
        <v>588</v>
      </c>
      <c r="D119" t="s">
        <v>589</v>
      </c>
      <c r="E119" t="s">
        <v>590</v>
      </c>
      <c r="F119" t="s">
        <v>521</v>
      </c>
      <c r="G119" t="s">
        <v>591</v>
      </c>
      <c r="H119" t="s">
        <v>119</v>
      </c>
      <c r="I119" t="s">
        <v>214</v>
      </c>
      <c r="J119" t="s">
        <v>215</v>
      </c>
      <c r="K119" t="s">
        <v>69</v>
      </c>
      <c r="L119" t="s">
        <v>592</v>
      </c>
      <c r="M119" t="s">
        <v>71</v>
      </c>
      <c r="N119" t="s">
        <v>100</v>
      </c>
      <c r="O119" t="s">
        <v>524</v>
      </c>
      <c r="P119" t="s">
        <v>525</v>
      </c>
      <c r="R119" t="s">
        <v>526</v>
      </c>
      <c r="S119" t="s">
        <v>142</v>
      </c>
      <c r="T119" t="s">
        <v>258</v>
      </c>
      <c r="U119" t="s">
        <v>104</v>
      </c>
      <c r="V119" t="s">
        <v>593</v>
      </c>
      <c r="W119">
        <v>590</v>
      </c>
      <c r="X119">
        <v>29.99</v>
      </c>
      <c r="Y119">
        <v>75</v>
      </c>
      <c r="Z119">
        <v>429000</v>
      </c>
      <c r="AA119">
        <v>1227200</v>
      </c>
      <c r="AB119">
        <v>140</v>
      </c>
      <c r="AD119" t="s">
        <v>238</v>
      </c>
      <c r="AE119">
        <v>3</v>
      </c>
      <c r="AF119">
        <v>0</v>
      </c>
      <c r="AI119">
        <v>210</v>
      </c>
      <c r="AJ119">
        <v>160</v>
      </c>
      <c r="AK119">
        <v>370</v>
      </c>
      <c r="AL119">
        <v>2080</v>
      </c>
      <c r="AM119">
        <v>378</v>
      </c>
      <c r="AN119">
        <v>0</v>
      </c>
      <c r="AO119">
        <v>378</v>
      </c>
      <c r="AP119" t="s">
        <v>80</v>
      </c>
      <c r="AQ119" t="s">
        <v>582</v>
      </c>
      <c r="AT119" t="s">
        <v>264</v>
      </c>
      <c r="AU119" t="s">
        <v>264</v>
      </c>
      <c r="AV119" t="s">
        <v>569</v>
      </c>
      <c r="AW119" t="s">
        <v>69</v>
      </c>
      <c r="AX119" t="s">
        <v>583</v>
      </c>
      <c r="AY119" t="s">
        <v>594</v>
      </c>
      <c r="AZ119" t="s">
        <v>245</v>
      </c>
      <c r="BA119" t="s">
        <v>244</v>
      </c>
      <c r="BB119" t="s">
        <v>244</v>
      </c>
      <c r="BC119" t="s">
        <v>264</v>
      </c>
      <c r="BD119" t="s">
        <v>599</v>
      </c>
      <c r="BE119" t="s">
        <v>596</v>
      </c>
      <c r="BF119" t="s">
        <v>240</v>
      </c>
      <c r="BG119" t="s">
        <v>150</v>
      </c>
      <c r="BH119" t="str">
        <f>IF(COUNTIF(工作表1!A:A, $C119)&gt;0, "預購款", "非預購款")</f>
        <v>非預購款</v>
      </c>
    </row>
    <row r="120" spans="1:60" x14ac:dyDescent="0.25">
      <c r="A120" t="s">
        <v>587</v>
      </c>
      <c r="B120" t="s">
        <v>226</v>
      </c>
      <c r="C120" t="s">
        <v>588</v>
      </c>
      <c r="D120" t="s">
        <v>589</v>
      </c>
      <c r="E120" t="s">
        <v>590</v>
      </c>
      <c r="F120" t="s">
        <v>521</v>
      </c>
      <c r="G120" t="s">
        <v>591</v>
      </c>
      <c r="H120" t="s">
        <v>130</v>
      </c>
      <c r="I120" t="s">
        <v>214</v>
      </c>
      <c r="J120" t="s">
        <v>215</v>
      </c>
      <c r="K120" t="s">
        <v>69</v>
      </c>
      <c r="L120" t="s">
        <v>592</v>
      </c>
      <c r="M120" t="s">
        <v>71</v>
      </c>
      <c r="N120" t="s">
        <v>100</v>
      </c>
      <c r="O120" t="s">
        <v>524</v>
      </c>
      <c r="P120" t="s">
        <v>525</v>
      </c>
      <c r="R120" t="s">
        <v>526</v>
      </c>
      <c r="S120" t="s">
        <v>142</v>
      </c>
      <c r="T120" t="s">
        <v>258</v>
      </c>
      <c r="U120" t="s">
        <v>104</v>
      </c>
      <c r="V120" t="s">
        <v>593</v>
      </c>
      <c r="W120">
        <v>590</v>
      </c>
      <c r="X120">
        <v>29.99</v>
      </c>
      <c r="Y120">
        <v>75</v>
      </c>
      <c r="Z120">
        <v>429000</v>
      </c>
      <c r="AA120">
        <v>1227200</v>
      </c>
      <c r="AB120">
        <v>140</v>
      </c>
      <c r="AD120" t="s">
        <v>238</v>
      </c>
      <c r="AE120">
        <v>3</v>
      </c>
      <c r="AF120">
        <v>0</v>
      </c>
      <c r="AI120">
        <v>150</v>
      </c>
      <c r="AJ120">
        <v>200</v>
      </c>
      <c r="AK120">
        <v>350</v>
      </c>
      <c r="AL120">
        <v>2080</v>
      </c>
      <c r="AM120">
        <v>360</v>
      </c>
      <c r="AN120">
        <v>0</v>
      </c>
      <c r="AO120">
        <v>360</v>
      </c>
      <c r="AP120" t="s">
        <v>80</v>
      </c>
      <c r="AQ120" t="s">
        <v>582</v>
      </c>
      <c r="AT120" t="s">
        <v>264</v>
      </c>
      <c r="AU120" t="s">
        <v>264</v>
      </c>
      <c r="AV120" t="s">
        <v>569</v>
      </c>
      <c r="AW120" t="s">
        <v>69</v>
      </c>
      <c r="AX120" t="s">
        <v>583</v>
      </c>
      <c r="AY120" t="s">
        <v>594</v>
      </c>
      <c r="AZ120" t="s">
        <v>245</v>
      </c>
      <c r="BA120" t="s">
        <v>244</v>
      </c>
      <c r="BB120" t="s">
        <v>244</v>
      </c>
      <c r="BC120" t="s">
        <v>264</v>
      </c>
      <c r="BD120" t="s">
        <v>600</v>
      </c>
      <c r="BE120" t="s">
        <v>596</v>
      </c>
      <c r="BF120" t="s">
        <v>240</v>
      </c>
      <c r="BG120" t="s">
        <v>150</v>
      </c>
      <c r="BH120" t="str">
        <f>IF(COUNTIF(工作表1!A:A, $C120)&gt;0, "預購款", "非預購款")</f>
        <v>非預購款</v>
      </c>
    </row>
    <row r="121" spans="1:60" x14ac:dyDescent="0.25">
      <c r="A121" t="s">
        <v>587</v>
      </c>
      <c r="B121" t="s">
        <v>226</v>
      </c>
      <c r="C121" t="s">
        <v>588</v>
      </c>
      <c r="D121" t="s">
        <v>589</v>
      </c>
      <c r="E121" t="s">
        <v>590</v>
      </c>
      <c r="F121" t="s">
        <v>521</v>
      </c>
      <c r="G121" t="s">
        <v>591</v>
      </c>
      <c r="H121" t="s">
        <v>132</v>
      </c>
      <c r="I121" t="s">
        <v>214</v>
      </c>
      <c r="J121" t="s">
        <v>215</v>
      </c>
      <c r="K121" t="s">
        <v>69</v>
      </c>
      <c r="L121" t="s">
        <v>592</v>
      </c>
      <c r="M121" t="s">
        <v>71</v>
      </c>
      <c r="N121" t="s">
        <v>100</v>
      </c>
      <c r="O121" t="s">
        <v>524</v>
      </c>
      <c r="P121" t="s">
        <v>525</v>
      </c>
      <c r="R121" t="s">
        <v>526</v>
      </c>
      <c r="S121" t="s">
        <v>142</v>
      </c>
      <c r="T121" t="s">
        <v>258</v>
      </c>
      <c r="U121" t="s">
        <v>104</v>
      </c>
      <c r="V121" t="s">
        <v>593</v>
      </c>
      <c r="W121">
        <v>590</v>
      </c>
      <c r="X121">
        <v>29.99</v>
      </c>
      <c r="Y121">
        <v>75</v>
      </c>
      <c r="Z121">
        <v>429000</v>
      </c>
      <c r="AA121">
        <v>1227200</v>
      </c>
      <c r="AB121">
        <v>140</v>
      </c>
      <c r="AD121" t="s">
        <v>238</v>
      </c>
      <c r="AE121">
        <v>3</v>
      </c>
      <c r="AF121">
        <v>0</v>
      </c>
      <c r="AI121">
        <v>140</v>
      </c>
      <c r="AJ121">
        <v>120</v>
      </c>
      <c r="AK121">
        <v>260</v>
      </c>
      <c r="AL121">
        <v>2080</v>
      </c>
      <c r="AM121">
        <v>266</v>
      </c>
      <c r="AN121">
        <v>0</v>
      </c>
      <c r="AO121">
        <v>266</v>
      </c>
      <c r="AP121" t="s">
        <v>80</v>
      </c>
      <c r="AQ121" t="s">
        <v>582</v>
      </c>
      <c r="AT121" t="s">
        <v>264</v>
      </c>
      <c r="AU121" t="s">
        <v>264</v>
      </c>
      <c r="AV121" t="s">
        <v>569</v>
      </c>
      <c r="AW121" t="s">
        <v>69</v>
      </c>
      <c r="AX121" t="s">
        <v>583</v>
      </c>
      <c r="AY121" t="s">
        <v>594</v>
      </c>
      <c r="AZ121" t="s">
        <v>245</v>
      </c>
      <c r="BA121" t="s">
        <v>244</v>
      </c>
      <c r="BB121" t="s">
        <v>244</v>
      </c>
      <c r="BC121" t="s">
        <v>264</v>
      </c>
      <c r="BD121" t="s">
        <v>601</v>
      </c>
      <c r="BE121" t="s">
        <v>596</v>
      </c>
      <c r="BF121" t="s">
        <v>240</v>
      </c>
      <c r="BG121" t="s">
        <v>150</v>
      </c>
      <c r="BH121" t="str">
        <f>IF(COUNTIF(工作表1!A:A, $C121)&gt;0, "預購款", "非預購款")</f>
        <v>非預購款</v>
      </c>
    </row>
    <row r="122" spans="1:60" x14ac:dyDescent="0.25">
      <c r="A122" t="s">
        <v>587</v>
      </c>
      <c r="B122" t="s">
        <v>226</v>
      </c>
      <c r="C122" t="s">
        <v>588</v>
      </c>
      <c r="D122" t="s">
        <v>589</v>
      </c>
      <c r="E122" t="s">
        <v>590</v>
      </c>
      <c r="F122" t="s">
        <v>521</v>
      </c>
      <c r="G122" t="s">
        <v>591</v>
      </c>
      <c r="H122" t="s">
        <v>119</v>
      </c>
      <c r="I122" t="s">
        <v>134</v>
      </c>
      <c r="J122" t="s">
        <v>135</v>
      </c>
      <c r="K122" t="s">
        <v>69</v>
      </c>
      <c r="L122" t="s">
        <v>592</v>
      </c>
      <c r="M122" t="s">
        <v>71</v>
      </c>
      <c r="N122" t="s">
        <v>100</v>
      </c>
      <c r="O122" t="s">
        <v>524</v>
      </c>
      <c r="P122" t="s">
        <v>525</v>
      </c>
      <c r="R122" t="s">
        <v>526</v>
      </c>
      <c r="S122" t="s">
        <v>142</v>
      </c>
      <c r="T122" t="s">
        <v>258</v>
      </c>
      <c r="U122" t="s">
        <v>104</v>
      </c>
      <c r="V122" t="s">
        <v>593</v>
      </c>
      <c r="W122">
        <v>590</v>
      </c>
      <c r="X122">
        <v>29.99</v>
      </c>
      <c r="Y122">
        <v>75</v>
      </c>
      <c r="Z122">
        <v>429000</v>
      </c>
      <c r="AA122">
        <v>1227200</v>
      </c>
      <c r="AB122">
        <v>140</v>
      </c>
      <c r="AD122" t="s">
        <v>238</v>
      </c>
      <c r="AE122">
        <v>3</v>
      </c>
      <c r="AF122">
        <v>0</v>
      </c>
      <c r="AI122">
        <v>50</v>
      </c>
      <c r="AJ122">
        <v>60</v>
      </c>
      <c r="AK122">
        <v>110</v>
      </c>
      <c r="AL122">
        <v>2080</v>
      </c>
      <c r="AM122">
        <v>110</v>
      </c>
      <c r="AN122">
        <v>0</v>
      </c>
      <c r="AO122">
        <v>110</v>
      </c>
      <c r="AP122" t="s">
        <v>80</v>
      </c>
      <c r="AQ122" t="s">
        <v>582</v>
      </c>
      <c r="AT122" t="s">
        <v>264</v>
      </c>
      <c r="AU122" t="s">
        <v>264</v>
      </c>
      <c r="AV122" t="s">
        <v>569</v>
      </c>
      <c r="AW122" t="s">
        <v>69</v>
      </c>
      <c r="AX122" t="s">
        <v>583</v>
      </c>
      <c r="AY122" t="s">
        <v>594</v>
      </c>
      <c r="AZ122" t="s">
        <v>245</v>
      </c>
      <c r="BA122" t="s">
        <v>244</v>
      </c>
      <c r="BB122" t="s">
        <v>244</v>
      </c>
      <c r="BC122" t="s">
        <v>264</v>
      </c>
      <c r="BD122" t="s">
        <v>602</v>
      </c>
      <c r="BE122" t="s">
        <v>596</v>
      </c>
      <c r="BF122" t="s">
        <v>240</v>
      </c>
      <c r="BG122" t="s">
        <v>150</v>
      </c>
      <c r="BH122" t="str">
        <f>IF(COUNTIF(工作表1!A:A, $C122)&gt;0, "預購款", "非預購款")</f>
        <v>非預購款</v>
      </c>
    </row>
    <row r="123" spans="1:60" x14ac:dyDescent="0.25">
      <c r="A123" t="s">
        <v>587</v>
      </c>
      <c r="B123" t="s">
        <v>226</v>
      </c>
      <c r="C123" t="s">
        <v>588</v>
      </c>
      <c r="D123" t="s">
        <v>589</v>
      </c>
      <c r="E123" t="s">
        <v>590</v>
      </c>
      <c r="F123" t="s">
        <v>521</v>
      </c>
      <c r="G123" t="s">
        <v>591</v>
      </c>
      <c r="H123" t="s">
        <v>130</v>
      </c>
      <c r="I123" t="s">
        <v>134</v>
      </c>
      <c r="J123" t="s">
        <v>135</v>
      </c>
      <c r="K123" t="s">
        <v>69</v>
      </c>
      <c r="L123" t="s">
        <v>592</v>
      </c>
      <c r="M123" t="s">
        <v>71</v>
      </c>
      <c r="N123" t="s">
        <v>100</v>
      </c>
      <c r="O123" t="s">
        <v>524</v>
      </c>
      <c r="P123" t="s">
        <v>525</v>
      </c>
      <c r="R123" t="s">
        <v>526</v>
      </c>
      <c r="S123" t="s">
        <v>142</v>
      </c>
      <c r="T123" t="s">
        <v>258</v>
      </c>
      <c r="U123" t="s">
        <v>104</v>
      </c>
      <c r="V123" t="s">
        <v>593</v>
      </c>
      <c r="W123">
        <v>590</v>
      </c>
      <c r="X123">
        <v>29.99</v>
      </c>
      <c r="Y123">
        <v>75</v>
      </c>
      <c r="Z123">
        <v>429000</v>
      </c>
      <c r="AA123">
        <v>1227200</v>
      </c>
      <c r="AB123">
        <v>140</v>
      </c>
      <c r="AD123" t="s">
        <v>238</v>
      </c>
      <c r="AE123">
        <v>3</v>
      </c>
      <c r="AF123">
        <v>0</v>
      </c>
      <c r="AI123">
        <v>60</v>
      </c>
      <c r="AJ123">
        <v>80</v>
      </c>
      <c r="AK123">
        <v>140</v>
      </c>
      <c r="AL123">
        <v>2080</v>
      </c>
      <c r="AM123">
        <v>140</v>
      </c>
      <c r="AN123">
        <v>0</v>
      </c>
      <c r="AO123">
        <v>140</v>
      </c>
      <c r="AP123" t="s">
        <v>80</v>
      </c>
      <c r="AQ123" t="s">
        <v>582</v>
      </c>
      <c r="AT123" t="s">
        <v>264</v>
      </c>
      <c r="AU123" t="s">
        <v>264</v>
      </c>
      <c r="AV123" t="s">
        <v>569</v>
      </c>
      <c r="AW123" t="s">
        <v>69</v>
      </c>
      <c r="AX123" t="s">
        <v>583</v>
      </c>
      <c r="AY123" t="s">
        <v>594</v>
      </c>
      <c r="AZ123" t="s">
        <v>245</v>
      </c>
      <c r="BA123" t="s">
        <v>244</v>
      </c>
      <c r="BB123" t="s">
        <v>244</v>
      </c>
      <c r="BC123" t="s">
        <v>264</v>
      </c>
      <c r="BD123" t="s">
        <v>603</v>
      </c>
      <c r="BE123" t="s">
        <v>596</v>
      </c>
      <c r="BF123" t="s">
        <v>240</v>
      </c>
      <c r="BG123" t="s">
        <v>150</v>
      </c>
      <c r="BH123" t="str">
        <f>IF(COUNTIF(工作表1!A:A, $C123)&gt;0, "預購款", "非預購款")</f>
        <v>非預購款</v>
      </c>
    </row>
    <row r="124" spans="1:60" x14ac:dyDescent="0.25">
      <c r="A124" t="s">
        <v>587</v>
      </c>
      <c r="B124" t="s">
        <v>226</v>
      </c>
      <c r="C124" t="s">
        <v>588</v>
      </c>
      <c r="D124" t="s">
        <v>589</v>
      </c>
      <c r="E124" t="s">
        <v>590</v>
      </c>
      <c r="F124" t="s">
        <v>521</v>
      </c>
      <c r="G124" t="s">
        <v>591</v>
      </c>
      <c r="H124" t="s">
        <v>132</v>
      </c>
      <c r="I124" t="s">
        <v>134</v>
      </c>
      <c r="J124" t="s">
        <v>135</v>
      </c>
      <c r="K124" t="s">
        <v>69</v>
      </c>
      <c r="L124" t="s">
        <v>592</v>
      </c>
      <c r="M124" t="s">
        <v>71</v>
      </c>
      <c r="N124" t="s">
        <v>100</v>
      </c>
      <c r="O124" t="s">
        <v>524</v>
      </c>
      <c r="P124" t="s">
        <v>525</v>
      </c>
      <c r="R124" t="s">
        <v>526</v>
      </c>
      <c r="S124" t="s">
        <v>142</v>
      </c>
      <c r="T124" t="s">
        <v>258</v>
      </c>
      <c r="U124" t="s">
        <v>104</v>
      </c>
      <c r="V124" t="s">
        <v>593</v>
      </c>
      <c r="W124">
        <v>590</v>
      </c>
      <c r="X124">
        <v>29.99</v>
      </c>
      <c r="Y124">
        <v>75</v>
      </c>
      <c r="Z124">
        <v>429000</v>
      </c>
      <c r="AA124">
        <v>1227200</v>
      </c>
      <c r="AB124">
        <v>140</v>
      </c>
      <c r="AD124" t="s">
        <v>238</v>
      </c>
      <c r="AE124">
        <v>3</v>
      </c>
      <c r="AF124">
        <v>0</v>
      </c>
      <c r="AI124">
        <v>45</v>
      </c>
      <c r="AJ124">
        <v>80</v>
      </c>
      <c r="AK124">
        <v>125</v>
      </c>
      <c r="AL124">
        <v>2080</v>
      </c>
      <c r="AM124">
        <v>125</v>
      </c>
      <c r="AN124">
        <v>0</v>
      </c>
      <c r="AO124">
        <v>125</v>
      </c>
      <c r="AP124" t="s">
        <v>80</v>
      </c>
      <c r="AQ124" t="s">
        <v>582</v>
      </c>
      <c r="AT124" t="s">
        <v>264</v>
      </c>
      <c r="AU124" t="s">
        <v>264</v>
      </c>
      <c r="AV124" t="s">
        <v>569</v>
      </c>
      <c r="AW124" t="s">
        <v>69</v>
      </c>
      <c r="AX124" t="s">
        <v>583</v>
      </c>
      <c r="AY124" t="s">
        <v>594</v>
      </c>
      <c r="AZ124" t="s">
        <v>245</v>
      </c>
      <c r="BA124" t="s">
        <v>244</v>
      </c>
      <c r="BB124" t="s">
        <v>244</v>
      </c>
      <c r="BC124" t="s">
        <v>264</v>
      </c>
      <c r="BD124" t="s">
        <v>604</v>
      </c>
      <c r="BE124" t="s">
        <v>596</v>
      </c>
      <c r="BF124" t="s">
        <v>240</v>
      </c>
      <c r="BG124" t="s">
        <v>150</v>
      </c>
      <c r="BH124" t="str">
        <f>IF(COUNTIF(工作表1!A:A, $C124)&gt;0, "預購款", "非預購款")</f>
        <v>非預購款</v>
      </c>
    </row>
    <row r="125" spans="1:60" x14ac:dyDescent="0.25">
      <c r="A125" t="s">
        <v>605</v>
      </c>
      <c r="B125" t="s">
        <v>226</v>
      </c>
      <c r="C125" t="s">
        <v>606</v>
      </c>
      <c r="D125" t="s">
        <v>607</v>
      </c>
      <c r="E125" t="s">
        <v>608</v>
      </c>
      <c r="F125" t="s">
        <v>521</v>
      </c>
      <c r="G125" t="s">
        <v>609</v>
      </c>
      <c r="H125" t="s">
        <v>273</v>
      </c>
      <c r="I125" t="s">
        <v>214</v>
      </c>
      <c r="J125" t="s">
        <v>215</v>
      </c>
      <c r="K125" t="s">
        <v>69</v>
      </c>
      <c r="L125" t="s">
        <v>592</v>
      </c>
      <c r="M125" t="s">
        <v>71</v>
      </c>
      <c r="N125" t="s">
        <v>100</v>
      </c>
      <c r="O125" t="s">
        <v>524</v>
      </c>
      <c r="P125" t="s">
        <v>525</v>
      </c>
      <c r="R125" t="s">
        <v>526</v>
      </c>
      <c r="S125" t="s">
        <v>142</v>
      </c>
      <c r="T125" t="s">
        <v>274</v>
      </c>
      <c r="U125" t="s">
        <v>104</v>
      </c>
      <c r="V125" t="s">
        <v>237</v>
      </c>
      <c r="W125">
        <v>690</v>
      </c>
      <c r="X125">
        <v>29.99</v>
      </c>
      <c r="Y125">
        <v>89</v>
      </c>
      <c r="Z125">
        <v>499000</v>
      </c>
      <c r="AA125">
        <v>162150</v>
      </c>
      <c r="AB125">
        <v>186</v>
      </c>
      <c r="AD125" t="s">
        <v>238</v>
      </c>
      <c r="AE125">
        <v>2</v>
      </c>
      <c r="AF125">
        <v>0</v>
      </c>
      <c r="AI125">
        <v>40</v>
      </c>
      <c r="AJ125">
        <v>50</v>
      </c>
      <c r="AK125">
        <v>90</v>
      </c>
      <c r="AL125">
        <v>235</v>
      </c>
      <c r="AM125">
        <v>100</v>
      </c>
      <c r="AN125">
        <v>0</v>
      </c>
      <c r="AO125">
        <v>100</v>
      </c>
      <c r="AP125" t="s">
        <v>80</v>
      </c>
      <c r="AQ125" t="s">
        <v>582</v>
      </c>
      <c r="AT125" t="s">
        <v>86</v>
      </c>
      <c r="AU125" t="s">
        <v>240</v>
      </c>
      <c r="AV125" t="s">
        <v>610</v>
      </c>
      <c r="AW125" t="s">
        <v>69</v>
      </c>
      <c r="AX125" t="s">
        <v>611</v>
      </c>
      <c r="AY125" t="s">
        <v>612</v>
      </c>
      <c r="AZ125" t="s">
        <v>245</v>
      </c>
      <c r="BA125" t="s">
        <v>244</v>
      </c>
      <c r="BB125" t="s">
        <v>244</v>
      </c>
      <c r="BC125" t="s">
        <v>264</v>
      </c>
      <c r="BD125" t="s">
        <v>613</v>
      </c>
      <c r="BE125" t="s">
        <v>614</v>
      </c>
      <c r="BF125" t="s">
        <v>279</v>
      </c>
      <c r="BG125" t="s">
        <v>150</v>
      </c>
      <c r="BH125" t="str">
        <f>IF(COUNTIF(工作表1!A:A, $C125)&gt;0, "預購款", "非預購款")</f>
        <v>非預購款</v>
      </c>
    </row>
    <row r="126" spans="1:60" x14ac:dyDescent="0.25">
      <c r="A126" t="s">
        <v>605</v>
      </c>
      <c r="B126" t="s">
        <v>226</v>
      </c>
      <c r="C126" t="s">
        <v>606</v>
      </c>
      <c r="D126" t="s">
        <v>607</v>
      </c>
      <c r="E126" t="s">
        <v>608</v>
      </c>
      <c r="F126" t="s">
        <v>521</v>
      </c>
      <c r="G126" t="s">
        <v>609</v>
      </c>
      <c r="H126" t="s">
        <v>501</v>
      </c>
      <c r="I126" t="s">
        <v>214</v>
      </c>
      <c r="J126" t="s">
        <v>215</v>
      </c>
      <c r="K126" t="s">
        <v>69</v>
      </c>
      <c r="L126" t="s">
        <v>592</v>
      </c>
      <c r="M126" t="s">
        <v>71</v>
      </c>
      <c r="N126" t="s">
        <v>100</v>
      </c>
      <c r="O126" t="s">
        <v>524</v>
      </c>
      <c r="P126" t="s">
        <v>525</v>
      </c>
      <c r="R126" t="s">
        <v>526</v>
      </c>
      <c r="S126" t="s">
        <v>142</v>
      </c>
      <c r="T126" t="s">
        <v>274</v>
      </c>
      <c r="U126" t="s">
        <v>104</v>
      </c>
      <c r="V126" t="s">
        <v>237</v>
      </c>
      <c r="W126">
        <v>690</v>
      </c>
      <c r="X126">
        <v>29.99</v>
      </c>
      <c r="Y126">
        <v>89</v>
      </c>
      <c r="Z126">
        <v>499000</v>
      </c>
      <c r="AA126">
        <v>162150</v>
      </c>
      <c r="AB126">
        <v>186</v>
      </c>
      <c r="AD126" t="s">
        <v>238</v>
      </c>
      <c r="AE126">
        <v>2</v>
      </c>
      <c r="AF126">
        <v>0</v>
      </c>
      <c r="AI126">
        <v>20</v>
      </c>
      <c r="AJ126">
        <v>20</v>
      </c>
      <c r="AK126">
        <v>40</v>
      </c>
      <c r="AL126">
        <v>235</v>
      </c>
      <c r="AM126">
        <v>49</v>
      </c>
      <c r="AN126">
        <v>0</v>
      </c>
      <c r="AO126">
        <v>49</v>
      </c>
      <c r="AP126" t="s">
        <v>80</v>
      </c>
      <c r="AQ126" t="s">
        <v>582</v>
      </c>
      <c r="AT126" t="s">
        <v>86</v>
      </c>
      <c r="AU126" t="s">
        <v>240</v>
      </c>
      <c r="AV126" t="s">
        <v>610</v>
      </c>
      <c r="AW126" t="s">
        <v>69</v>
      </c>
      <c r="AX126" t="s">
        <v>611</v>
      </c>
      <c r="AY126" t="s">
        <v>612</v>
      </c>
      <c r="AZ126" t="s">
        <v>245</v>
      </c>
      <c r="BA126" t="s">
        <v>244</v>
      </c>
      <c r="BB126" t="s">
        <v>244</v>
      </c>
      <c r="BC126" t="s">
        <v>264</v>
      </c>
      <c r="BD126" t="s">
        <v>615</v>
      </c>
      <c r="BE126" t="s">
        <v>614</v>
      </c>
      <c r="BF126" t="s">
        <v>279</v>
      </c>
      <c r="BG126" t="s">
        <v>150</v>
      </c>
      <c r="BH126" t="str">
        <f>IF(COUNTIF(工作表1!A:A, $C126)&gt;0, "預購款", "非預購款")</f>
        <v>非預購款</v>
      </c>
    </row>
    <row r="127" spans="1:60" x14ac:dyDescent="0.25">
      <c r="A127" t="s">
        <v>605</v>
      </c>
      <c r="B127" t="s">
        <v>226</v>
      </c>
      <c r="C127" t="s">
        <v>606</v>
      </c>
      <c r="D127" t="s">
        <v>607</v>
      </c>
      <c r="E127" t="s">
        <v>608</v>
      </c>
      <c r="F127" t="s">
        <v>521</v>
      </c>
      <c r="G127" t="s">
        <v>609</v>
      </c>
      <c r="H127" t="s">
        <v>280</v>
      </c>
      <c r="I127" t="s">
        <v>214</v>
      </c>
      <c r="J127" t="s">
        <v>215</v>
      </c>
      <c r="K127" t="s">
        <v>69</v>
      </c>
      <c r="L127" t="s">
        <v>592</v>
      </c>
      <c r="M127" t="s">
        <v>71</v>
      </c>
      <c r="N127" t="s">
        <v>100</v>
      </c>
      <c r="O127" t="s">
        <v>524</v>
      </c>
      <c r="P127" t="s">
        <v>525</v>
      </c>
      <c r="R127" t="s">
        <v>526</v>
      </c>
      <c r="S127" t="s">
        <v>142</v>
      </c>
      <c r="T127" t="s">
        <v>274</v>
      </c>
      <c r="U127" t="s">
        <v>104</v>
      </c>
      <c r="V127" t="s">
        <v>237</v>
      </c>
      <c r="W127">
        <v>690</v>
      </c>
      <c r="X127">
        <v>29.99</v>
      </c>
      <c r="Y127">
        <v>89</v>
      </c>
      <c r="Z127">
        <v>499000</v>
      </c>
      <c r="AA127">
        <v>162150</v>
      </c>
      <c r="AB127">
        <v>186</v>
      </c>
      <c r="AD127" t="s">
        <v>238</v>
      </c>
      <c r="AE127">
        <v>2</v>
      </c>
      <c r="AF127">
        <v>0</v>
      </c>
      <c r="AI127">
        <v>20</v>
      </c>
      <c r="AJ127">
        <v>25</v>
      </c>
      <c r="AK127">
        <v>45</v>
      </c>
      <c r="AL127">
        <v>235</v>
      </c>
      <c r="AM127">
        <v>51</v>
      </c>
      <c r="AN127">
        <v>0</v>
      </c>
      <c r="AO127">
        <v>51</v>
      </c>
      <c r="AP127" t="s">
        <v>80</v>
      </c>
      <c r="AQ127" t="s">
        <v>582</v>
      </c>
      <c r="AT127" t="s">
        <v>86</v>
      </c>
      <c r="AU127" t="s">
        <v>240</v>
      </c>
      <c r="AV127" t="s">
        <v>610</v>
      </c>
      <c r="AW127" t="s">
        <v>69</v>
      </c>
      <c r="AX127" t="s">
        <v>611</v>
      </c>
      <c r="AY127" t="s">
        <v>612</v>
      </c>
      <c r="AZ127" t="s">
        <v>245</v>
      </c>
      <c r="BA127" t="s">
        <v>244</v>
      </c>
      <c r="BB127" t="s">
        <v>244</v>
      </c>
      <c r="BC127" t="s">
        <v>264</v>
      </c>
      <c r="BD127" t="s">
        <v>616</v>
      </c>
      <c r="BE127" t="s">
        <v>614</v>
      </c>
      <c r="BF127" t="s">
        <v>279</v>
      </c>
      <c r="BG127" t="s">
        <v>150</v>
      </c>
      <c r="BH127" t="str">
        <f>IF(COUNTIF(工作表1!A:A, $C127)&gt;0, "預購款", "非預購款")</f>
        <v>非預購款</v>
      </c>
    </row>
    <row r="128" spans="1:60" x14ac:dyDescent="0.25">
      <c r="A128" t="s">
        <v>617</v>
      </c>
      <c r="B128" t="s">
        <v>226</v>
      </c>
      <c r="C128" t="s">
        <v>618</v>
      </c>
      <c r="D128" t="s">
        <v>619</v>
      </c>
      <c r="E128" t="s">
        <v>620</v>
      </c>
      <c r="F128" t="s">
        <v>521</v>
      </c>
      <c r="G128" t="s">
        <v>621</v>
      </c>
      <c r="H128" t="s">
        <v>66</v>
      </c>
      <c r="I128" t="s">
        <v>214</v>
      </c>
      <c r="J128" t="s">
        <v>215</v>
      </c>
      <c r="K128" t="s">
        <v>69</v>
      </c>
      <c r="L128" t="s">
        <v>622</v>
      </c>
      <c r="M128" t="s">
        <v>71</v>
      </c>
      <c r="N128" t="s">
        <v>100</v>
      </c>
      <c r="O128" t="s">
        <v>524</v>
      </c>
      <c r="P128" t="s">
        <v>525</v>
      </c>
      <c r="R128" t="s">
        <v>526</v>
      </c>
      <c r="S128" t="s">
        <v>142</v>
      </c>
      <c r="T128" t="s">
        <v>258</v>
      </c>
      <c r="U128" t="s">
        <v>104</v>
      </c>
      <c r="V128" t="s">
        <v>623</v>
      </c>
      <c r="W128">
        <v>890</v>
      </c>
      <c r="X128">
        <v>39.99</v>
      </c>
      <c r="Y128">
        <v>115</v>
      </c>
      <c r="Z128">
        <v>639000</v>
      </c>
      <c r="AA128">
        <v>160200</v>
      </c>
      <c r="AB128">
        <v>285</v>
      </c>
      <c r="AD128" t="s">
        <v>238</v>
      </c>
      <c r="AE128">
        <v>2</v>
      </c>
      <c r="AF128">
        <v>0</v>
      </c>
      <c r="AI128">
        <v>60</v>
      </c>
      <c r="AJ128">
        <v>60</v>
      </c>
      <c r="AK128">
        <v>120</v>
      </c>
      <c r="AL128">
        <v>180</v>
      </c>
      <c r="AM128">
        <v>120</v>
      </c>
      <c r="AN128">
        <v>0</v>
      </c>
      <c r="AO128">
        <v>120</v>
      </c>
      <c r="AP128" t="s">
        <v>80</v>
      </c>
      <c r="AQ128" t="s">
        <v>624</v>
      </c>
      <c r="AT128" t="s">
        <v>240</v>
      </c>
      <c r="AU128" t="s">
        <v>264</v>
      </c>
      <c r="AV128" t="s">
        <v>625</v>
      </c>
      <c r="AW128" t="s">
        <v>69</v>
      </c>
      <c r="AX128" t="s">
        <v>583</v>
      </c>
      <c r="AY128" t="s">
        <v>626</v>
      </c>
      <c r="AZ128" t="s">
        <v>244</v>
      </c>
      <c r="BA128" t="s">
        <v>243</v>
      </c>
      <c r="BB128" t="s">
        <v>244</v>
      </c>
      <c r="BC128" t="s">
        <v>264</v>
      </c>
      <c r="BD128" t="s">
        <v>627</v>
      </c>
      <c r="BE128" t="s">
        <v>628</v>
      </c>
      <c r="BF128" t="s">
        <v>240</v>
      </c>
      <c r="BG128" t="s">
        <v>150</v>
      </c>
      <c r="BH128" t="str">
        <f>IF(COUNTIF(工作表1!A:A, $C128)&gt;0, "預購款", "非預購款")</f>
        <v>非預購款</v>
      </c>
    </row>
    <row r="129" spans="1:60" x14ac:dyDescent="0.25">
      <c r="A129" t="s">
        <v>635</v>
      </c>
      <c r="B129" t="s">
        <v>226</v>
      </c>
      <c r="C129" t="s">
        <v>636</v>
      </c>
      <c r="D129" t="s">
        <v>637</v>
      </c>
      <c r="E129" t="s">
        <v>638</v>
      </c>
      <c r="F129" t="s">
        <v>521</v>
      </c>
      <c r="G129" t="s">
        <v>639</v>
      </c>
      <c r="H129" t="s">
        <v>119</v>
      </c>
      <c r="I129" t="s">
        <v>97</v>
      </c>
      <c r="J129" t="s">
        <v>98</v>
      </c>
      <c r="K129" t="s">
        <v>69</v>
      </c>
      <c r="L129" t="s">
        <v>640</v>
      </c>
      <c r="M129" t="s">
        <v>71</v>
      </c>
      <c r="N129" t="s">
        <v>100</v>
      </c>
      <c r="O129" t="s">
        <v>524</v>
      </c>
      <c r="P129" t="s">
        <v>525</v>
      </c>
      <c r="R129" t="s">
        <v>526</v>
      </c>
      <c r="S129" t="s">
        <v>142</v>
      </c>
      <c r="T129" t="s">
        <v>258</v>
      </c>
      <c r="U129" t="s">
        <v>150</v>
      </c>
      <c r="V129" t="s">
        <v>641</v>
      </c>
      <c r="W129">
        <v>790</v>
      </c>
      <c r="X129">
        <v>34.99</v>
      </c>
      <c r="Y129">
        <v>99</v>
      </c>
      <c r="Z129">
        <v>569000</v>
      </c>
      <c r="AA129">
        <v>110600</v>
      </c>
      <c r="AB129">
        <v>170</v>
      </c>
      <c r="AD129" t="s">
        <v>238</v>
      </c>
      <c r="AE129">
        <v>1</v>
      </c>
      <c r="AF129">
        <v>0</v>
      </c>
      <c r="AI129">
        <v>0</v>
      </c>
      <c r="AJ129">
        <v>65</v>
      </c>
      <c r="AK129">
        <v>65</v>
      </c>
      <c r="AL129">
        <v>140</v>
      </c>
      <c r="AM129">
        <v>64</v>
      </c>
      <c r="AN129">
        <v>0</v>
      </c>
      <c r="AO129">
        <v>64</v>
      </c>
      <c r="AP129" t="s">
        <v>80</v>
      </c>
      <c r="AQ129" t="s">
        <v>125</v>
      </c>
      <c r="AT129" t="s">
        <v>264</v>
      </c>
      <c r="AU129" t="s">
        <v>264</v>
      </c>
      <c r="AV129" t="s">
        <v>569</v>
      </c>
      <c r="AW129" t="s">
        <v>69</v>
      </c>
      <c r="AX129" t="s">
        <v>583</v>
      </c>
      <c r="AY129" t="s">
        <v>642</v>
      </c>
      <c r="AZ129" t="s">
        <v>243</v>
      </c>
      <c r="BA129" t="s">
        <v>244</v>
      </c>
      <c r="BB129" t="s">
        <v>244</v>
      </c>
      <c r="BC129" t="s">
        <v>264</v>
      </c>
      <c r="BD129" t="s">
        <v>643</v>
      </c>
      <c r="BE129" t="s">
        <v>644</v>
      </c>
      <c r="BF129" t="s">
        <v>240</v>
      </c>
      <c r="BG129" t="s">
        <v>87</v>
      </c>
      <c r="BH129" t="str">
        <f>IF(COUNTIF(工作表1!A:A, $C129)&gt;0, "預購款", "非預購款")</f>
        <v>非預購款</v>
      </c>
    </row>
    <row r="130" spans="1:60" x14ac:dyDescent="0.25">
      <c r="A130" t="s">
        <v>635</v>
      </c>
      <c r="B130" t="s">
        <v>226</v>
      </c>
      <c r="C130" t="s">
        <v>636</v>
      </c>
      <c r="D130" t="s">
        <v>637</v>
      </c>
      <c r="E130" t="s">
        <v>638</v>
      </c>
      <c r="F130" t="s">
        <v>521</v>
      </c>
      <c r="G130" t="s">
        <v>639</v>
      </c>
      <c r="H130" t="s">
        <v>130</v>
      </c>
      <c r="I130" t="s">
        <v>97</v>
      </c>
      <c r="J130" t="s">
        <v>98</v>
      </c>
      <c r="K130" t="s">
        <v>69</v>
      </c>
      <c r="L130" t="s">
        <v>640</v>
      </c>
      <c r="M130" t="s">
        <v>71</v>
      </c>
      <c r="N130" t="s">
        <v>100</v>
      </c>
      <c r="O130" t="s">
        <v>524</v>
      </c>
      <c r="P130" t="s">
        <v>525</v>
      </c>
      <c r="R130" t="s">
        <v>526</v>
      </c>
      <c r="S130" t="s">
        <v>142</v>
      </c>
      <c r="T130" t="s">
        <v>258</v>
      </c>
      <c r="U130" t="s">
        <v>150</v>
      </c>
      <c r="V130" t="s">
        <v>641</v>
      </c>
      <c r="W130">
        <v>790</v>
      </c>
      <c r="X130">
        <v>34.99</v>
      </c>
      <c r="Y130">
        <v>99</v>
      </c>
      <c r="Z130">
        <v>569000</v>
      </c>
      <c r="AA130">
        <v>110600</v>
      </c>
      <c r="AB130">
        <v>170</v>
      </c>
      <c r="AD130" t="s">
        <v>238</v>
      </c>
      <c r="AE130">
        <v>1</v>
      </c>
      <c r="AF130">
        <v>0</v>
      </c>
      <c r="AI130">
        <v>0</v>
      </c>
      <c r="AJ130">
        <v>35</v>
      </c>
      <c r="AK130">
        <v>35</v>
      </c>
      <c r="AL130">
        <v>140</v>
      </c>
      <c r="AM130">
        <v>38</v>
      </c>
      <c r="AN130">
        <v>0</v>
      </c>
      <c r="AO130">
        <v>38</v>
      </c>
      <c r="AP130" t="s">
        <v>80</v>
      </c>
      <c r="AQ130" t="s">
        <v>125</v>
      </c>
      <c r="AT130" t="s">
        <v>264</v>
      </c>
      <c r="AU130" t="s">
        <v>264</v>
      </c>
      <c r="AV130" t="s">
        <v>569</v>
      </c>
      <c r="AW130" t="s">
        <v>69</v>
      </c>
      <c r="AX130" t="s">
        <v>583</v>
      </c>
      <c r="AY130" t="s">
        <v>642</v>
      </c>
      <c r="AZ130" t="s">
        <v>243</v>
      </c>
      <c r="BA130" t="s">
        <v>244</v>
      </c>
      <c r="BB130" t="s">
        <v>244</v>
      </c>
      <c r="BC130" t="s">
        <v>264</v>
      </c>
      <c r="BD130" t="s">
        <v>645</v>
      </c>
      <c r="BE130" t="s">
        <v>644</v>
      </c>
      <c r="BF130" t="s">
        <v>240</v>
      </c>
      <c r="BG130" t="s">
        <v>87</v>
      </c>
      <c r="BH130" t="str">
        <f>IF(COUNTIF(工作表1!A:A, $C130)&gt;0, "預購款", "非預購款")</f>
        <v>非預購款</v>
      </c>
    </row>
    <row r="131" spans="1:60" x14ac:dyDescent="0.25">
      <c r="A131" t="s">
        <v>635</v>
      </c>
      <c r="B131" t="s">
        <v>226</v>
      </c>
      <c r="C131" t="s">
        <v>636</v>
      </c>
      <c r="D131" t="s">
        <v>637</v>
      </c>
      <c r="E131" t="s">
        <v>638</v>
      </c>
      <c r="F131" t="s">
        <v>521</v>
      </c>
      <c r="G131" t="s">
        <v>639</v>
      </c>
      <c r="H131" t="s">
        <v>132</v>
      </c>
      <c r="I131" t="s">
        <v>97</v>
      </c>
      <c r="J131" t="s">
        <v>98</v>
      </c>
      <c r="K131" t="s">
        <v>69</v>
      </c>
      <c r="L131" t="s">
        <v>640</v>
      </c>
      <c r="M131" t="s">
        <v>71</v>
      </c>
      <c r="N131" t="s">
        <v>100</v>
      </c>
      <c r="O131" t="s">
        <v>524</v>
      </c>
      <c r="P131" t="s">
        <v>525</v>
      </c>
      <c r="R131" t="s">
        <v>526</v>
      </c>
      <c r="S131" t="s">
        <v>142</v>
      </c>
      <c r="T131" t="s">
        <v>258</v>
      </c>
      <c r="U131" t="s">
        <v>150</v>
      </c>
      <c r="V131" t="s">
        <v>641</v>
      </c>
      <c r="W131">
        <v>790</v>
      </c>
      <c r="X131">
        <v>34.99</v>
      </c>
      <c r="Y131">
        <v>99</v>
      </c>
      <c r="Z131">
        <v>569000</v>
      </c>
      <c r="AA131">
        <v>110600</v>
      </c>
      <c r="AB131">
        <v>170</v>
      </c>
      <c r="AD131" t="s">
        <v>238</v>
      </c>
      <c r="AE131">
        <v>1</v>
      </c>
      <c r="AF131">
        <v>0</v>
      </c>
      <c r="AI131">
        <v>0</v>
      </c>
      <c r="AJ131">
        <v>40</v>
      </c>
      <c r="AK131">
        <v>40</v>
      </c>
      <c r="AL131">
        <v>140</v>
      </c>
      <c r="AM131">
        <v>42</v>
      </c>
      <c r="AN131">
        <v>0</v>
      </c>
      <c r="AO131">
        <v>42</v>
      </c>
      <c r="AP131" t="s">
        <v>80</v>
      </c>
      <c r="AQ131" t="s">
        <v>125</v>
      </c>
      <c r="AT131" t="s">
        <v>264</v>
      </c>
      <c r="AU131" t="s">
        <v>264</v>
      </c>
      <c r="AV131" t="s">
        <v>569</v>
      </c>
      <c r="AW131" t="s">
        <v>69</v>
      </c>
      <c r="AX131" t="s">
        <v>583</v>
      </c>
      <c r="AY131" t="s">
        <v>642</v>
      </c>
      <c r="AZ131" t="s">
        <v>243</v>
      </c>
      <c r="BA131" t="s">
        <v>244</v>
      </c>
      <c r="BB131" t="s">
        <v>244</v>
      </c>
      <c r="BC131" t="s">
        <v>264</v>
      </c>
      <c r="BD131" t="s">
        <v>646</v>
      </c>
      <c r="BE131" t="s">
        <v>644</v>
      </c>
      <c r="BF131" t="s">
        <v>240</v>
      </c>
      <c r="BG131" t="s">
        <v>87</v>
      </c>
      <c r="BH131" t="str">
        <f>IF(COUNTIF(工作表1!A:A, $C131)&gt;0, "預購款", "非預購款")</f>
        <v>非預購款</v>
      </c>
    </row>
    <row r="132" spans="1:60" x14ac:dyDescent="0.25">
      <c r="A132" t="s">
        <v>647</v>
      </c>
      <c r="B132" t="s">
        <v>283</v>
      </c>
      <c r="C132" t="s">
        <v>648</v>
      </c>
      <c r="D132" t="s">
        <v>649</v>
      </c>
      <c r="E132" t="s">
        <v>650</v>
      </c>
      <c r="F132" t="s">
        <v>521</v>
      </c>
      <c r="G132" t="s">
        <v>651</v>
      </c>
      <c r="H132" t="s">
        <v>119</v>
      </c>
      <c r="I132" t="s">
        <v>97</v>
      </c>
      <c r="J132" t="s">
        <v>98</v>
      </c>
      <c r="K132" t="s">
        <v>69</v>
      </c>
      <c r="L132" t="s">
        <v>652</v>
      </c>
      <c r="M132" t="s">
        <v>71</v>
      </c>
      <c r="N132" t="s">
        <v>100</v>
      </c>
      <c r="O132" t="s">
        <v>524</v>
      </c>
      <c r="P132" t="s">
        <v>525</v>
      </c>
      <c r="R132" t="s">
        <v>526</v>
      </c>
      <c r="S132" t="s">
        <v>142</v>
      </c>
      <c r="T132" t="s">
        <v>258</v>
      </c>
      <c r="U132" t="s">
        <v>104</v>
      </c>
      <c r="V132" t="s">
        <v>653</v>
      </c>
      <c r="W132">
        <v>690</v>
      </c>
      <c r="X132">
        <v>29.99</v>
      </c>
      <c r="Y132">
        <v>89</v>
      </c>
      <c r="Z132">
        <v>499000</v>
      </c>
      <c r="AA132">
        <v>407100</v>
      </c>
      <c r="AB132">
        <v>170</v>
      </c>
      <c r="AD132" t="s">
        <v>238</v>
      </c>
      <c r="AE132">
        <v>2</v>
      </c>
      <c r="AF132">
        <v>0</v>
      </c>
      <c r="AI132">
        <v>60</v>
      </c>
      <c r="AJ132">
        <v>170</v>
      </c>
      <c r="AK132">
        <v>230</v>
      </c>
      <c r="AL132">
        <v>590</v>
      </c>
      <c r="AM132">
        <v>230</v>
      </c>
      <c r="AN132">
        <v>0</v>
      </c>
      <c r="AO132">
        <v>230</v>
      </c>
      <c r="AP132" t="s">
        <v>80</v>
      </c>
      <c r="AQ132" t="s">
        <v>125</v>
      </c>
      <c r="AT132" t="s">
        <v>240</v>
      </c>
      <c r="AU132" t="s">
        <v>240</v>
      </c>
      <c r="AV132" t="s">
        <v>654</v>
      </c>
      <c r="AW132" t="s">
        <v>69</v>
      </c>
      <c r="AX132" t="s">
        <v>655</v>
      </c>
      <c r="AY132" t="s">
        <v>656</v>
      </c>
      <c r="AZ132" t="s">
        <v>245</v>
      </c>
      <c r="BA132" t="s">
        <v>244</v>
      </c>
      <c r="BB132" t="s">
        <v>244</v>
      </c>
      <c r="BC132" t="s">
        <v>264</v>
      </c>
      <c r="BD132" t="s">
        <v>659</v>
      </c>
      <c r="BE132" t="s">
        <v>657</v>
      </c>
      <c r="BF132" t="s">
        <v>658</v>
      </c>
      <c r="BG132" t="s">
        <v>150</v>
      </c>
      <c r="BH132" t="str">
        <f>IF(COUNTIF(工作表1!A:A, $C132)&gt;0, "預購款", "非預購款")</f>
        <v>非預購款</v>
      </c>
    </row>
    <row r="133" spans="1:60" x14ac:dyDescent="0.25">
      <c r="A133" t="s">
        <v>647</v>
      </c>
      <c r="B133" t="s">
        <v>283</v>
      </c>
      <c r="C133" t="s">
        <v>648</v>
      </c>
      <c r="D133" t="s">
        <v>649</v>
      </c>
      <c r="E133" t="s">
        <v>650</v>
      </c>
      <c r="F133" t="s">
        <v>521</v>
      </c>
      <c r="G133" t="s">
        <v>651</v>
      </c>
      <c r="H133" t="s">
        <v>130</v>
      </c>
      <c r="I133" t="s">
        <v>97</v>
      </c>
      <c r="J133" t="s">
        <v>98</v>
      </c>
      <c r="K133" t="s">
        <v>69</v>
      </c>
      <c r="L133" t="s">
        <v>652</v>
      </c>
      <c r="M133" t="s">
        <v>71</v>
      </c>
      <c r="N133" t="s">
        <v>100</v>
      </c>
      <c r="O133" t="s">
        <v>524</v>
      </c>
      <c r="P133" t="s">
        <v>525</v>
      </c>
      <c r="R133" t="s">
        <v>526</v>
      </c>
      <c r="S133" t="s">
        <v>142</v>
      </c>
      <c r="T133" t="s">
        <v>258</v>
      </c>
      <c r="U133" t="s">
        <v>104</v>
      </c>
      <c r="V133" t="s">
        <v>653</v>
      </c>
      <c r="W133">
        <v>690</v>
      </c>
      <c r="X133">
        <v>29.99</v>
      </c>
      <c r="Y133">
        <v>89</v>
      </c>
      <c r="Z133">
        <v>499000</v>
      </c>
      <c r="AA133">
        <v>407100</v>
      </c>
      <c r="AB133">
        <v>170</v>
      </c>
      <c r="AD133" t="s">
        <v>238</v>
      </c>
      <c r="AE133">
        <v>2</v>
      </c>
      <c r="AF133">
        <v>0</v>
      </c>
      <c r="AI133">
        <v>40</v>
      </c>
      <c r="AJ133">
        <v>100</v>
      </c>
      <c r="AK133">
        <v>140</v>
      </c>
      <c r="AL133">
        <v>590</v>
      </c>
      <c r="AM133">
        <v>146</v>
      </c>
      <c r="AN133">
        <v>0</v>
      </c>
      <c r="AO133">
        <v>146</v>
      </c>
      <c r="AP133" t="s">
        <v>80</v>
      </c>
      <c r="AQ133" t="s">
        <v>125</v>
      </c>
      <c r="AT133" t="s">
        <v>240</v>
      </c>
      <c r="AU133" t="s">
        <v>240</v>
      </c>
      <c r="AV133" t="s">
        <v>654</v>
      </c>
      <c r="AW133" t="s">
        <v>69</v>
      </c>
      <c r="AX133" t="s">
        <v>655</v>
      </c>
      <c r="AY133" t="s">
        <v>656</v>
      </c>
      <c r="AZ133" t="s">
        <v>245</v>
      </c>
      <c r="BA133" t="s">
        <v>244</v>
      </c>
      <c r="BB133" t="s">
        <v>244</v>
      </c>
      <c r="BC133" t="s">
        <v>264</v>
      </c>
      <c r="BD133" t="s">
        <v>660</v>
      </c>
      <c r="BE133" t="s">
        <v>657</v>
      </c>
      <c r="BF133" t="s">
        <v>658</v>
      </c>
      <c r="BG133" t="s">
        <v>150</v>
      </c>
      <c r="BH133" t="str">
        <f>IF(COUNTIF(工作表1!A:A, $C133)&gt;0, "預購款", "非預購款")</f>
        <v>非預購款</v>
      </c>
    </row>
    <row r="134" spans="1:60" x14ac:dyDescent="0.25">
      <c r="A134" t="s">
        <v>647</v>
      </c>
      <c r="B134" t="s">
        <v>283</v>
      </c>
      <c r="C134" t="s">
        <v>648</v>
      </c>
      <c r="D134" t="s">
        <v>649</v>
      </c>
      <c r="E134" t="s">
        <v>650</v>
      </c>
      <c r="F134" t="s">
        <v>521</v>
      </c>
      <c r="G134" t="s">
        <v>651</v>
      </c>
      <c r="H134" t="s">
        <v>132</v>
      </c>
      <c r="I134" t="s">
        <v>97</v>
      </c>
      <c r="J134" t="s">
        <v>98</v>
      </c>
      <c r="K134" t="s">
        <v>69</v>
      </c>
      <c r="L134" t="s">
        <v>652</v>
      </c>
      <c r="M134" t="s">
        <v>71</v>
      </c>
      <c r="N134" t="s">
        <v>100</v>
      </c>
      <c r="O134" t="s">
        <v>524</v>
      </c>
      <c r="P134" t="s">
        <v>525</v>
      </c>
      <c r="R134" t="s">
        <v>526</v>
      </c>
      <c r="S134" t="s">
        <v>142</v>
      </c>
      <c r="T134" t="s">
        <v>258</v>
      </c>
      <c r="U134" t="s">
        <v>104</v>
      </c>
      <c r="V134" t="s">
        <v>653</v>
      </c>
      <c r="W134">
        <v>690</v>
      </c>
      <c r="X134">
        <v>29.99</v>
      </c>
      <c r="Y134">
        <v>89</v>
      </c>
      <c r="Z134">
        <v>499000</v>
      </c>
      <c r="AA134">
        <v>407100</v>
      </c>
      <c r="AB134">
        <v>170</v>
      </c>
      <c r="AD134" t="s">
        <v>238</v>
      </c>
      <c r="AE134">
        <v>2</v>
      </c>
      <c r="AF134">
        <v>0</v>
      </c>
      <c r="AI134">
        <v>20</v>
      </c>
      <c r="AJ134">
        <v>60</v>
      </c>
      <c r="AK134">
        <v>80</v>
      </c>
      <c r="AL134">
        <v>590</v>
      </c>
      <c r="AM134">
        <v>90</v>
      </c>
      <c r="AN134">
        <v>0</v>
      </c>
      <c r="AO134">
        <v>90</v>
      </c>
      <c r="AP134" t="s">
        <v>80</v>
      </c>
      <c r="AQ134" t="s">
        <v>125</v>
      </c>
      <c r="AT134" t="s">
        <v>240</v>
      </c>
      <c r="AU134" t="s">
        <v>240</v>
      </c>
      <c r="AV134" t="s">
        <v>654</v>
      </c>
      <c r="AW134" t="s">
        <v>69</v>
      </c>
      <c r="AX134" t="s">
        <v>655</v>
      </c>
      <c r="AY134" t="s">
        <v>656</v>
      </c>
      <c r="AZ134" t="s">
        <v>245</v>
      </c>
      <c r="BA134" t="s">
        <v>244</v>
      </c>
      <c r="BB134" t="s">
        <v>244</v>
      </c>
      <c r="BC134" t="s">
        <v>264</v>
      </c>
      <c r="BD134" t="s">
        <v>661</v>
      </c>
      <c r="BE134" t="s">
        <v>657</v>
      </c>
      <c r="BF134" t="s">
        <v>658</v>
      </c>
      <c r="BG134" t="s">
        <v>150</v>
      </c>
      <c r="BH134" t="str">
        <f>IF(COUNTIF(工作表1!A:A, $C134)&gt;0, "預購款", "非預購款")</f>
        <v>非預購款</v>
      </c>
    </row>
    <row r="135" spans="1:60" x14ac:dyDescent="0.25">
      <c r="A135" t="s">
        <v>662</v>
      </c>
      <c r="B135" t="s">
        <v>283</v>
      </c>
      <c r="C135" t="s">
        <v>663</v>
      </c>
      <c r="D135" t="s">
        <v>664</v>
      </c>
      <c r="E135" t="s">
        <v>665</v>
      </c>
      <c r="F135" t="s">
        <v>521</v>
      </c>
      <c r="G135" t="s">
        <v>666</v>
      </c>
      <c r="H135" t="s">
        <v>273</v>
      </c>
      <c r="I135" t="s">
        <v>120</v>
      </c>
      <c r="J135" t="s">
        <v>121</v>
      </c>
      <c r="K135" t="s">
        <v>69</v>
      </c>
      <c r="L135" t="s">
        <v>652</v>
      </c>
      <c r="M135" t="s">
        <v>71</v>
      </c>
      <c r="N135" t="s">
        <v>100</v>
      </c>
      <c r="O135" t="s">
        <v>524</v>
      </c>
      <c r="P135" t="s">
        <v>525</v>
      </c>
      <c r="R135" t="s">
        <v>526</v>
      </c>
      <c r="S135" t="s">
        <v>142</v>
      </c>
      <c r="T135" t="s">
        <v>274</v>
      </c>
      <c r="U135" t="s">
        <v>104</v>
      </c>
      <c r="V135" t="s">
        <v>653</v>
      </c>
      <c r="W135">
        <v>790</v>
      </c>
      <c r="X135">
        <v>34.99</v>
      </c>
      <c r="Y135">
        <v>99</v>
      </c>
      <c r="Z135">
        <v>569000</v>
      </c>
      <c r="AA135">
        <v>189600</v>
      </c>
      <c r="AB135">
        <v>206</v>
      </c>
      <c r="AD135" t="s">
        <v>238</v>
      </c>
      <c r="AE135">
        <v>2</v>
      </c>
      <c r="AF135">
        <v>0</v>
      </c>
      <c r="AI135">
        <v>20</v>
      </c>
      <c r="AJ135">
        <v>50</v>
      </c>
      <c r="AK135">
        <v>70</v>
      </c>
      <c r="AL135">
        <v>240</v>
      </c>
      <c r="AM135">
        <v>75</v>
      </c>
      <c r="AN135">
        <v>0</v>
      </c>
      <c r="AO135">
        <v>75</v>
      </c>
      <c r="AP135" t="s">
        <v>80</v>
      </c>
      <c r="AQ135" t="s">
        <v>125</v>
      </c>
      <c r="AT135" t="s">
        <v>86</v>
      </c>
      <c r="AU135" t="s">
        <v>261</v>
      </c>
      <c r="AV135" t="s">
        <v>667</v>
      </c>
      <c r="AW135" t="s">
        <v>69</v>
      </c>
      <c r="AX135" t="s">
        <v>668</v>
      </c>
      <c r="AY135" t="s">
        <v>669</v>
      </c>
      <c r="AZ135" t="s">
        <v>245</v>
      </c>
      <c r="BA135" t="s">
        <v>244</v>
      </c>
      <c r="BB135" t="s">
        <v>244</v>
      </c>
      <c r="BC135" t="s">
        <v>264</v>
      </c>
      <c r="BD135" t="s">
        <v>670</v>
      </c>
      <c r="BE135" t="s">
        <v>671</v>
      </c>
      <c r="BF135" t="s">
        <v>672</v>
      </c>
      <c r="BG135" t="s">
        <v>150</v>
      </c>
      <c r="BH135" t="str">
        <f>IF(COUNTIF(工作表1!A:A, $C135)&gt;0, "預購款", "非預購款")</f>
        <v>非預購款</v>
      </c>
    </row>
    <row r="136" spans="1:60" x14ac:dyDescent="0.25">
      <c r="A136" t="s">
        <v>662</v>
      </c>
      <c r="B136" t="s">
        <v>283</v>
      </c>
      <c r="C136" t="s">
        <v>663</v>
      </c>
      <c r="D136" t="s">
        <v>664</v>
      </c>
      <c r="E136" t="s">
        <v>665</v>
      </c>
      <c r="F136" t="s">
        <v>521</v>
      </c>
      <c r="G136" t="s">
        <v>666</v>
      </c>
      <c r="H136" t="s">
        <v>501</v>
      </c>
      <c r="I136" t="s">
        <v>120</v>
      </c>
      <c r="J136" t="s">
        <v>121</v>
      </c>
      <c r="K136" t="s">
        <v>69</v>
      </c>
      <c r="L136" t="s">
        <v>652</v>
      </c>
      <c r="M136" t="s">
        <v>71</v>
      </c>
      <c r="N136" t="s">
        <v>100</v>
      </c>
      <c r="O136" t="s">
        <v>524</v>
      </c>
      <c r="P136" t="s">
        <v>525</v>
      </c>
      <c r="R136" t="s">
        <v>526</v>
      </c>
      <c r="S136" t="s">
        <v>142</v>
      </c>
      <c r="T136" t="s">
        <v>274</v>
      </c>
      <c r="U136" t="s">
        <v>104</v>
      </c>
      <c r="V136" t="s">
        <v>653</v>
      </c>
      <c r="W136">
        <v>790</v>
      </c>
      <c r="X136">
        <v>34.99</v>
      </c>
      <c r="Y136">
        <v>99</v>
      </c>
      <c r="Z136">
        <v>569000</v>
      </c>
      <c r="AA136">
        <v>189600</v>
      </c>
      <c r="AB136">
        <v>206</v>
      </c>
      <c r="AD136" t="s">
        <v>238</v>
      </c>
      <c r="AE136">
        <v>2</v>
      </c>
      <c r="AF136">
        <v>0</v>
      </c>
      <c r="AI136">
        <v>20</v>
      </c>
      <c r="AJ136">
        <v>25</v>
      </c>
      <c r="AK136">
        <v>45</v>
      </c>
      <c r="AL136">
        <v>240</v>
      </c>
      <c r="AM136">
        <v>48</v>
      </c>
      <c r="AN136">
        <v>0</v>
      </c>
      <c r="AO136">
        <v>48</v>
      </c>
      <c r="AP136" t="s">
        <v>80</v>
      </c>
      <c r="AQ136" t="s">
        <v>125</v>
      </c>
      <c r="AT136" t="s">
        <v>86</v>
      </c>
      <c r="AU136" t="s">
        <v>261</v>
      </c>
      <c r="AV136" t="s">
        <v>667</v>
      </c>
      <c r="AW136" t="s">
        <v>69</v>
      </c>
      <c r="AX136" t="s">
        <v>668</v>
      </c>
      <c r="AY136" t="s">
        <v>669</v>
      </c>
      <c r="AZ136" t="s">
        <v>245</v>
      </c>
      <c r="BA136" t="s">
        <v>244</v>
      </c>
      <c r="BB136" t="s">
        <v>244</v>
      </c>
      <c r="BC136" t="s">
        <v>264</v>
      </c>
      <c r="BD136" t="s">
        <v>673</v>
      </c>
      <c r="BE136" t="s">
        <v>671</v>
      </c>
      <c r="BF136" t="s">
        <v>672</v>
      </c>
      <c r="BG136" t="s">
        <v>150</v>
      </c>
      <c r="BH136" t="str">
        <f>IF(COUNTIF(工作表1!A:A, $C136)&gt;0, "預購款", "非預購款")</f>
        <v>非預購款</v>
      </c>
    </row>
    <row r="137" spans="1:60" x14ac:dyDescent="0.25">
      <c r="A137" t="s">
        <v>662</v>
      </c>
      <c r="B137" t="s">
        <v>283</v>
      </c>
      <c r="C137" t="s">
        <v>663</v>
      </c>
      <c r="D137" t="s">
        <v>664</v>
      </c>
      <c r="E137" t="s">
        <v>665</v>
      </c>
      <c r="F137" t="s">
        <v>521</v>
      </c>
      <c r="G137" t="s">
        <v>666</v>
      </c>
      <c r="H137" t="s">
        <v>280</v>
      </c>
      <c r="I137" t="s">
        <v>120</v>
      </c>
      <c r="J137" t="s">
        <v>121</v>
      </c>
      <c r="K137" t="s">
        <v>69</v>
      </c>
      <c r="L137" t="s">
        <v>652</v>
      </c>
      <c r="M137" t="s">
        <v>71</v>
      </c>
      <c r="N137" t="s">
        <v>100</v>
      </c>
      <c r="O137" t="s">
        <v>524</v>
      </c>
      <c r="P137" t="s">
        <v>525</v>
      </c>
      <c r="R137" t="s">
        <v>526</v>
      </c>
      <c r="S137" t="s">
        <v>142</v>
      </c>
      <c r="T137" t="s">
        <v>274</v>
      </c>
      <c r="U137" t="s">
        <v>104</v>
      </c>
      <c r="V137" t="s">
        <v>653</v>
      </c>
      <c r="W137">
        <v>790</v>
      </c>
      <c r="X137">
        <v>34.99</v>
      </c>
      <c r="Y137">
        <v>99</v>
      </c>
      <c r="Z137">
        <v>569000</v>
      </c>
      <c r="AA137">
        <v>189600</v>
      </c>
      <c r="AB137">
        <v>206</v>
      </c>
      <c r="AD137" t="s">
        <v>238</v>
      </c>
      <c r="AE137">
        <v>2</v>
      </c>
      <c r="AF137">
        <v>0</v>
      </c>
      <c r="AI137">
        <v>20</v>
      </c>
      <c r="AJ137">
        <v>30</v>
      </c>
      <c r="AK137">
        <v>50</v>
      </c>
      <c r="AL137">
        <v>240</v>
      </c>
      <c r="AM137">
        <v>54</v>
      </c>
      <c r="AN137">
        <v>0</v>
      </c>
      <c r="AO137">
        <v>54</v>
      </c>
      <c r="AP137" t="s">
        <v>80</v>
      </c>
      <c r="AQ137" t="s">
        <v>125</v>
      </c>
      <c r="AT137" t="s">
        <v>86</v>
      </c>
      <c r="AU137" t="s">
        <v>261</v>
      </c>
      <c r="AV137" t="s">
        <v>667</v>
      </c>
      <c r="AW137" t="s">
        <v>69</v>
      </c>
      <c r="AX137" t="s">
        <v>668</v>
      </c>
      <c r="AY137" t="s">
        <v>669</v>
      </c>
      <c r="AZ137" t="s">
        <v>245</v>
      </c>
      <c r="BA137" t="s">
        <v>244</v>
      </c>
      <c r="BB137" t="s">
        <v>244</v>
      </c>
      <c r="BC137" t="s">
        <v>264</v>
      </c>
      <c r="BD137" t="s">
        <v>674</v>
      </c>
      <c r="BE137" t="s">
        <v>671</v>
      </c>
      <c r="BF137" t="s">
        <v>672</v>
      </c>
      <c r="BG137" t="s">
        <v>150</v>
      </c>
      <c r="BH137" t="str">
        <f>IF(COUNTIF(工作表1!A:A, $C137)&gt;0, "預購款", "非預購款")</f>
        <v>非預購款</v>
      </c>
    </row>
    <row r="138" spans="1:60" x14ac:dyDescent="0.25">
      <c r="A138" t="s">
        <v>677</v>
      </c>
      <c r="B138" t="s">
        <v>678</v>
      </c>
      <c r="C138" t="s">
        <v>679</v>
      </c>
      <c r="D138" t="s">
        <v>680</v>
      </c>
      <c r="E138" t="s">
        <v>681</v>
      </c>
      <c r="F138" t="s">
        <v>521</v>
      </c>
      <c r="G138" t="s">
        <v>682</v>
      </c>
      <c r="H138" t="s">
        <v>119</v>
      </c>
      <c r="I138" t="s">
        <v>214</v>
      </c>
      <c r="J138" t="s">
        <v>215</v>
      </c>
      <c r="K138" t="s">
        <v>69</v>
      </c>
      <c r="L138" t="s">
        <v>683</v>
      </c>
      <c r="M138" t="s">
        <v>71</v>
      </c>
      <c r="N138" t="s">
        <v>100</v>
      </c>
      <c r="O138" t="s">
        <v>524</v>
      </c>
      <c r="P138" t="s">
        <v>525</v>
      </c>
      <c r="R138" t="s">
        <v>526</v>
      </c>
      <c r="S138" t="s">
        <v>142</v>
      </c>
      <c r="T138" t="s">
        <v>258</v>
      </c>
      <c r="U138" t="s">
        <v>684</v>
      </c>
      <c r="V138" t="s">
        <v>685</v>
      </c>
      <c r="W138">
        <v>990</v>
      </c>
      <c r="X138">
        <v>39.99</v>
      </c>
      <c r="Y138">
        <v>129</v>
      </c>
      <c r="Z138">
        <v>709000</v>
      </c>
      <c r="AA138">
        <v>376200</v>
      </c>
      <c r="AB138">
        <v>305</v>
      </c>
      <c r="AD138" t="s">
        <v>238</v>
      </c>
      <c r="AE138">
        <v>1</v>
      </c>
      <c r="AF138">
        <v>0</v>
      </c>
      <c r="AI138">
        <v>50</v>
      </c>
      <c r="AJ138">
        <v>140</v>
      </c>
      <c r="AK138">
        <v>190</v>
      </c>
      <c r="AL138">
        <v>380</v>
      </c>
      <c r="AM138">
        <v>200</v>
      </c>
      <c r="AN138">
        <v>0</v>
      </c>
      <c r="AO138">
        <v>200</v>
      </c>
      <c r="AP138" t="s">
        <v>80</v>
      </c>
      <c r="AQ138" t="s">
        <v>630</v>
      </c>
      <c r="AT138" t="s">
        <v>86</v>
      </c>
      <c r="AU138" t="s">
        <v>86</v>
      </c>
      <c r="AV138" t="s">
        <v>625</v>
      </c>
      <c r="AW138" t="s">
        <v>69</v>
      </c>
      <c r="AX138" t="s">
        <v>583</v>
      </c>
      <c r="AY138" t="s">
        <v>686</v>
      </c>
      <c r="AZ138" t="s">
        <v>245</v>
      </c>
      <c r="BA138" t="s">
        <v>245</v>
      </c>
      <c r="BB138" t="s">
        <v>244</v>
      </c>
      <c r="BC138" t="s">
        <v>264</v>
      </c>
      <c r="BD138" t="s">
        <v>687</v>
      </c>
      <c r="BE138" t="s">
        <v>688</v>
      </c>
      <c r="BF138" t="s">
        <v>240</v>
      </c>
      <c r="BG138" t="s">
        <v>150</v>
      </c>
      <c r="BH138" t="str">
        <f>IF(COUNTIF(工作表1!A:A, $C138)&gt;0, "預購款", "非預購款")</f>
        <v>非預購款</v>
      </c>
    </row>
    <row r="139" spans="1:60" x14ac:dyDescent="0.25">
      <c r="A139" t="s">
        <v>677</v>
      </c>
      <c r="B139" t="s">
        <v>678</v>
      </c>
      <c r="C139" t="s">
        <v>679</v>
      </c>
      <c r="D139" t="s">
        <v>680</v>
      </c>
      <c r="E139" t="s">
        <v>681</v>
      </c>
      <c r="F139" t="s">
        <v>521</v>
      </c>
      <c r="G139" t="s">
        <v>682</v>
      </c>
      <c r="H139" t="s">
        <v>130</v>
      </c>
      <c r="I139" t="s">
        <v>214</v>
      </c>
      <c r="J139" t="s">
        <v>215</v>
      </c>
      <c r="K139" t="s">
        <v>69</v>
      </c>
      <c r="L139" t="s">
        <v>683</v>
      </c>
      <c r="M139" t="s">
        <v>71</v>
      </c>
      <c r="N139" t="s">
        <v>100</v>
      </c>
      <c r="O139" t="s">
        <v>524</v>
      </c>
      <c r="P139" t="s">
        <v>525</v>
      </c>
      <c r="R139" t="s">
        <v>526</v>
      </c>
      <c r="S139" t="s">
        <v>142</v>
      </c>
      <c r="T139" t="s">
        <v>258</v>
      </c>
      <c r="U139" t="s">
        <v>684</v>
      </c>
      <c r="V139" t="s">
        <v>685</v>
      </c>
      <c r="W139">
        <v>990</v>
      </c>
      <c r="X139">
        <v>39.99</v>
      </c>
      <c r="Y139">
        <v>129</v>
      </c>
      <c r="Z139">
        <v>709000</v>
      </c>
      <c r="AA139">
        <v>376200</v>
      </c>
      <c r="AB139">
        <v>305</v>
      </c>
      <c r="AD139" t="s">
        <v>238</v>
      </c>
      <c r="AE139">
        <v>1</v>
      </c>
      <c r="AF139">
        <v>0</v>
      </c>
      <c r="AI139">
        <v>30</v>
      </c>
      <c r="AJ139">
        <v>80</v>
      </c>
      <c r="AK139">
        <v>110</v>
      </c>
      <c r="AL139">
        <v>380</v>
      </c>
      <c r="AM139">
        <v>112</v>
      </c>
      <c r="AN139">
        <v>0</v>
      </c>
      <c r="AO139">
        <v>112</v>
      </c>
      <c r="AP139" t="s">
        <v>80</v>
      </c>
      <c r="AQ139" t="s">
        <v>630</v>
      </c>
      <c r="AT139" t="s">
        <v>86</v>
      </c>
      <c r="AU139" t="s">
        <v>86</v>
      </c>
      <c r="AV139" t="s">
        <v>625</v>
      </c>
      <c r="AW139" t="s">
        <v>69</v>
      </c>
      <c r="AX139" t="s">
        <v>583</v>
      </c>
      <c r="AY139" t="s">
        <v>686</v>
      </c>
      <c r="AZ139" t="s">
        <v>245</v>
      </c>
      <c r="BA139" t="s">
        <v>245</v>
      </c>
      <c r="BB139" t="s">
        <v>244</v>
      </c>
      <c r="BC139" t="s">
        <v>264</v>
      </c>
      <c r="BD139" t="s">
        <v>689</v>
      </c>
      <c r="BE139" t="s">
        <v>688</v>
      </c>
      <c r="BF139" t="s">
        <v>240</v>
      </c>
      <c r="BG139" t="s">
        <v>150</v>
      </c>
      <c r="BH139" t="str">
        <f>IF(COUNTIF(工作表1!A:A, $C139)&gt;0, "預購款", "非預購款")</f>
        <v>非預購款</v>
      </c>
    </row>
    <row r="140" spans="1:60" x14ac:dyDescent="0.25">
      <c r="A140" t="s">
        <v>677</v>
      </c>
      <c r="B140" t="s">
        <v>678</v>
      </c>
      <c r="C140" t="s">
        <v>679</v>
      </c>
      <c r="D140" t="s">
        <v>680</v>
      </c>
      <c r="E140" t="s">
        <v>681</v>
      </c>
      <c r="F140" t="s">
        <v>521</v>
      </c>
      <c r="G140" t="s">
        <v>682</v>
      </c>
      <c r="H140" t="s">
        <v>132</v>
      </c>
      <c r="I140" t="s">
        <v>214</v>
      </c>
      <c r="J140" t="s">
        <v>215</v>
      </c>
      <c r="K140" t="s">
        <v>69</v>
      </c>
      <c r="L140" t="s">
        <v>683</v>
      </c>
      <c r="M140" t="s">
        <v>71</v>
      </c>
      <c r="N140" t="s">
        <v>100</v>
      </c>
      <c r="O140" t="s">
        <v>524</v>
      </c>
      <c r="P140" t="s">
        <v>525</v>
      </c>
      <c r="R140" t="s">
        <v>526</v>
      </c>
      <c r="S140" t="s">
        <v>142</v>
      </c>
      <c r="T140" t="s">
        <v>258</v>
      </c>
      <c r="U140" t="s">
        <v>684</v>
      </c>
      <c r="V140" t="s">
        <v>685</v>
      </c>
      <c r="W140">
        <v>990</v>
      </c>
      <c r="X140">
        <v>39.99</v>
      </c>
      <c r="Y140">
        <v>129</v>
      </c>
      <c r="Z140">
        <v>709000</v>
      </c>
      <c r="AA140">
        <v>376200</v>
      </c>
      <c r="AB140">
        <v>305</v>
      </c>
      <c r="AD140" t="s">
        <v>238</v>
      </c>
      <c r="AE140">
        <v>1</v>
      </c>
      <c r="AF140">
        <v>0</v>
      </c>
      <c r="AI140">
        <v>40</v>
      </c>
      <c r="AJ140">
        <v>40</v>
      </c>
      <c r="AK140">
        <v>80</v>
      </c>
      <c r="AL140">
        <v>380</v>
      </c>
      <c r="AM140">
        <v>88</v>
      </c>
      <c r="AN140">
        <v>0</v>
      </c>
      <c r="AO140">
        <v>88</v>
      </c>
      <c r="AP140" t="s">
        <v>80</v>
      </c>
      <c r="AQ140" t="s">
        <v>630</v>
      </c>
      <c r="AT140" t="s">
        <v>86</v>
      </c>
      <c r="AU140" t="s">
        <v>86</v>
      </c>
      <c r="AV140" t="s">
        <v>625</v>
      </c>
      <c r="AW140" t="s">
        <v>69</v>
      </c>
      <c r="AX140" t="s">
        <v>583</v>
      </c>
      <c r="AY140" t="s">
        <v>686</v>
      </c>
      <c r="AZ140" t="s">
        <v>245</v>
      </c>
      <c r="BA140" t="s">
        <v>245</v>
      </c>
      <c r="BB140" t="s">
        <v>244</v>
      </c>
      <c r="BC140" t="s">
        <v>264</v>
      </c>
      <c r="BD140" t="s">
        <v>690</v>
      </c>
      <c r="BE140" t="s">
        <v>688</v>
      </c>
      <c r="BF140" t="s">
        <v>240</v>
      </c>
      <c r="BG140" t="s">
        <v>150</v>
      </c>
      <c r="BH140" t="str">
        <f>IF(COUNTIF(工作表1!A:A, $C140)&gt;0, "預購款", "非預購款")</f>
        <v>非預購款</v>
      </c>
    </row>
    <row r="141" spans="1:60" x14ac:dyDescent="0.25">
      <c r="A141" t="s">
        <v>691</v>
      </c>
      <c r="B141" t="s">
        <v>678</v>
      </c>
      <c r="C141" t="s">
        <v>692</v>
      </c>
      <c r="D141" t="s">
        <v>693</v>
      </c>
      <c r="E141" t="s">
        <v>694</v>
      </c>
      <c r="F141" t="s">
        <v>521</v>
      </c>
      <c r="G141" t="s">
        <v>695</v>
      </c>
      <c r="H141" t="s">
        <v>273</v>
      </c>
      <c r="I141" t="s">
        <v>214</v>
      </c>
      <c r="J141" t="s">
        <v>215</v>
      </c>
      <c r="K141" t="s">
        <v>69</v>
      </c>
      <c r="L141" t="s">
        <v>683</v>
      </c>
      <c r="M141" t="s">
        <v>71</v>
      </c>
      <c r="N141" t="s">
        <v>100</v>
      </c>
      <c r="O141" t="s">
        <v>524</v>
      </c>
      <c r="P141" t="s">
        <v>525</v>
      </c>
      <c r="R141" t="s">
        <v>526</v>
      </c>
      <c r="S141" t="s">
        <v>142</v>
      </c>
      <c r="T141" t="s">
        <v>274</v>
      </c>
      <c r="U141" t="s">
        <v>684</v>
      </c>
      <c r="V141" t="s">
        <v>685</v>
      </c>
      <c r="W141">
        <v>1080</v>
      </c>
      <c r="X141">
        <v>44.99</v>
      </c>
      <c r="Y141">
        <v>139</v>
      </c>
      <c r="Z141">
        <v>779000</v>
      </c>
      <c r="AA141">
        <v>189000</v>
      </c>
      <c r="AB141">
        <v>350</v>
      </c>
      <c r="AD141" t="s">
        <v>238</v>
      </c>
      <c r="AE141">
        <v>1</v>
      </c>
      <c r="AF141">
        <v>0</v>
      </c>
      <c r="AI141">
        <v>30</v>
      </c>
      <c r="AJ141">
        <v>50</v>
      </c>
      <c r="AK141">
        <v>80</v>
      </c>
      <c r="AL141">
        <v>175</v>
      </c>
      <c r="AM141">
        <v>90</v>
      </c>
      <c r="AN141">
        <v>0</v>
      </c>
      <c r="AO141">
        <v>90</v>
      </c>
      <c r="AP141" t="s">
        <v>80</v>
      </c>
      <c r="AQ141" t="s">
        <v>630</v>
      </c>
      <c r="AT141" t="s">
        <v>86</v>
      </c>
      <c r="AU141" t="s">
        <v>261</v>
      </c>
      <c r="AV141" t="s">
        <v>633</v>
      </c>
      <c r="AW141" t="s">
        <v>69</v>
      </c>
      <c r="AX141" t="s">
        <v>696</v>
      </c>
      <c r="AY141" t="s">
        <v>697</v>
      </c>
      <c r="AZ141" t="s">
        <v>245</v>
      </c>
      <c r="BA141" t="s">
        <v>245</v>
      </c>
      <c r="BB141" t="s">
        <v>244</v>
      </c>
      <c r="BC141" t="s">
        <v>264</v>
      </c>
      <c r="BD141" t="s">
        <v>698</v>
      </c>
      <c r="BE141" t="s">
        <v>699</v>
      </c>
      <c r="BF141" t="s">
        <v>279</v>
      </c>
      <c r="BG141" t="s">
        <v>150</v>
      </c>
      <c r="BH141" t="str">
        <f>IF(COUNTIF(工作表1!A:A, $C141)&gt;0, "預購款", "非預購款")</f>
        <v>非預購款</v>
      </c>
    </row>
    <row r="142" spans="1:60" x14ac:dyDescent="0.25">
      <c r="A142" t="s">
        <v>691</v>
      </c>
      <c r="B142" t="s">
        <v>678</v>
      </c>
      <c r="C142" t="s">
        <v>692</v>
      </c>
      <c r="D142" t="s">
        <v>693</v>
      </c>
      <c r="E142" t="s">
        <v>694</v>
      </c>
      <c r="F142" t="s">
        <v>521</v>
      </c>
      <c r="G142" t="s">
        <v>695</v>
      </c>
      <c r="H142" t="s">
        <v>501</v>
      </c>
      <c r="I142" t="s">
        <v>214</v>
      </c>
      <c r="J142" t="s">
        <v>215</v>
      </c>
      <c r="K142" t="s">
        <v>69</v>
      </c>
      <c r="L142" t="s">
        <v>683</v>
      </c>
      <c r="M142" t="s">
        <v>71</v>
      </c>
      <c r="N142" t="s">
        <v>100</v>
      </c>
      <c r="O142" t="s">
        <v>524</v>
      </c>
      <c r="P142" t="s">
        <v>525</v>
      </c>
      <c r="R142" t="s">
        <v>526</v>
      </c>
      <c r="S142" t="s">
        <v>142</v>
      </c>
      <c r="T142" t="s">
        <v>274</v>
      </c>
      <c r="U142" t="s">
        <v>684</v>
      </c>
      <c r="V142" t="s">
        <v>685</v>
      </c>
      <c r="W142">
        <v>1080</v>
      </c>
      <c r="X142">
        <v>44.99</v>
      </c>
      <c r="Y142">
        <v>139</v>
      </c>
      <c r="Z142">
        <v>779000</v>
      </c>
      <c r="AA142">
        <v>189000</v>
      </c>
      <c r="AB142">
        <v>350</v>
      </c>
      <c r="AD142" t="s">
        <v>238</v>
      </c>
      <c r="AE142">
        <v>1</v>
      </c>
      <c r="AF142">
        <v>0</v>
      </c>
      <c r="AI142">
        <v>15</v>
      </c>
      <c r="AJ142">
        <v>25</v>
      </c>
      <c r="AK142">
        <v>40</v>
      </c>
      <c r="AL142">
        <v>175</v>
      </c>
      <c r="AM142">
        <v>46</v>
      </c>
      <c r="AN142">
        <v>0</v>
      </c>
      <c r="AO142">
        <v>46</v>
      </c>
      <c r="AP142" t="s">
        <v>80</v>
      </c>
      <c r="AQ142" t="s">
        <v>630</v>
      </c>
      <c r="AT142" t="s">
        <v>86</v>
      </c>
      <c r="AU142" t="s">
        <v>261</v>
      </c>
      <c r="AV142" t="s">
        <v>633</v>
      </c>
      <c r="AW142" t="s">
        <v>69</v>
      </c>
      <c r="AX142" t="s">
        <v>696</v>
      </c>
      <c r="AY142" t="s">
        <v>697</v>
      </c>
      <c r="AZ142" t="s">
        <v>245</v>
      </c>
      <c r="BA142" t="s">
        <v>245</v>
      </c>
      <c r="BB142" t="s">
        <v>244</v>
      </c>
      <c r="BC142" t="s">
        <v>264</v>
      </c>
      <c r="BD142" t="s">
        <v>700</v>
      </c>
      <c r="BE142" t="s">
        <v>699</v>
      </c>
      <c r="BF142" t="s">
        <v>279</v>
      </c>
      <c r="BG142" t="s">
        <v>150</v>
      </c>
      <c r="BH142" t="str">
        <f>IF(COUNTIF(工作表1!A:A, $C142)&gt;0, "預購款", "非預購款")</f>
        <v>非預購款</v>
      </c>
    </row>
    <row r="143" spans="1:60" x14ac:dyDescent="0.25">
      <c r="A143" t="s">
        <v>691</v>
      </c>
      <c r="B143" t="s">
        <v>678</v>
      </c>
      <c r="C143" t="s">
        <v>692</v>
      </c>
      <c r="D143" t="s">
        <v>693</v>
      </c>
      <c r="E143" t="s">
        <v>694</v>
      </c>
      <c r="F143" t="s">
        <v>521</v>
      </c>
      <c r="G143" t="s">
        <v>695</v>
      </c>
      <c r="H143" t="s">
        <v>280</v>
      </c>
      <c r="I143" t="s">
        <v>214</v>
      </c>
      <c r="J143" t="s">
        <v>215</v>
      </c>
      <c r="K143" t="s">
        <v>69</v>
      </c>
      <c r="L143" t="s">
        <v>683</v>
      </c>
      <c r="M143" t="s">
        <v>71</v>
      </c>
      <c r="N143" t="s">
        <v>100</v>
      </c>
      <c r="O143" t="s">
        <v>524</v>
      </c>
      <c r="P143" t="s">
        <v>525</v>
      </c>
      <c r="R143" t="s">
        <v>526</v>
      </c>
      <c r="S143" t="s">
        <v>142</v>
      </c>
      <c r="T143" t="s">
        <v>274</v>
      </c>
      <c r="U143" t="s">
        <v>684</v>
      </c>
      <c r="V143" t="s">
        <v>685</v>
      </c>
      <c r="W143">
        <v>1080</v>
      </c>
      <c r="X143">
        <v>44.99</v>
      </c>
      <c r="Y143">
        <v>139</v>
      </c>
      <c r="Z143">
        <v>779000</v>
      </c>
      <c r="AA143">
        <v>189000</v>
      </c>
      <c r="AB143">
        <v>350</v>
      </c>
      <c r="AD143" t="s">
        <v>238</v>
      </c>
      <c r="AE143">
        <v>1</v>
      </c>
      <c r="AF143">
        <v>0</v>
      </c>
      <c r="AI143">
        <v>20</v>
      </c>
      <c r="AJ143">
        <v>35</v>
      </c>
      <c r="AK143">
        <v>55</v>
      </c>
      <c r="AL143">
        <v>175</v>
      </c>
      <c r="AM143">
        <v>63</v>
      </c>
      <c r="AN143">
        <v>0</v>
      </c>
      <c r="AO143">
        <v>63</v>
      </c>
      <c r="AP143" t="s">
        <v>80</v>
      </c>
      <c r="AQ143" t="s">
        <v>630</v>
      </c>
      <c r="AT143" t="s">
        <v>86</v>
      </c>
      <c r="AU143" t="s">
        <v>261</v>
      </c>
      <c r="AV143" t="s">
        <v>633</v>
      </c>
      <c r="AW143" t="s">
        <v>69</v>
      </c>
      <c r="AX143" t="s">
        <v>696</v>
      </c>
      <c r="AY143" t="s">
        <v>697</v>
      </c>
      <c r="AZ143" t="s">
        <v>245</v>
      </c>
      <c r="BA143" t="s">
        <v>245</v>
      </c>
      <c r="BB143" t="s">
        <v>244</v>
      </c>
      <c r="BC143" t="s">
        <v>264</v>
      </c>
      <c r="BD143" t="s">
        <v>701</v>
      </c>
      <c r="BE143" t="s">
        <v>699</v>
      </c>
      <c r="BF143" t="s">
        <v>279</v>
      </c>
      <c r="BG143" t="s">
        <v>150</v>
      </c>
      <c r="BH143" t="str">
        <f>IF(COUNTIF(工作表1!A:A, $C143)&gt;0, "預購款", "非預購款")</f>
        <v>非預購款</v>
      </c>
    </row>
    <row r="144" spans="1:60" x14ac:dyDescent="0.25">
      <c r="A144" t="s">
        <v>702</v>
      </c>
      <c r="B144" t="s">
        <v>60</v>
      </c>
      <c r="C144" t="s">
        <v>703</v>
      </c>
      <c r="D144" t="s">
        <v>704</v>
      </c>
      <c r="E144" t="s">
        <v>705</v>
      </c>
      <c r="F144" t="s">
        <v>521</v>
      </c>
      <c r="G144" t="s">
        <v>706</v>
      </c>
      <c r="H144" t="s">
        <v>119</v>
      </c>
      <c r="I144" t="s">
        <v>162</v>
      </c>
      <c r="J144" t="s">
        <v>163</v>
      </c>
      <c r="K144" t="s">
        <v>69</v>
      </c>
      <c r="L144" t="s">
        <v>707</v>
      </c>
      <c r="M144" t="s">
        <v>71</v>
      </c>
      <c r="N144" t="s">
        <v>72</v>
      </c>
      <c r="O144" t="s">
        <v>708</v>
      </c>
      <c r="P144" t="s">
        <v>709</v>
      </c>
      <c r="R144" t="s">
        <v>710</v>
      </c>
      <c r="S144" t="s">
        <v>142</v>
      </c>
      <c r="T144" t="s">
        <v>76</v>
      </c>
      <c r="U144" t="s">
        <v>383</v>
      </c>
      <c r="V144" t="s">
        <v>384</v>
      </c>
      <c r="W144">
        <v>990</v>
      </c>
      <c r="X144">
        <v>39.99</v>
      </c>
      <c r="Y144">
        <v>129</v>
      </c>
      <c r="Z144">
        <v>709000</v>
      </c>
      <c r="AA144">
        <v>524700</v>
      </c>
      <c r="AB144">
        <v>496</v>
      </c>
      <c r="AD144" t="s">
        <v>238</v>
      </c>
      <c r="AE144">
        <v>2</v>
      </c>
      <c r="AF144">
        <v>0</v>
      </c>
      <c r="AI144">
        <v>60</v>
      </c>
      <c r="AJ144">
        <v>80</v>
      </c>
      <c r="AK144">
        <v>140</v>
      </c>
      <c r="AL144">
        <v>530</v>
      </c>
      <c r="AM144">
        <v>131</v>
      </c>
      <c r="AN144">
        <v>0</v>
      </c>
      <c r="AO144">
        <v>131</v>
      </c>
      <c r="AP144" t="s">
        <v>80</v>
      </c>
      <c r="AQ144" t="s">
        <v>125</v>
      </c>
      <c r="AR144" t="s">
        <v>261</v>
      </c>
      <c r="AT144" t="s">
        <v>86</v>
      </c>
      <c r="AU144" t="s">
        <v>86</v>
      </c>
      <c r="AV144" t="s">
        <v>81</v>
      </c>
      <c r="AW144" t="s">
        <v>69</v>
      </c>
      <c r="AX144" t="s">
        <v>387</v>
      </c>
      <c r="AY144" t="s">
        <v>711</v>
      </c>
      <c r="AZ144" t="s">
        <v>244</v>
      </c>
      <c r="BA144" t="s">
        <v>244</v>
      </c>
      <c r="BB144" t="s">
        <v>243</v>
      </c>
      <c r="BC144" t="s">
        <v>245</v>
      </c>
      <c r="BD144" t="s">
        <v>712</v>
      </c>
      <c r="BE144" t="s">
        <v>713</v>
      </c>
      <c r="BF144" t="s">
        <v>86</v>
      </c>
      <c r="BG144" t="s">
        <v>110</v>
      </c>
      <c r="BH144" t="str">
        <f>IF(COUNTIF(工作表1!A:A, $C144)&gt;0, "預購款", "非預購款")</f>
        <v>非預購款</v>
      </c>
    </row>
    <row r="145" spans="1:60" x14ac:dyDescent="0.25">
      <c r="A145" t="s">
        <v>702</v>
      </c>
      <c r="B145" t="s">
        <v>60</v>
      </c>
      <c r="C145" t="s">
        <v>703</v>
      </c>
      <c r="D145" t="s">
        <v>704</v>
      </c>
      <c r="E145" t="s">
        <v>705</v>
      </c>
      <c r="F145" t="s">
        <v>521</v>
      </c>
      <c r="G145" t="s">
        <v>706</v>
      </c>
      <c r="H145" t="s">
        <v>130</v>
      </c>
      <c r="I145" t="s">
        <v>162</v>
      </c>
      <c r="J145" t="s">
        <v>163</v>
      </c>
      <c r="K145" t="s">
        <v>69</v>
      </c>
      <c r="L145" t="s">
        <v>707</v>
      </c>
      <c r="M145" t="s">
        <v>71</v>
      </c>
      <c r="N145" t="s">
        <v>72</v>
      </c>
      <c r="O145" t="s">
        <v>708</v>
      </c>
      <c r="P145" t="s">
        <v>709</v>
      </c>
      <c r="R145" t="s">
        <v>710</v>
      </c>
      <c r="S145" t="s">
        <v>142</v>
      </c>
      <c r="T145" t="s">
        <v>76</v>
      </c>
      <c r="U145" t="s">
        <v>383</v>
      </c>
      <c r="V145" t="s">
        <v>384</v>
      </c>
      <c r="W145">
        <v>990</v>
      </c>
      <c r="X145">
        <v>39.99</v>
      </c>
      <c r="Y145">
        <v>129</v>
      </c>
      <c r="Z145">
        <v>709000</v>
      </c>
      <c r="AA145">
        <v>524700</v>
      </c>
      <c r="AB145">
        <v>496</v>
      </c>
      <c r="AD145" t="s">
        <v>238</v>
      </c>
      <c r="AE145">
        <v>2</v>
      </c>
      <c r="AF145">
        <v>0</v>
      </c>
      <c r="AI145">
        <v>40</v>
      </c>
      <c r="AJ145">
        <v>40</v>
      </c>
      <c r="AK145">
        <v>80</v>
      </c>
      <c r="AL145">
        <v>530</v>
      </c>
      <c r="AM145">
        <v>80</v>
      </c>
      <c r="AN145">
        <v>0</v>
      </c>
      <c r="AO145">
        <v>80</v>
      </c>
      <c r="AP145" t="s">
        <v>80</v>
      </c>
      <c r="AQ145" t="s">
        <v>125</v>
      </c>
      <c r="AR145" t="s">
        <v>261</v>
      </c>
      <c r="AT145" t="s">
        <v>86</v>
      </c>
      <c r="AU145" t="s">
        <v>86</v>
      </c>
      <c r="AV145" t="s">
        <v>81</v>
      </c>
      <c r="AW145" t="s">
        <v>69</v>
      </c>
      <c r="AX145" t="s">
        <v>387</v>
      </c>
      <c r="AY145" t="s">
        <v>711</v>
      </c>
      <c r="AZ145" t="s">
        <v>244</v>
      </c>
      <c r="BA145" t="s">
        <v>244</v>
      </c>
      <c r="BB145" t="s">
        <v>243</v>
      </c>
      <c r="BC145" t="s">
        <v>245</v>
      </c>
      <c r="BD145" t="s">
        <v>714</v>
      </c>
      <c r="BE145" t="s">
        <v>713</v>
      </c>
      <c r="BF145" t="s">
        <v>86</v>
      </c>
      <c r="BG145" t="s">
        <v>110</v>
      </c>
      <c r="BH145" t="str">
        <f>IF(COUNTIF(工作表1!A:A, $C145)&gt;0, "預購款", "非預購款")</f>
        <v>非預購款</v>
      </c>
    </row>
    <row r="146" spans="1:60" x14ac:dyDescent="0.25">
      <c r="A146" t="s">
        <v>702</v>
      </c>
      <c r="B146" t="s">
        <v>60</v>
      </c>
      <c r="C146" t="s">
        <v>703</v>
      </c>
      <c r="D146" t="s">
        <v>704</v>
      </c>
      <c r="E146" t="s">
        <v>705</v>
      </c>
      <c r="F146" t="s">
        <v>521</v>
      </c>
      <c r="G146" t="s">
        <v>706</v>
      </c>
      <c r="H146" t="s">
        <v>132</v>
      </c>
      <c r="I146" t="s">
        <v>162</v>
      </c>
      <c r="J146" t="s">
        <v>163</v>
      </c>
      <c r="K146" t="s">
        <v>69</v>
      </c>
      <c r="L146" t="s">
        <v>707</v>
      </c>
      <c r="M146" t="s">
        <v>71</v>
      </c>
      <c r="N146" t="s">
        <v>72</v>
      </c>
      <c r="O146" t="s">
        <v>708</v>
      </c>
      <c r="P146" t="s">
        <v>709</v>
      </c>
      <c r="R146" t="s">
        <v>710</v>
      </c>
      <c r="S146" t="s">
        <v>142</v>
      </c>
      <c r="T146" t="s">
        <v>76</v>
      </c>
      <c r="U146" t="s">
        <v>383</v>
      </c>
      <c r="V146" t="s">
        <v>384</v>
      </c>
      <c r="W146">
        <v>990</v>
      </c>
      <c r="X146">
        <v>39.99</v>
      </c>
      <c r="Y146">
        <v>129</v>
      </c>
      <c r="Z146">
        <v>709000</v>
      </c>
      <c r="AA146">
        <v>524700</v>
      </c>
      <c r="AB146">
        <v>496</v>
      </c>
      <c r="AD146" t="s">
        <v>238</v>
      </c>
      <c r="AE146">
        <v>2</v>
      </c>
      <c r="AF146">
        <v>0</v>
      </c>
      <c r="AI146">
        <v>30</v>
      </c>
      <c r="AJ146">
        <v>20</v>
      </c>
      <c r="AK146">
        <v>50</v>
      </c>
      <c r="AL146">
        <v>530</v>
      </c>
      <c r="AM146">
        <v>47</v>
      </c>
      <c r="AN146">
        <v>0</v>
      </c>
      <c r="AO146">
        <v>47</v>
      </c>
      <c r="AP146" t="s">
        <v>80</v>
      </c>
      <c r="AQ146" t="s">
        <v>125</v>
      </c>
      <c r="AR146" t="s">
        <v>261</v>
      </c>
      <c r="AT146" t="s">
        <v>86</v>
      </c>
      <c r="AU146" t="s">
        <v>86</v>
      </c>
      <c r="AV146" t="s">
        <v>81</v>
      </c>
      <c r="AW146" t="s">
        <v>69</v>
      </c>
      <c r="AX146" t="s">
        <v>387</v>
      </c>
      <c r="AY146" t="s">
        <v>711</v>
      </c>
      <c r="AZ146" t="s">
        <v>244</v>
      </c>
      <c r="BA146" t="s">
        <v>244</v>
      </c>
      <c r="BB146" t="s">
        <v>243</v>
      </c>
      <c r="BC146" t="s">
        <v>245</v>
      </c>
      <c r="BD146" t="s">
        <v>715</v>
      </c>
      <c r="BE146" t="s">
        <v>713</v>
      </c>
      <c r="BF146" t="s">
        <v>86</v>
      </c>
      <c r="BG146" t="s">
        <v>110</v>
      </c>
      <c r="BH146" t="str">
        <f>IF(COUNTIF(工作表1!A:A, $C146)&gt;0, "預購款", "非預購款")</f>
        <v>非預購款</v>
      </c>
    </row>
    <row r="147" spans="1:60" x14ac:dyDescent="0.25">
      <c r="A147" t="s">
        <v>702</v>
      </c>
      <c r="B147" t="s">
        <v>60</v>
      </c>
      <c r="C147" t="s">
        <v>703</v>
      </c>
      <c r="D147" t="s">
        <v>704</v>
      </c>
      <c r="E147" t="s">
        <v>705</v>
      </c>
      <c r="F147" t="s">
        <v>521</v>
      </c>
      <c r="G147" t="s">
        <v>706</v>
      </c>
      <c r="H147" t="s">
        <v>119</v>
      </c>
      <c r="I147" t="s">
        <v>88</v>
      </c>
      <c r="J147" t="s">
        <v>89</v>
      </c>
      <c r="K147" t="s">
        <v>69</v>
      </c>
      <c r="L147" t="s">
        <v>707</v>
      </c>
      <c r="M147" t="s">
        <v>71</v>
      </c>
      <c r="N147" t="s">
        <v>72</v>
      </c>
      <c r="O147" t="s">
        <v>708</v>
      </c>
      <c r="P147" t="s">
        <v>709</v>
      </c>
      <c r="R147" t="s">
        <v>710</v>
      </c>
      <c r="S147" t="s">
        <v>142</v>
      </c>
      <c r="T147" t="s">
        <v>76</v>
      </c>
      <c r="U147" t="s">
        <v>383</v>
      </c>
      <c r="V147" t="s">
        <v>384</v>
      </c>
      <c r="W147">
        <v>990</v>
      </c>
      <c r="X147">
        <v>39.99</v>
      </c>
      <c r="Y147">
        <v>129</v>
      </c>
      <c r="Z147">
        <v>709000</v>
      </c>
      <c r="AA147">
        <v>524700</v>
      </c>
      <c r="AB147">
        <v>496</v>
      </c>
      <c r="AD147" t="s">
        <v>238</v>
      </c>
      <c r="AE147">
        <v>2</v>
      </c>
      <c r="AF147">
        <v>0</v>
      </c>
      <c r="AI147">
        <v>60</v>
      </c>
      <c r="AJ147">
        <v>70</v>
      </c>
      <c r="AK147">
        <v>130</v>
      </c>
      <c r="AL147">
        <v>530</v>
      </c>
      <c r="AM147">
        <v>126</v>
      </c>
      <c r="AN147">
        <v>0</v>
      </c>
      <c r="AO147">
        <v>126</v>
      </c>
      <c r="AP147" t="s">
        <v>80</v>
      </c>
      <c r="AQ147" t="s">
        <v>125</v>
      </c>
      <c r="AR147" t="s">
        <v>261</v>
      </c>
      <c r="AT147" t="s">
        <v>86</v>
      </c>
      <c r="AU147" t="s">
        <v>86</v>
      </c>
      <c r="AV147" t="s">
        <v>81</v>
      </c>
      <c r="AW147" t="s">
        <v>69</v>
      </c>
      <c r="AX147" t="s">
        <v>387</v>
      </c>
      <c r="AY147" t="s">
        <v>711</v>
      </c>
      <c r="AZ147" t="s">
        <v>244</v>
      </c>
      <c r="BA147" t="s">
        <v>244</v>
      </c>
      <c r="BB147" t="s">
        <v>243</v>
      </c>
      <c r="BC147" t="s">
        <v>245</v>
      </c>
      <c r="BD147" t="s">
        <v>716</v>
      </c>
      <c r="BE147" t="s">
        <v>713</v>
      </c>
      <c r="BF147" t="s">
        <v>86</v>
      </c>
      <c r="BG147" t="s">
        <v>110</v>
      </c>
      <c r="BH147" t="str">
        <f>IF(COUNTIF(工作表1!A:A, $C147)&gt;0, "預購款", "非預購款")</f>
        <v>非預購款</v>
      </c>
    </row>
    <row r="148" spans="1:60" x14ac:dyDescent="0.25">
      <c r="A148" t="s">
        <v>702</v>
      </c>
      <c r="B148" t="s">
        <v>60</v>
      </c>
      <c r="C148" t="s">
        <v>703</v>
      </c>
      <c r="D148" t="s">
        <v>704</v>
      </c>
      <c r="E148" t="s">
        <v>705</v>
      </c>
      <c r="F148" t="s">
        <v>521</v>
      </c>
      <c r="G148" t="s">
        <v>706</v>
      </c>
      <c r="H148" t="s">
        <v>130</v>
      </c>
      <c r="I148" t="s">
        <v>88</v>
      </c>
      <c r="J148" t="s">
        <v>89</v>
      </c>
      <c r="K148" t="s">
        <v>69</v>
      </c>
      <c r="L148" t="s">
        <v>707</v>
      </c>
      <c r="M148" t="s">
        <v>71</v>
      </c>
      <c r="N148" t="s">
        <v>72</v>
      </c>
      <c r="O148" t="s">
        <v>708</v>
      </c>
      <c r="P148" t="s">
        <v>709</v>
      </c>
      <c r="R148" t="s">
        <v>710</v>
      </c>
      <c r="S148" t="s">
        <v>142</v>
      </c>
      <c r="T148" t="s">
        <v>76</v>
      </c>
      <c r="U148" t="s">
        <v>383</v>
      </c>
      <c r="V148" t="s">
        <v>384</v>
      </c>
      <c r="W148">
        <v>990</v>
      </c>
      <c r="X148">
        <v>39.99</v>
      </c>
      <c r="Y148">
        <v>129</v>
      </c>
      <c r="Z148">
        <v>709000</v>
      </c>
      <c r="AA148">
        <v>524700</v>
      </c>
      <c r="AB148">
        <v>496</v>
      </c>
      <c r="AD148" t="s">
        <v>238</v>
      </c>
      <c r="AE148">
        <v>2</v>
      </c>
      <c r="AF148">
        <v>0</v>
      </c>
      <c r="AI148">
        <v>40</v>
      </c>
      <c r="AJ148">
        <v>40</v>
      </c>
      <c r="AK148">
        <v>80</v>
      </c>
      <c r="AL148">
        <v>530</v>
      </c>
      <c r="AM148">
        <v>77</v>
      </c>
      <c r="AN148">
        <v>0</v>
      </c>
      <c r="AO148">
        <v>77</v>
      </c>
      <c r="AP148" t="s">
        <v>80</v>
      </c>
      <c r="AQ148" t="s">
        <v>125</v>
      </c>
      <c r="AR148" t="s">
        <v>261</v>
      </c>
      <c r="AT148" t="s">
        <v>86</v>
      </c>
      <c r="AU148" t="s">
        <v>86</v>
      </c>
      <c r="AV148" t="s">
        <v>81</v>
      </c>
      <c r="AW148" t="s">
        <v>69</v>
      </c>
      <c r="AX148" t="s">
        <v>387</v>
      </c>
      <c r="AY148" t="s">
        <v>711</v>
      </c>
      <c r="AZ148" t="s">
        <v>244</v>
      </c>
      <c r="BA148" t="s">
        <v>244</v>
      </c>
      <c r="BB148" t="s">
        <v>243</v>
      </c>
      <c r="BC148" t="s">
        <v>245</v>
      </c>
      <c r="BD148" t="s">
        <v>717</v>
      </c>
      <c r="BE148" t="s">
        <v>713</v>
      </c>
      <c r="BF148" t="s">
        <v>86</v>
      </c>
      <c r="BG148" t="s">
        <v>110</v>
      </c>
      <c r="BH148" t="str">
        <f>IF(COUNTIF(工作表1!A:A, $C148)&gt;0, "預購款", "非預購款")</f>
        <v>非預購款</v>
      </c>
    </row>
    <row r="149" spans="1:60" x14ac:dyDescent="0.25">
      <c r="A149" t="s">
        <v>702</v>
      </c>
      <c r="B149" t="s">
        <v>60</v>
      </c>
      <c r="C149" t="s">
        <v>703</v>
      </c>
      <c r="D149" t="s">
        <v>704</v>
      </c>
      <c r="E149" t="s">
        <v>705</v>
      </c>
      <c r="F149" t="s">
        <v>521</v>
      </c>
      <c r="G149" t="s">
        <v>706</v>
      </c>
      <c r="H149" t="s">
        <v>132</v>
      </c>
      <c r="I149" t="s">
        <v>88</v>
      </c>
      <c r="J149" t="s">
        <v>89</v>
      </c>
      <c r="K149" t="s">
        <v>69</v>
      </c>
      <c r="L149" t="s">
        <v>707</v>
      </c>
      <c r="M149" t="s">
        <v>71</v>
      </c>
      <c r="N149" t="s">
        <v>72</v>
      </c>
      <c r="O149" t="s">
        <v>708</v>
      </c>
      <c r="P149" t="s">
        <v>709</v>
      </c>
      <c r="R149" t="s">
        <v>710</v>
      </c>
      <c r="S149" t="s">
        <v>142</v>
      </c>
      <c r="T149" t="s">
        <v>76</v>
      </c>
      <c r="U149" t="s">
        <v>383</v>
      </c>
      <c r="V149" t="s">
        <v>384</v>
      </c>
      <c r="W149">
        <v>990</v>
      </c>
      <c r="X149">
        <v>39.99</v>
      </c>
      <c r="Y149">
        <v>129</v>
      </c>
      <c r="Z149">
        <v>709000</v>
      </c>
      <c r="AA149">
        <v>524700</v>
      </c>
      <c r="AB149">
        <v>496</v>
      </c>
      <c r="AD149" t="s">
        <v>238</v>
      </c>
      <c r="AE149">
        <v>2</v>
      </c>
      <c r="AF149">
        <v>0</v>
      </c>
      <c r="AI149">
        <v>30</v>
      </c>
      <c r="AJ149">
        <v>20</v>
      </c>
      <c r="AK149">
        <v>50</v>
      </c>
      <c r="AL149">
        <v>530</v>
      </c>
      <c r="AM149">
        <v>48</v>
      </c>
      <c r="AN149">
        <v>0</v>
      </c>
      <c r="AO149">
        <v>48</v>
      </c>
      <c r="AP149" t="s">
        <v>80</v>
      </c>
      <c r="AQ149" t="s">
        <v>125</v>
      </c>
      <c r="AR149" t="s">
        <v>261</v>
      </c>
      <c r="AT149" t="s">
        <v>86</v>
      </c>
      <c r="AU149" t="s">
        <v>86</v>
      </c>
      <c r="AV149" t="s">
        <v>81</v>
      </c>
      <c r="AW149" t="s">
        <v>69</v>
      </c>
      <c r="AX149" t="s">
        <v>387</v>
      </c>
      <c r="AY149" t="s">
        <v>711</v>
      </c>
      <c r="AZ149" t="s">
        <v>244</v>
      </c>
      <c r="BA149" t="s">
        <v>244</v>
      </c>
      <c r="BB149" t="s">
        <v>243</v>
      </c>
      <c r="BC149" t="s">
        <v>245</v>
      </c>
      <c r="BD149" t="s">
        <v>718</v>
      </c>
      <c r="BE149" t="s">
        <v>713</v>
      </c>
      <c r="BF149" t="s">
        <v>86</v>
      </c>
      <c r="BG149" t="s">
        <v>110</v>
      </c>
      <c r="BH149" t="str">
        <f>IF(COUNTIF(工作表1!A:A, $C149)&gt;0, "預購款", "非預購款")</f>
        <v>非預購款</v>
      </c>
    </row>
    <row r="150" spans="1:60" x14ac:dyDescent="0.25">
      <c r="A150" t="s">
        <v>719</v>
      </c>
      <c r="B150" t="s">
        <v>488</v>
      </c>
      <c r="C150" t="s">
        <v>720</v>
      </c>
      <c r="D150" t="s">
        <v>721</v>
      </c>
      <c r="E150" t="s">
        <v>722</v>
      </c>
      <c r="F150" t="s">
        <v>95</v>
      </c>
      <c r="G150" t="s">
        <v>723</v>
      </c>
      <c r="H150" t="s">
        <v>119</v>
      </c>
      <c r="I150" t="s">
        <v>111</v>
      </c>
      <c r="J150" t="s">
        <v>112</v>
      </c>
      <c r="K150" t="s">
        <v>69</v>
      </c>
      <c r="L150" t="s">
        <v>724</v>
      </c>
      <c r="M150" t="s">
        <v>71</v>
      </c>
      <c r="N150" t="s">
        <v>72</v>
      </c>
      <c r="O150" t="s">
        <v>725</v>
      </c>
      <c r="P150" t="s">
        <v>726</v>
      </c>
      <c r="R150" t="s">
        <v>727</v>
      </c>
      <c r="S150" t="s">
        <v>103</v>
      </c>
      <c r="T150" t="s">
        <v>258</v>
      </c>
      <c r="U150" t="s">
        <v>383</v>
      </c>
      <c r="V150" t="s">
        <v>384</v>
      </c>
      <c r="W150">
        <v>1180</v>
      </c>
      <c r="X150">
        <v>49.99</v>
      </c>
      <c r="Y150">
        <v>155</v>
      </c>
      <c r="Z150">
        <v>859000</v>
      </c>
      <c r="AA150">
        <v>182900</v>
      </c>
      <c r="AB150">
        <v>560</v>
      </c>
      <c r="AD150" t="s">
        <v>238</v>
      </c>
      <c r="AE150">
        <v>1</v>
      </c>
      <c r="AF150">
        <v>0</v>
      </c>
      <c r="AI150">
        <v>0</v>
      </c>
      <c r="AJ150">
        <v>80</v>
      </c>
      <c r="AK150">
        <v>80</v>
      </c>
      <c r="AL150">
        <v>155</v>
      </c>
      <c r="AM150">
        <v>78</v>
      </c>
      <c r="AN150">
        <v>0</v>
      </c>
      <c r="AO150">
        <v>78</v>
      </c>
      <c r="AP150" t="s">
        <v>80</v>
      </c>
      <c r="AQ150" t="s">
        <v>167</v>
      </c>
      <c r="AR150" t="s">
        <v>86</v>
      </c>
      <c r="AS150" t="s">
        <v>261</v>
      </c>
      <c r="AT150" t="s">
        <v>240</v>
      </c>
      <c r="AU150" t="s">
        <v>86</v>
      </c>
      <c r="AV150" t="s">
        <v>81</v>
      </c>
      <c r="AW150" t="s">
        <v>69</v>
      </c>
      <c r="AX150" t="s">
        <v>728</v>
      </c>
      <c r="AY150" t="s">
        <v>729</v>
      </c>
      <c r="AZ150" t="s">
        <v>245</v>
      </c>
      <c r="BA150" t="s">
        <v>245</v>
      </c>
      <c r="BB150" t="s">
        <v>244</v>
      </c>
      <c r="BC150" t="s">
        <v>245</v>
      </c>
      <c r="BD150" t="s">
        <v>730</v>
      </c>
      <c r="BE150" t="s">
        <v>731</v>
      </c>
      <c r="BF150" t="s">
        <v>240</v>
      </c>
      <c r="BG150" t="s">
        <v>110</v>
      </c>
      <c r="BH150" t="str">
        <f>IF(COUNTIF(工作表1!A:A, $C150)&gt;0, "預購款", "非預購款")</f>
        <v>非預購款</v>
      </c>
    </row>
    <row r="151" spans="1:60" x14ac:dyDescent="0.25">
      <c r="A151" t="s">
        <v>719</v>
      </c>
      <c r="B151" t="s">
        <v>488</v>
      </c>
      <c r="C151" t="s">
        <v>720</v>
      </c>
      <c r="D151" t="s">
        <v>721</v>
      </c>
      <c r="E151" t="s">
        <v>722</v>
      </c>
      <c r="F151" t="s">
        <v>95</v>
      </c>
      <c r="G151" t="s">
        <v>723</v>
      </c>
      <c r="H151" t="s">
        <v>130</v>
      </c>
      <c r="I151" t="s">
        <v>111</v>
      </c>
      <c r="J151" t="s">
        <v>112</v>
      </c>
      <c r="K151" t="s">
        <v>69</v>
      </c>
      <c r="L151" t="s">
        <v>724</v>
      </c>
      <c r="M151" t="s">
        <v>71</v>
      </c>
      <c r="N151" t="s">
        <v>72</v>
      </c>
      <c r="O151" t="s">
        <v>725</v>
      </c>
      <c r="P151" t="s">
        <v>726</v>
      </c>
      <c r="R151" t="s">
        <v>727</v>
      </c>
      <c r="S151" t="s">
        <v>103</v>
      </c>
      <c r="T151" t="s">
        <v>258</v>
      </c>
      <c r="U151" t="s">
        <v>383</v>
      </c>
      <c r="V151" t="s">
        <v>384</v>
      </c>
      <c r="W151">
        <v>1180</v>
      </c>
      <c r="X151">
        <v>49.99</v>
      </c>
      <c r="Y151">
        <v>155</v>
      </c>
      <c r="Z151">
        <v>859000</v>
      </c>
      <c r="AA151">
        <v>182900</v>
      </c>
      <c r="AB151">
        <v>560</v>
      </c>
      <c r="AD151" t="s">
        <v>238</v>
      </c>
      <c r="AE151">
        <v>1</v>
      </c>
      <c r="AF151">
        <v>0</v>
      </c>
      <c r="AI151">
        <v>0</v>
      </c>
      <c r="AJ151">
        <v>55</v>
      </c>
      <c r="AK151">
        <v>55</v>
      </c>
      <c r="AL151">
        <v>155</v>
      </c>
      <c r="AM151">
        <v>53</v>
      </c>
      <c r="AN151">
        <v>0</v>
      </c>
      <c r="AO151">
        <v>53</v>
      </c>
      <c r="AP151" t="s">
        <v>80</v>
      </c>
      <c r="AQ151" t="s">
        <v>167</v>
      </c>
      <c r="AR151" t="s">
        <v>86</v>
      </c>
      <c r="AS151" t="s">
        <v>261</v>
      </c>
      <c r="AT151" t="s">
        <v>240</v>
      </c>
      <c r="AU151" t="s">
        <v>86</v>
      </c>
      <c r="AV151" t="s">
        <v>81</v>
      </c>
      <c r="AW151" t="s">
        <v>69</v>
      </c>
      <c r="AX151" t="s">
        <v>728</v>
      </c>
      <c r="AY151" t="s">
        <v>729</v>
      </c>
      <c r="AZ151" t="s">
        <v>245</v>
      </c>
      <c r="BA151" t="s">
        <v>245</v>
      </c>
      <c r="BB151" t="s">
        <v>244</v>
      </c>
      <c r="BC151" t="s">
        <v>245</v>
      </c>
      <c r="BD151" t="s">
        <v>732</v>
      </c>
      <c r="BE151" t="s">
        <v>731</v>
      </c>
      <c r="BF151" t="s">
        <v>240</v>
      </c>
      <c r="BG151" t="s">
        <v>110</v>
      </c>
      <c r="BH151" t="str">
        <f>IF(COUNTIF(工作表1!A:A, $C151)&gt;0, "預購款", "非預購款")</f>
        <v>非預購款</v>
      </c>
    </row>
    <row r="152" spans="1:60" x14ac:dyDescent="0.25">
      <c r="A152" t="s">
        <v>719</v>
      </c>
      <c r="B152" t="s">
        <v>488</v>
      </c>
      <c r="C152" t="s">
        <v>720</v>
      </c>
      <c r="D152" t="s">
        <v>721</v>
      </c>
      <c r="E152" t="s">
        <v>722</v>
      </c>
      <c r="F152" t="s">
        <v>95</v>
      </c>
      <c r="G152" t="s">
        <v>723</v>
      </c>
      <c r="H152" t="s">
        <v>132</v>
      </c>
      <c r="I152" t="s">
        <v>111</v>
      </c>
      <c r="J152" t="s">
        <v>112</v>
      </c>
      <c r="K152" t="s">
        <v>69</v>
      </c>
      <c r="L152" t="s">
        <v>724</v>
      </c>
      <c r="M152" t="s">
        <v>71</v>
      </c>
      <c r="N152" t="s">
        <v>72</v>
      </c>
      <c r="O152" t="s">
        <v>725</v>
      </c>
      <c r="P152" t="s">
        <v>726</v>
      </c>
      <c r="R152" t="s">
        <v>727</v>
      </c>
      <c r="S152" t="s">
        <v>103</v>
      </c>
      <c r="T152" t="s">
        <v>258</v>
      </c>
      <c r="U152" t="s">
        <v>383</v>
      </c>
      <c r="V152" t="s">
        <v>384</v>
      </c>
      <c r="W152">
        <v>1180</v>
      </c>
      <c r="X152">
        <v>49.99</v>
      </c>
      <c r="Y152">
        <v>155</v>
      </c>
      <c r="Z152">
        <v>859000</v>
      </c>
      <c r="AA152">
        <v>182900</v>
      </c>
      <c r="AB152">
        <v>560</v>
      </c>
      <c r="AD152" t="s">
        <v>238</v>
      </c>
      <c r="AE152">
        <v>1</v>
      </c>
      <c r="AF152">
        <v>0</v>
      </c>
      <c r="AI152">
        <v>0</v>
      </c>
      <c r="AJ152">
        <v>20</v>
      </c>
      <c r="AK152">
        <v>20</v>
      </c>
      <c r="AL152">
        <v>155</v>
      </c>
      <c r="AM152">
        <v>22</v>
      </c>
      <c r="AN152">
        <v>0</v>
      </c>
      <c r="AO152">
        <v>22</v>
      </c>
      <c r="AP152" t="s">
        <v>80</v>
      </c>
      <c r="AQ152" t="s">
        <v>167</v>
      </c>
      <c r="AR152" t="s">
        <v>86</v>
      </c>
      <c r="AS152" t="s">
        <v>261</v>
      </c>
      <c r="AT152" t="s">
        <v>240</v>
      </c>
      <c r="AU152" t="s">
        <v>86</v>
      </c>
      <c r="AV152" t="s">
        <v>81</v>
      </c>
      <c r="AW152" t="s">
        <v>69</v>
      </c>
      <c r="AX152" t="s">
        <v>728</v>
      </c>
      <c r="AY152" t="s">
        <v>729</v>
      </c>
      <c r="AZ152" t="s">
        <v>245</v>
      </c>
      <c r="BA152" t="s">
        <v>245</v>
      </c>
      <c r="BB152" t="s">
        <v>244</v>
      </c>
      <c r="BC152" t="s">
        <v>245</v>
      </c>
      <c r="BD152" t="s">
        <v>733</v>
      </c>
      <c r="BE152" t="s">
        <v>731</v>
      </c>
      <c r="BF152" t="s">
        <v>240</v>
      </c>
      <c r="BG152" t="s">
        <v>110</v>
      </c>
      <c r="BH152" t="str">
        <f>IF(COUNTIF(工作表1!A:A, $C152)&gt;0, "預購款", "非預購款")</f>
        <v>非預購款</v>
      </c>
    </row>
    <row r="153" spans="1:60" x14ac:dyDescent="0.25">
      <c r="A153" t="s">
        <v>739</v>
      </c>
      <c r="B153" t="s">
        <v>488</v>
      </c>
      <c r="C153" t="s">
        <v>740</v>
      </c>
      <c r="D153" t="s">
        <v>741</v>
      </c>
      <c r="E153" t="s">
        <v>742</v>
      </c>
      <c r="F153" t="s">
        <v>95</v>
      </c>
      <c r="G153" t="s">
        <v>743</v>
      </c>
      <c r="H153" t="s">
        <v>119</v>
      </c>
      <c r="I153" t="s">
        <v>120</v>
      </c>
      <c r="J153" t="s">
        <v>121</v>
      </c>
      <c r="K153" t="s">
        <v>69</v>
      </c>
      <c r="L153" t="s">
        <v>744</v>
      </c>
      <c r="M153" t="s">
        <v>71</v>
      </c>
      <c r="N153" t="s">
        <v>100</v>
      </c>
      <c r="O153" t="s">
        <v>101</v>
      </c>
      <c r="P153" t="s">
        <v>102</v>
      </c>
      <c r="R153" t="s">
        <v>734</v>
      </c>
      <c r="S153" t="s">
        <v>103</v>
      </c>
      <c r="T153" t="s">
        <v>76</v>
      </c>
      <c r="U153" t="s">
        <v>104</v>
      </c>
      <c r="V153" t="s">
        <v>292</v>
      </c>
      <c r="W153">
        <v>390</v>
      </c>
      <c r="X153">
        <v>16.989999999999998</v>
      </c>
      <c r="Y153">
        <v>49</v>
      </c>
      <c r="Z153">
        <v>279000</v>
      </c>
      <c r="AA153">
        <v>918450</v>
      </c>
      <c r="AB153">
        <v>150</v>
      </c>
      <c r="AD153" t="s">
        <v>238</v>
      </c>
      <c r="AE153">
        <v>3</v>
      </c>
      <c r="AF153">
        <v>15</v>
      </c>
      <c r="AI153">
        <v>20</v>
      </c>
      <c r="AJ153">
        <v>280</v>
      </c>
      <c r="AK153">
        <v>315</v>
      </c>
      <c r="AL153">
        <v>2355</v>
      </c>
      <c r="AM153">
        <v>312</v>
      </c>
      <c r="AN153">
        <v>0</v>
      </c>
      <c r="AO153">
        <v>312</v>
      </c>
      <c r="AP153" t="s">
        <v>80</v>
      </c>
      <c r="AQ153" t="s">
        <v>630</v>
      </c>
      <c r="AS153" t="s">
        <v>240</v>
      </c>
      <c r="AT153" t="s">
        <v>86</v>
      </c>
      <c r="AU153" t="s">
        <v>86</v>
      </c>
      <c r="AV153" t="s">
        <v>745</v>
      </c>
      <c r="AW153" t="s">
        <v>69</v>
      </c>
      <c r="AX153" t="s">
        <v>746</v>
      </c>
      <c r="AY153" t="s">
        <v>747</v>
      </c>
      <c r="AZ153" t="s">
        <v>243</v>
      </c>
      <c r="BA153" t="s">
        <v>244</v>
      </c>
      <c r="BB153" t="s">
        <v>264</v>
      </c>
      <c r="BC153" t="s">
        <v>244</v>
      </c>
      <c r="BD153" t="s">
        <v>748</v>
      </c>
      <c r="BE153" t="s">
        <v>749</v>
      </c>
      <c r="BF153" t="s">
        <v>86</v>
      </c>
      <c r="BG153" t="s">
        <v>150</v>
      </c>
      <c r="BH153" t="str">
        <f>IF(COUNTIF(工作表1!A:A, $C153)&gt;0, "預購款", "非預購款")</f>
        <v>非預購款</v>
      </c>
    </row>
    <row r="154" spans="1:60" x14ac:dyDescent="0.25">
      <c r="A154" t="s">
        <v>739</v>
      </c>
      <c r="B154" t="s">
        <v>488</v>
      </c>
      <c r="C154" t="s">
        <v>740</v>
      </c>
      <c r="D154" t="s">
        <v>741</v>
      </c>
      <c r="E154" t="s">
        <v>742</v>
      </c>
      <c r="F154" t="s">
        <v>95</v>
      </c>
      <c r="G154" t="s">
        <v>743</v>
      </c>
      <c r="H154" t="s">
        <v>130</v>
      </c>
      <c r="I154" t="s">
        <v>120</v>
      </c>
      <c r="J154" t="s">
        <v>121</v>
      </c>
      <c r="K154" t="s">
        <v>69</v>
      </c>
      <c r="L154" t="s">
        <v>744</v>
      </c>
      <c r="M154" t="s">
        <v>71</v>
      </c>
      <c r="N154" t="s">
        <v>100</v>
      </c>
      <c r="O154" t="s">
        <v>101</v>
      </c>
      <c r="P154" t="s">
        <v>102</v>
      </c>
      <c r="R154" t="s">
        <v>734</v>
      </c>
      <c r="S154" t="s">
        <v>103</v>
      </c>
      <c r="T154" t="s">
        <v>76</v>
      </c>
      <c r="U154" t="s">
        <v>104</v>
      </c>
      <c r="V154" t="s">
        <v>292</v>
      </c>
      <c r="W154">
        <v>390</v>
      </c>
      <c r="X154">
        <v>16.989999999999998</v>
      </c>
      <c r="Y154">
        <v>49</v>
      </c>
      <c r="Z154">
        <v>279000</v>
      </c>
      <c r="AA154">
        <v>918450</v>
      </c>
      <c r="AB154">
        <v>150</v>
      </c>
      <c r="AD154" t="s">
        <v>238</v>
      </c>
      <c r="AE154">
        <v>3</v>
      </c>
      <c r="AF154">
        <v>10</v>
      </c>
      <c r="AI154">
        <v>10</v>
      </c>
      <c r="AJ154">
        <v>240</v>
      </c>
      <c r="AK154">
        <v>260</v>
      </c>
      <c r="AL154">
        <v>2355</v>
      </c>
      <c r="AM154">
        <v>270</v>
      </c>
      <c r="AN154">
        <v>0</v>
      </c>
      <c r="AO154">
        <v>270</v>
      </c>
      <c r="AP154" t="s">
        <v>80</v>
      </c>
      <c r="AQ154" t="s">
        <v>630</v>
      </c>
      <c r="AS154" t="s">
        <v>240</v>
      </c>
      <c r="AT154" t="s">
        <v>86</v>
      </c>
      <c r="AU154" t="s">
        <v>86</v>
      </c>
      <c r="AV154" t="s">
        <v>745</v>
      </c>
      <c r="AW154" t="s">
        <v>69</v>
      </c>
      <c r="AX154" t="s">
        <v>746</v>
      </c>
      <c r="AY154" t="s">
        <v>747</v>
      </c>
      <c r="AZ154" t="s">
        <v>243</v>
      </c>
      <c r="BA154" t="s">
        <v>244</v>
      </c>
      <c r="BB154" t="s">
        <v>264</v>
      </c>
      <c r="BC154" t="s">
        <v>244</v>
      </c>
      <c r="BD154" t="s">
        <v>750</v>
      </c>
      <c r="BE154" t="s">
        <v>749</v>
      </c>
      <c r="BF154" t="s">
        <v>86</v>
      </c>
      <c r="BG154" t="s">
        <v>150</v>
      </c>
      <c r="BH154" t="str">
        <f>IF(COUNTIF(工作表1!A:A, $C154)&gt;0, "預購款", "非預購款")</f>
        <v>非預購款</v>
      </c>
    </row>
    <row r="155" spans="1:60" x14ac:dyDescent="0.25">
      <c r="A155" t="s">
        <v>739</v>
      </c>
      <c r="B155" t="s">
        <v>488</v>
      </c>
      <c r="C155" t="s">
        <v>740</v>
      </c>
      <c r="D155" t="s">
        <v>741</v>
      </c>
      <c r="E155" t="s">
        <v>742</v>
      </c>
      <c r="F155" t="s">
        <v>95</v>
      </c>
      <c r="G155" t="s">
        <v>743</v>
      </c>
      <c r="H155" t="s">
        <v>132</v>
      </c>
      <c r="I155" t="s">
        <v>120</v>
      </c>
      <c r="J155" t="s">
        <v>121</v>
      </c>
      <c r="K155" t="s">
        <v>69</v>
      </c>
      <c r="L155" t="s">
        <v>744</v>
      </c>
      <c r="M155" t="s">
        <v>71</v>
      </c>
      <c r="N155" t="s">
        <v>100</v>
      </c>
      <c r="O155" t="s">
        <v>101</v>
      </c>
      <c r="P155" t="s">
        <v>102</v>
      </c>
      <c r="R155" t="s">
        <v>734</v>
      </c>
      <c r="S155" t="s">
        <v>103</v>
      </c>
      <c r="T155" t="s">
        <v>76</v>
      </c>
      <c r="U155" t="s">
        <v>104</v>
      </c>
      <c r="V155" t="s">
        <v>292</v>
      </c>
      <c r="W155">
        <v>390</v>
      </c>
      <c r="X155">
        <v>16.989999999999998</v>
      </c>
      <c r="Y155">
        <v>49</v>
      </c>
      <c r="Z155">
        <v>279000</v>
      </c>
      <c r="AA155">
        <v>918450</v>
      </c>
      <c r="AB155">
        <v>150</v>
      </c>
      <c r="AD155" t="s">
        <v>238</v>
      </c>
      <c r="AE155">
        <v>3</v>
      </c>
      <c r="AF155">
        <v>0</v>
      </c>
      <c r="AI155">
        <v>10</v>
      </c>
      <c r="AJ155">
        <v>90</v>
      </c>
      <c r="AK155">
        <v>100</v>
      </c>
      <c r="AL155">
        <v>2355</v>
      </c>
      <c r="AM155">
        <v>99</v>
      </c>
      <c r="AN155">
        <v>0</v>
      </c>
      <c r="AO155">
        <v>99</v>
      </c>
      <c r="AP155" t="s">
        <v>80</v>
      </c>
      <c r="AQ155" t="s">
        <v>630</v>
      </c>
      <c r="AS155" t="s">
        <v>240</v>
      </c>
      <c r="AT155" t="s">
        <v>86</v>
      </c>
      <c r="AU155" t="s">
        <v>86</v>
      </c>
      <c r="AV155" t="s">
        <v>745</v>
      </c>
      <c r="AW155" t="s">
        <v>69</v>
      </c>
      <c r="AX155" t="s">
        <v>746</v>
      </c>
      <c r="AY155" t="s">
        <v>747</v>
      </c>
      <c r="AZ155" t="s">
        <v>243</v>
      </c>
      <c r="BA155" t="s">
        <v>244</v>
      </c>
      <c r="BB155" t="s">
        <v>264</v>
      </c>
      <c r="BC155" t="s">
        <v>244</v>
      </c>
      <c r="BD155" t="s">
        <v>751</v>
      </c>
      <c r="BE155" t="s">
        <v>749</v>
      </c>
      <c r="BF155" t="s">
        <v>86</v>
      </c>
      <c r="BG155" t="s">
        <v>150</v>
      </c>
      <c r="BH155" t="str">
        <f>IF(COUNTIF(工作表1!A:A, $C155)&gt;0, "預購款", "非預購款")</f>
        <v>非預購款</v>
      </c>
    </row>
    <row r="156" spans="1:60" x14ac:dyDescent="0.25">
      <c r="A156" t="s">
        <v>739</v>
      </c>
      <c r="B156" t="s">
        <v>488</v>
      </c>
      <c r="C156" t="s">
        <v>740</v>
      </c>
      <c r="D156" t="s">
        <v>741</v>
      </c>
      <c r="E156" t="s">
        <v>742</v>
      </c>
      <c r="F156" t="s">
        <v>95</v>
      </c>
      <c r="G156" t="s">
        <v>743</v>
      </c>
      <c r="H156" t="s">
        <v>119</v>
      </c>
      <c r="I156" t="s">
        <v>97</v>
      </c>
      <c r="J156" t="s">
        <v>98</v>
      </c>
      <c r="K156" t="s">
        <v>69</v>
      </c>
      <c r="L156" t="s">
        <v>744</v>
      </c>
      <c r="M156" t="s">
        <v>71</v>
      </c>
      <c r="N156" t="s">
        <v>100</v>
      </c>
      <c r="O156" t="s">
        <v>101</v>
      </c>
      <c r="P156" t="s">
        <v>102</v>
      </c>
      <c r="R156" t="s">
        <v>734</v>
      </c>
      <c r="S156" t="s">
        <v>103</v>
      </c>
      <c r="T156" t="s">
        <v>76</v>
      </c>
      <c r="U156" t="s">
        <v>104</v>
      </c>
      <c r="V156" t="s">
        <v>292</v>
      </c>
      <c r="W156">
        <v>390</v>
      </c>
      <c r="X156">
        <v>16.989999999999998</v>
      </c>
      <c r="Y156">
        <v>49</v>
      </c>
      <c r="Z156">
        <v>279000</v>
      </c>
      <c r="AA156">
        <v>918450</v>
      </c>
      <c r="AB156">
        <v>150</v>
      </c>
      <c r="AD156" t="s">
        <v>238</v>
      </c>
      <c r="AE156">
        <v>3</v>
      </c>
      <c r="AF156">
        <v>0</v>
      </c>
      <c r="AI156">
        <v>80</v>
      </c>
      <c r="AJ156">
        <v>400</v>
      </c>
      <c r="AK156">
        <v>480</v>
      </c>
      <c r="AL156">
        <v>2355</v>
      </c>
      <c r="AM156">
        <v>478</v>
      </c>
      <c r="AN156">
        <v>0</v>
      </c>
      <c r="AO156">
        <v>478</v>
      </c>
      <c r="AP156" t="s">
        <v>80</v>
      </c>
      <c r="AQ156" t="s">
        <v>630</v>
      </c>
      <c r="AS156" t="s">
        <v>240</v>
      </c>
      <c r="AT156" t="s">
        <v>86</v>
      </c>
      <c r="AU156" t="s">
        <v>86</v>
      </c>
      <c r="AV156" t="s">
        <v>745</v>
      </c>
      <c r="AW156" t="s">
        <v>69</v>
      </c>
      <c r="AX156" t="s">
        <v>746</v>
      </c>
      <c r="AY156" t="s">
        <v>747</v>
      </c>
      <c r="AZ156" t="s">
        <v>243</v>
      </c>
      <c r="BA156" t="s">
        <v>244</v>
      </c>
      <c r="BB156" t="s">
        <v>264</v>
      </c>
      <c r="BC156" t="s">
        <v>244</v>
      </c>
      <c r="BD156" t="s">
        <v>752</v>
      </c>
      <c r="BE156" t="s">
        <v>749</v>
      </c>
      <c r="BF156" t="s">
        <v>86</v>
      </c>
      <c r="BG156" t="s">
        <v>150</v>
      </c>
      <c r="BH156" t="str">
        <f>IF(COUNTIF(工作表1!A:A, $C156)&gt;0, "預購款", "非預購款")</f>
        <v>非預購款</v>
      </c>
    </row>
    <row r="157" spans="1:60" x14ac:dyDescent="0.25">
      <c r="A157" t="s">
        <v>739</v>
      </c>
      <c r="B157" t="s">
        <v>488</v>
      </c>
      <c r="C157" t="s">
        <v>740</v>
      </c>
      <c r="D157" t="s">
        <v>741</v>
      </c>
      <c r="E157" t="s">
        <v>742</v>
      </c>
      <c r="F157" t="s">
        <v>95</v>
      </c>
      <c r="G157" t="s">
        <v>743</v>
      </c>
      <c r="H157" t="s">
        <v>130</v>
      </c>
      <c r="I157" t="s">
        <v>97</v>
      </c>
      <c r="J157" t="s">
        <v>98</v>
      </c>
      <c r="K157" t="s">
        <v>69</v>
      </c>
      <c r="L157" t="s">
        <v>744</v>
      </c>
      <c r="M157" t="s">
        <v>71</v>
      </c>
      <c r="N157" t="s">
        <v>100</v>
      </c>
      <c r="O157" t="s">
        <v>101</v>
      </c>
      <c r="P157" t="s">
        <v>102</v>
      </c>
      <c r="R157" t="s">
        <v>734</v>
      </c>
      <c r="S157" t="s">
        <v>103</v>
      </c>
      <c r="T157" t="s">
        <v>76</v>
      </c>
      <c r="U157" t="s">
        <v>104</v>
      </c>
      <c r="V157" t="s">
        <v>292</v>
      </c>
      <c r="W157">
        <v>390</v>
      </c>
      <c r="X157">
        <v>16.989999999999998</v>
      </c>
      <c r="Y157">
        <v>49</v>
      </c>
      <c r="Z157">
        <v>279000</v>
      </c>
      <c r="AA157">
        <v>918450</v>
      </c>
      <c r="AB157">
        <v>150</v>
      </c>
      <c r="AD157" t="s">
        <v>238</v>
      </c>
      <c r="AE157">
        <v>3</v>
      </c>
      <c r="AF157">
        <v>0</v>
      </c>
      <c r="AI157">
        <v>60</v>
      </c>
      <c r="AJ157">
        <v>360</v>
      </c>
      <c r="AK157">
        <v>420</v>
      </c>
      <c r="AL157">
        <v>2355</v>
      </c>
      <c r="AM157">
        <v>422</v>
      </c>
      <c r="AN157">
        <v>0</v>
      </c>
      <c r="AO157">
        <v>422</v>
      </c>
      <c r="AP157" t="s">
        <v>80</v>
      </c>
      <c r="AQ157" t="s">
        <v>630</v>
      </c>
      <c r="AS157" t="s">
        <v>240</v>
      </c>
      <c r="AT157" t="s">
        <v>86</v>
      </c>
      <c r="AU157" t="s">
        <v>86</v>
      </c>
      <c r="AV157" t="s">
        <v>745</v>
      </c>
      <c r="AW157" t="s">
        <v>69</v>
      </c>
      <c r="AX157" t="s">
        <v>746</v>
      </c>
      <c r="AY157" t="s">
        <v>747</v>
      </c>
      <c r="AZ157" t="s">
        <v>243</v>
      </c>
      <c r="BA157" t="s">
        <v>244</v>
      </c>
      <c r="BB157" t="s">
        <v>264</v>
      </c>
      <c r="BC157" t="s">
        <v>244</v>
      </c>
      <c r="BD157" t="s">
        <v>753</v>
      </c>
      <c r="BE157" t="s">
        <v>749</v>
      </c>
      <c r="BF157" t="s">
        <v>86</v>
      </c>
      <c r="BG157" t="s">
        <v>150</v>
      </c>
      <c r="BH157" t="str">
        <f>IF(COUNTIF(工作表1!A:A, $C157)&gt;0, "預購款", "非預購款")</f>
        <v>非預購款</v>
      </c>
    </row>
    <row r="158" spans="1:60" x14ac:dyDescent="0.25">
      <c r="A158" t="s">
        <v>739</v>
      </c>
      <c r="B158" t="s">
        <v>488</v>
      </c>
      <c r="C158" t="s">
        <v>740</v>
      </c>
      <c r="D158" t="s">
        <v>741</v>
      </c>
      <c r="E158" t="s">
        <v>742</v>
      </c>
      <c r="F158" t="s">
        <v>95</v>
      </c>
      <c r="G158" t="s">
        <v>743</v>
      </c>
      <c r="H158" t="s">
        <v>132</v>
      </c>
      <c r="I158" t="s">
        <v>97</v>
      </c>
      <c r="J158" t="s">
        <v>98</v>
      </c>
      <c r="K158" t="s">
        <v>69</v>
      </c>
      <c r="L158" t="s">
        <v>744</v>
      </c>
      <c r="M158" t="s">
        <v>71</v>
      </c>
      <c r="N158" t="s">
        <v>100</v>
      </c>
      <c r="O158" t="s">
        <v>101</v>
      </c>
      <c r="P158" t="s">
        <v>102</v>
      </c>
      <c r="R158" t="s">
        <v>734</v>
      </c>
      <c r="S158" t="s">
        <v>103</v>
      </c>
      <c r="T158" t="s">
        <v>76</v>
      </c>
      <c r="U158" t="s">
        <v>104</v>
      </c>
      <c r="V158" t="s">
        <v>292</v>
      </c>
      <c r="W158">
        <v>390</v>
      </c>
      <c r="X158">
        <v>16.989999999999998</v>
      </c>
      <c r="Y158">
        <v>49</v>
      </c>
      <c r="Z158">
        <v>279000</v>
      </c>
      <c r="AA158">
        <v>918450</v>
      </c>
      <c r="AB158">
        <v>150</v>
      </c>
      <c r="AD158" t="s">
        <v>238</v>
      </c>
      <c r="AE158">
        <v>3</v>
      </c>
      <c r="AF158">
        <v>0</v>
      </c>
      <c r="AI158">
        <v>15</v>
      </c>
      <c r="AJ158">
        <v>100</v>
      </c>
      <c r="AK158">
        <v>115</v>
      </c>
      <c r="AL158">
        <v>2355</v>
      </c>
      <c r="AM158">
        <v>119</v>
      </c>
      <c r="AN158">
        <v>0</v>
      </c>
      <c r="AO158">
        <v>119</v>
      </c>
      <c r="AP158" t="s">
        <v>80</v>
      </c>
      <c r="AQ158" t="s">
        <v>630</v>
      </c>
      <c r="AS158" t="s">
        <v>240</v>
      </c>
      <c r="AT158" t="s">
        <v>86</v>
      </c>
      <c r="AU158" t="s">
        <v>86</v>
      </c>
      <c r="AV158" t="s">
        <v>745</v>
      </c>
      <c r="AW158" t="s">
        <v>69</v>
      </c>
      <c r="AX158" t="s">
        <v>746</v>
      </c>
      <c r="AY158" t="s">
        <v>747</v>
      </c>
      <c r="AZ158" t="s">
        <v>243</v>
      </c>
      <c r="BA158" t="s">
        <v>244</v>
      </c>
      <c r="BB158" t="s">
        <v>264</v>
      </c>
      <c r="BC158" t="s">
        <v>244</v>
      </c>
      <c r="BD158" t="s">
        <v>754</v>
      </c>
      <c r="BE158" t="s">
        <v>749</v>
      </c>
      <c r="BF158" t="s">
        <v>86</v>
      </c>
      <c r="BG158" t="s">
        <v>150</v>
      </c>
      <c r="BH158" t="str">
        <f>IF(COUNTIF(工作表1!A:A, $C158)&gt;0, "預購款", "非預購款")</f>
        <v>非預購款</v>
      </c>
    </row>
    <row r="159" spans="1:60" x14ac:dyDescent="0.25">
      <c r="A159" t="s">
        <v>739</v>
      </c>
      <c r="B159" t="s">
        <v>488</v>
      </c>
      <c r="C159" t="s">
        <v>740</v>
      </c>
      <c r="D159" t="s">
        <v>741</v>
      </c>
      <c r="E159" t="s">
        <v>742</v>
      </c>
      <c r="F159" t="s">
        <v>95</v>
      </c>
      <c r="G159" t="s">
        <v>743</v>
      </c>
      <c r="H159" t="s">
        <v>119</v>
      </c>
      <c r="I159" t="s">
        <v>214</v>
      </c>
      <c r="J159" t="s">
        <v>215</v>
      </c>
      <c r="K159" t="s">
        <v>69</v>
      </c>
      <c r="L159" t="s">
        <v>744</v>
      </c>
      <c r="M159" t="s">
        <v>71</v>
      </c>
      <c r="N159" t="s">
        <v>100</v>
      </c>
      <c r="O159" t="s">
        <v>101</v>
      </c>
      <c r="P159" t="s">
        <v>102</v>
      </c>
      <c r="R159" t="s">
        <v>734</v>
      </c>
      <c r="S159" t="s">
        <v>103</v>
      </c>
      <c r="T159" t="s">
        <v>76</v>
      </c>
      <c r="U159" t="s">
        <v>104</v>
      </c>
      <c r="V159" t="s">
        <v>292</v>
      </c>
      <c r="W159">
        <v>390</v>
      </c>
      <c r="X159">
        <v>16.989999999999998</v>
      </c>
      <c r="Y159">
        <v>49</v>
      </c>
      <c r="Z159">
        <v>279000</v>
      </c>
      <c r="AA159">
        <v>918450</v>
      </c>
      <c r="AB159">
        <v>150</v>
      </c>
      <c r="AD159" t="s">
        <v>238</v>
      </c>
      <c r="AE159">
        <v>3</v>
      </c>
      <c r="AF159">
        <v>10</v>
      </c>
      <c r="AI159">
        <v>10</v>
      </c>
      <c r="AJ159">
        <v>250</v>
      </c>
      <c r="AK159">
        <v>270</v>
      </c>
      <c r="AL159">
        <v>2355</v>
      </c>
      <c r="AM159">
        <v>280</v>
      </c>
      <c r="AN159">
        <v>0</v>
      </c>
      <c r="AO159">
        <v>280</v>
      </c>
      <c r="AP159" t="s">
        <v>80</v>
      </c>
      <c r="AQ159" t="s">
        <v>630</v>
      </c>
      <c r="AS159" t="s">
        <v>240</v>
      </c>
      <c r="AT159" t="s">
        <v>86</v>
      </c>
      <c r="AU159" t="s">
        <v>86</v>
      </c>
      <c r="AV159" t="s">
        <v>745</v>
      </c>
      <c r="AW159" t="s">
        <v>69</v>
      </c>
      <c r="AX159" t="s">
        <v>746</v>
      </c>
      <c r="AY159" t="s">
        <v>747</v>
      </c>
      <c r="AZ159" t="s">
        <v>243</v>
      </c>
      <c r="BA159" t="s">
        <v>244</v>
      </c>
      <c r="BB159" t="s">
        <v>264</v>
      </c>
      <c r="BC159" t="s">
        <v>244</v>
      </c>
      <c r="BD159" t="s">
        <v>755</v>
      </c>
      <c r="BE159" t="s">
        <v>749</v>
      </c>
      <c r="BF159" t="s">
        <v>86</v>
      </c>
      <c r="BG159" t="s">
        <v>150</v>
      </c>
      <c r="BH159" t="str">
        <f>IF(COUNTIF(工作表1!A:A, $C159)&gt;0, "預購款", "非預購款")</f>
        <v>非預購款</v>
      </c>
    </row>
    <row r="160" spans="1:60" x14ac:dyDescent="0.25">
      <c r="A160" t="s">
        <v>739</v>
      </c>
      <c r="B160" t="s">
        <v>488</v>
      </c>
      <c r="C160" t="s">
        <v>740</v>
      </c>
      <c r="D160" t="s">
        <v>741</v>
      </c>
      <c r="E160" t="s">
        <v>742</v>
      </c>
      <c r="F160" t="s">
        <v>95</v>
      </c>
      <c r="G160" t="s">
        <v>743</v>
      </c>
      <c r="H160" t="s">
        <v>130</v>
      </c>
      <c r="I160" t="s">
        <v>214</v>
      </c>
      <c r="J160" t="s">
        <v>215</v>
      </c>
      <c r="K160" t="s">
        <v>69</v>
      </c>
      <c r="L160" t="s">
        <v>744</v>
      </c>
      <c r="M160" t="s">
        <v>71</v>
      </c>
      <c r="N160" t="s">
        <v>100</v>
      </c>
      <c r="O160" t="s">
        <v>101</v>
      </c>
      <c r="P160" t="s">
        <v>102</v>
      </c>
      <c r="R160" t="s">
        <v>734</v>
      </c>
      <c r="S160" t="s">
        <v>103</v>
      </c>
      <c r="T160" t="s">
        <v>76</v>
      </c>
      <c r="U160" t="s">
        <v>104</v>
      </c>
      <c r="V160" t="s">
        <v>292</v>
      </c>
      <c r="W160">
        <v>390</v>
      </c>
      <c r="X160">
        <v>16.989999999999998</v>
      </c>
      <c r="Y160">
        <v>49</v>
      </c>
      <c r="Z160">
        <v>279000</v>
      </c>
      <c r="AA160">
        <v>918450</v>
      </c>
      <c r="AB160">
        <v>150</v>
      </c>
      <c r="AD160" t="s">
        <v>238</v>
      </c>
      <c r="AE160">
        <v>3</v>
      </c>
      <c r="AF160">
        <v>5</v>
      </c>
      <c r="AI160">
        <v>10</v>
      </c>
      <c r="AJ160">
        <v>260</v>
      </c>
      <c r="AK160">
        <v>275</v>
      </c>
      <c r="AL160">
        <v>2355</v>
      </c>
      <c r="AM160">
        <v>287</v>
      </c>
      <c r="AN160">
        <v>0</v>
      </c>
      <c r="AO160">
        <v>287</v>
      </c>
      <c r="AP160" t="s">
        <v>80</v>
      </c>
      <c r="AQ160" t="s">
        <v>630</v>
      </c>
      <c r="AS160" t="s">
        <v>240</v>
      </c>
      <c r="AT160" t="s">
        <v>86</v>
      </c>
      <c r="AU160" t="s">
        <v>86</v>
      </c>
      <c r="AV160" t="s">
        <v>745</v>
      </c>
      <c r="AW160" t="s">
        <v>69</v>
      </c>
      <c r="AX160" t="s">
        <v>746</v>
      </c>
      <c r="AY160" t="s">
        <v>747</v>
      </c>
      <c r="AZ160" t="s">
        <v>243</v>
      </c>
      <c r="BA160" t="s">
        <v>244</v>
      </c>
      <c r="BB160" t="s">
        <v>264</v>
      </c>
      <c r="BC160" t="s">
        <v>244</v>
      </c>
      <c r="BD160" t="s">
        <v>756</v>
      </c>
      <c r="BE160" t="s">
        <v>749</v>
      </c>
      <c r="BF160" t="s">
        <v>86</v>
      </c>
      <c r="BG160" t="s">
        <v>150</v>
      </c>
      <c r="BH160" t="str">
        <f>IF(COUNTIF(工作表1!A:A, $C160)&gt;0, "預購款", "非預購款")</f>
        <v>非預購款</v>
      </c>
    </row>
    <row r="161" spans="1:60" x14ac:dyDescent="0.25">
      <c r="A161" t="s">
        <v>739</v>
      </c>
      <c r="B161" t="s">
        <v>488</v>
      </c>
      <c r="C161" t="s">
        <v>740</v>
      </c>
      <c r="D161" t="s">
        <v>741</v>
      </c>
      <c r="E161" t="s">
        <v>742</v>
      </c>
      <c r="F161" t="s">
        <v>95</v>
      </c>
      <c r="G161" t="s">
        <v>743</v>
      </c>
      <c r="H161" t="s">
        <v>132</v>
      </c>
      <c r="I161" t="s">
        <v>214</v>
      </c>
      <c r="J161" t="s">
        <v>215</v>
      </c>
      <c r="K161" t="s">
        <v>69</v>
      </c>
      <c r="L161" t="s">
        <v>744</v>
      </c>
      <c r="M161" t="s">
        <v>71</v>
      </c>
      <c r="N161" t="s">
        <v>100</v>
      </c>
      <c r="O161" t="s">
        <v>101</v>
      </c>
      <c r="P161" t="s">
        <v>102</v>
      </c>
      <c r="R161" t="s">
        <v>734</v>
      </c>
      <c r="S161" t="s">
        <v>103</v>
      </c>
      <c r="T161" t="s">
        <v>76</v>
      </c>
      <c r="U161" t="s">
        <v>104</v>
      </c>
      <c r="V161" t="s">
        <v>292</v>
      </c>
      <c r="W161">
        <v>390</v>
      </c>
      <c r="X161">
        <v>16.989999999999998</v>
      </c>
      <c r="Y161">
        <v>49</v>
      </c>
      <c r="Z161">
        <v>279000</v>
      </c>
      <c r="AA161">
        <v>918450</v>
      </c>
      <c r="AB161">
        <v>150</v>
      </c>
      <c r="AD161" t="s">
        <v>238</v>
      </c>
      <c r="AE161">
        <v>3</v>
      </c>
      <c r="AF161">
        <v>0</v>
      </c>
      <c r="AI161">
        <v>10</v>
      </c>
      <c r="AJ161">
        <v>110</v>
      </c>
      <c r="AK161">
        <v>120</v>
      </c>
      <c r="AL161">
        <v>2355</v>
      </c>
      <c r="AM161">
        <v>122</v>
      </c>
      <c r="AN161">
        <v>0</v>
      </c>
      <c r="AO161">
        <v>122</v>
      </c>
      <c r="AP161" t="s">
        <v>80</v>
      </c>
      <c r="AQ161" t="s">
        <v>630</v>
      </c>
      <c r="AS161" t="s">
        <v>240</v>
      </c>
      <c r="AT161" t="s">
        <v>86</v>
      </c>
      <c r="AU161" t="s">
        <v>86</v>
      </c>
      <c r="AV161" t="s">
        <v>745</v>
      </c>
      <c r="AW161" t="s">
        <v>69</v>
      </c>
      <c r="AX161" t="s">
        <v>746</v>
      </c>
      <c r="AY161" t="s">
        <v>747</v>
      </c>
      <c r="AZ161" t="s">
        <v>243</v>
      </c>
      <c r="BA161" t="s">
        <v>244</v>
      </c>
      <c r="BB161" t="s">
        <v>264</v>
      </c>
      <c r="BC161" t="s">
        <v>244</v>
      </c>
      <c r="BD161" t="s">
        <v>757</v>
      </c>
      <c r="BE161" t="s">
        <v>749</v>
      </c>
      <c r="BF161" t="s">
        <v>86</v>
      </c>
      <c r="BG161" t="s">
        <v>150</v>
      </c>
      <c r="BH161" t="str">
        <f>IF(COUNTIF(工作表1!A:A, $C161)&gt;0, "預購款", "非預購款")</f>
        <v>非預購款</v>
      </c>
    </row>
    <row r="162" spans="1:60" x14ac:dyDescent="0.25">
      <c r="A162" t="s">
        <v>758</v>
      </c>
      <c r="B162" t="s">
        <v>759</v>
      </c>
      <c r="C162" t="s">
        <v>760</v>
      </c>
      <c r="D162" t="s">
        <v>761</v>
      </c>
      <c r="E162" t="s">
        <v>762</v>
      </c>
      <c r="F162" t="s">
        <v>95</v>
      </c>
      <c r="G162" t="s">
        <v>763</v>
      </c>
      <c r="H162" t="s">
        <v>119</v>
      </c>
      <c r="I162" t="s">
        <v>120</v>
      </c>
      <c r="J162" t="s">
        <v>121</v>
      </c>
      <c r="K162" t="s">
        <v>69</v>
      </c>
      <c r="L162" t="s">
        <v>764</v>
      </c>
      <c r="M162" t="s">
        <v>71</v>
      </c>
      <c r="N162" t="s">
        <v>100</v>
      </c>
      <c r="O162" t="s">
        <v>101</v>
      </c>
      <c r="P162" t="s">
        <v>102</v>
      </c>
      <c r="R162" t="s">
        <v>734</v>
      </c>
      <c r="S162" t="s">
        <v>103</v>
      </c>
      <c r="T162" t="s">
        <v>258</v>
      </c>
      <c r="U162" t="s">
        <v>502</v>
      </c>
      <c r="V162" t="s">
        <v>765</v>
      </c>
      <c r="W162">
        <v>990</v>
      </c>
      <c r="X162">
        <v>39.99</v>
      </c>
      <c r="Y162">
        <v>129</v>
      </c>
      <c r="Z162">
        <v>709000</v>
      </c>
      <c r="AA162">
        <v>856350</v>
      </c>
      <c r="AB162">
        <v>360</v>
      </c>
      <c r="AD162" t="s">
        <v>238</v>
      </c>
      <c r="AE162">
        <v>2</v>
      </c>
      <c r="AF162">
        <v>10</v>
      </c>
      <c r="AI162">
        <v>10</v>
      </c>
      <c r="AJ162">
        <v>265</v>
      </c>
      <c r="AK162">
        <v>285</v>
      </c>
      <c r="AL162">
        <v>865</v>
      </c>
      <c r="AM162">
        <v>300</v>
      </c>
      <c r="AN162">
        <v>0</v>
      </c>
      <c r="AO162">
        <v>300</v>
      </c>
      <c r="AP162" t="s">
        <v>80</v>
      </c>
      <c r="AQ162" t="s">
        <v>582</v>
      </c>
      <c r="AR162" t="s">
        <v>86</v>
      </c>
      <c r="AS162" t="s">
        <v>86</v>
      </c>
      <c r="AT162" t="s">
        <v>86</v>
      </c>
      <c r="AU162" t="s">
        <v>86</v>
      </c>
      <c r="AV162" t="s">
        <v>766</v>
      </c>
      <c r="AW162" t="s">
        <v>69</v>
      </c>
      <c r="AX162" t="s">
        <v>218</v>
      </c>
      <c r="AY162" t="s">
        <v>767</v>
      </c>
      <c r="AZ162" t="s">
        <v>245</v>
      </c>
      <c r="BA162" t="s">
        <v>244</v>
      </c>
      <c r="BB162" t="s">
        <v>244</v>
      </c>
      <c r="BC162" t="s">
        <v>244</v>
      </c>
      <c r="BD162" t="s">
        <v>768</v>
      </c>
      <c r="BE162" t="s">
        <v>769</v>
      </c>
      <c r="BF162" t="s">
        <v>240</v>
      </c>
      <c r="BG162" t="s">
        <v>150</v>
      </c>
      <c r="BH162" t="str">
        <f>IF(COUNTIF(工作表1!A:A, $C162)&gt;0, "預購款", "非預購款")</f>
        <v>非預購款</v>
      </c>
    </row>
    <row r="163" spans="1:60" x14ac:dyDescent="0.25">
      <c r="A163" t="s">
        <v>758</v>
      </c>
      <c r="B163" t="s">
        <v>759</v>
      </c>
      <c r="C163" t="s">
        <v>760</v>
      </c>
      <c r="D163" t="s">
        <v>761</v>
      </c>
      <c r="E163" t="s">
        <v>762</v>
      </c>
      <c r="F163" t="s">
        <v>95</v>
      </c>
      <c r="G163" t="s">
        <v>763</v>
      </c>
      <c r="H163" t="s">
        <v>130</v>
      </c>
      <c r="I163" t="s">
        <v>120</v>
      </c>
      <c r="J163" t="s">
        <v>121</v>
      </c>
      <c r="K163" t="s">
        <v>69</v>
      </c>
      <c r="L163" t="s">
        <v>764</v>
      </c>
      <c r="M163" t="s">
        <v>71</v>
      </c>
      <c r="N163" t="s">
        <v>100</v>
      </c>
      <c r="O163" t="s">
        <v>101</v>
      </c>
      <c r="P163" t="s">
        <v>102</v>
      </c>
      <c r="R163" t="s">
        <v>734</v>
      </c>
      <c r="S163" t="s">
        <v>103</v>
      </c>
      <c r="T163" t="s">
        <v>258</v>
      </c>
      <c r="U163" t="s">
        <v>502</v>
      </c>
      <c r="V163" t="s">
        <v>765</v>
      </c>
      <c r="W163">
        <v>990</v>
      </c>
      <c r="X163">
        <v>39.99</v>
      </c>
      <c r="Y163">
        <v>129</v>
      </c>
      <c r="Z163">
        <v>709000</v>
      </c>
      <c r="AA163">
        <v>856350</v>
      </c>
      <c r="AB163">
        <v>360</v>
      </c>
      <c r="AD163" t="s">
        <v>238</v>
      </c>
      <c r="AE163">
        <v>2</v>
      </c>
      <c r="AF163">
        <v>5</v>
      </c>
      <c r="AI163">
        <v>10</v>
      </c>
      <c r="AJ163">
        <v>115</v>
      </c>
      <c r="AK163">
        <v>130</v>
      </c>
      <c r="AL163">
        <v>865</v>
      </c>
      <c r="AM163">
        <v>140</v>
      </c>
      <c r="AN163">
        <v>0</v>
      </c>
      <c r="AO163">
        <v>140</v>
      </c>
      <c r="AP163" t="s">
        <v>80</v>
      </c>
      <c r="AQ163" t="s">
        <v>582</v>
      </c>
      <c r="AR163" t="s">
        <v>86</v>
      </c>
      <c r="AS163" t="s">
        <v>86</v>
      </c>
      <c r="AT163" t="s">
        <v>86</v>
      </c>
      <c r="AU163" t="s">
        <v>86</v>
      </c>
      <c r="AV163" t="s">
        <v>766</v>
      </c>
      <c r="AW163" t="s">
        <v>69</v>
      </c>
      <c r="AX163" t="s">
        <v>218</v>
      </c>
      <c r="AY163" t="s">
        <v>767</v>
      </c>
      <c r="AZ163" t="s">
        <v>245</v>
      </c>
      <c r="BA163" t="s">
        <v>244</v>
      </c>
      <c r="BB163" t="s">
        <v>244</v>
      </c>
      <c r="BC163" t="s">
        <v>244</v>
      </c>
      <c r="BD163" t="s">
        <v>770</v>
      </c>
      <c r="BE163" t="s">
        <v>769</v>
      </c>
      <c r="BF163" t="s">
        <v>240</v>
      </c>
      <c r="BG163" t="s">
        <v>150</v>
      </c>
      <c r="BH163" t="str">
        <f>IF(COUNTIF(工作表1!A:A, $C163)&gt;0, "預購款", "非預購款")</f>
        <v>非預購款</v>
      </c>
    </row>
    <row r="164" spans="1:60" x14ac:dyDescent="0.25">
      <c r="A164" t="s">
        <v>758</v>
      </c>
      <c r="B164" t="s">
        <v>759</v>
      </c>
      <c r="C164" t="s">
        <v>760</v>
      </c>
      <c r="D164" t="s">
        <v>761</v>
      </c>
      <c r="E164" t="s">
        <v>762</v>
      </c>
      <c r="F164" t="s">
        <v>95</v>
      </c>
      <c r="G164" t="s">
        <v>763</v>
      </c>
      <c r="H164" t="s">
        <v>132</v>
      </c>
      <c r="I164" t="s">
        <v>120</v>
      </c>
      <c r="J164" t="s">
        <v>121</v>
      </c>
      <c r="K164" t="s">
        <v>69</v>
      </c>
      <c r="L164" t="s">
        <v>764</v>
      </c>
      <c r="M164" t="s">
        <v>71</v>
      </c>
      <c r="N164" t="s">
        <v>100</v>
      </c>
      <c r="O164" t="s">
        <v>101</v>
      </c>
      <c r="P164" t="s">
        <v>102</v>
      </c>
      <c r="R164" t="s">
        <v>734</v>
      </c>
      <c r="S164" t="s">
        <v>103</v>
      </c>
      <c r="T164" t="s">
        <v>258</v>
      </c>
      <c r="U164" t="s">
        <v>502</v>
      </c>
      <c r="V164" t="s">
        <v>765</v>
      </c>
      <c r="W164">
        <v>990</v>
      </c>
      <c r="X164">
        <v>39.99</v>
      </c>
      <c r="Y164">
        <v>129</v>
      </c>
      <c r="Z164">
        <v>709000</v>
      </c>
      <c r="AA164">
        <v>856350</v>
      </c>
      <c r="AB164">
        <v>360</v>
      </c>
      <c r="AD164" t="s">
        <v>238</v>
      </c>
      <c r="AE164">
        <v>2</v>
      </c>
      <c r="AF164">
        <v>0</v>
      </c>
      <c r="AI164">
        <v>10</v>
      </c>
      <c r="AJ164">
        <v>75</v>
      </c>
      <c r="AK164">
        <v>85</v>
      </c>
      <c r="AL164">
        <v>865</v>
      </c>
      <c r="AM164">
        <v>95</v>
      </c>
      <c r="AN164">
        <v>0</v>
      </c>
      <c r="AO164">
        <v>95</v>
      </c>
      <c r="AP164" t="s">
        <v>80</v>
      </c>
      <c r="AQ164" t="s">
        <v>582</v>
      </c>
      <c r="AR164" t="s">
        <v>86</v>
      </c>
      <c r="AS164" t="s">
        <v>86</v>
      </c>
      <c r="AT164" t="s">
        <v>86</v>
      </c>
      <c r="AU164" t="s">
        <v>86</v>
      </c>
      <c r="AV164" t="s">
        <v>766</v>
      </c>
      <c r="AW164" t="s">
        <v>69</v>
      </c>
      <c r="AX164" t="s">
        <v>218</v>
      </c>
      <c r="AY164" t="s">
        <v>767</v>
      </c>
      <c r="AZ164" t="s">
        <v>245</v>
      </c>
      <c r="BA164" t="s">
        <v>244</v>
      </c>
      <c r="BB164" t="s">
        <v>244</v>
      </c>
      <c r="BC164" t="s">
        <v>244</v>
      </c>
      <c r="BD164" t="s">
        <v>771</v>
      </c>
      <c r="BE164" t="s">
        <v>769</v>
      </c>
      <c r="BF164" t="s">
        <v>240</v>
      </c>
      <c r="BG164" t="s">
        <v>150</v>
      </c>
      <c r="BH164" t="str">
        <f>IF(COUNTIF(工作表1!A:A, $C164)&gt;0, "預購款", "非預購款")</f>
        <v>非預購款</v>
      </c>
    </row>
    <row r="165" spans="1:60" x14ac:dyDescent="0.25">
      <c r="A165" t="s">
        <v>758</v>
      </c>
      <c r="B165" t="s">
        <v>759</v>
      </c>
      <c r="C165" t="s">
        <v>760</v>
      </c>
      <c r="D165" t="s">
        <v>761</v>
      </c>
      <c r="E165" t="s">
        <v>762</v>
      </c>
      <c r="F165" t="s">
        <v>95</v>
      </c>
      <c r="G165" t="s">
        <v>763</v>
      </c>
      <c r="H165" t="s">
        <v>119</v>
      </c>
      <c r="I165" t="s">
        <v>214</v>
      </c>
      <c r="J165" t="s">
        <v>215</v>
      </c>
      <c r="K165" t="s">
        <v>80</v>
      </c>
      <c r="L165" t="s">
        <v>764</v>
      </c>
      <c r="M165" t="s">
        <v>71</v>
      </c>
      <c r="N165" t="s">
        <v>100</v>
      </c>
      <c r="O165" t="s">
        <v>101</v>
      </c>
      <c r="P165" t="s">
        <v>102</v>
      </c>
      <c r="R165" t="s">
        <v>734</v>
      </c>
      <c r="S165" t="s">
        <v>103</v>
      </c>
      <c r="T165" t="s">
        <v>258</v>
      </c>
      <c r="U165" t="s">
        <v>502</v>
      </c>
      <c r="V165" t="s">
        <v>765</v>
      </c>
      <c r="W165">
        <v>990</v>
      </c>
      <c r="X165">
        <v>39.99</v>
      </c>
      <c r="Y165">
        <v>129</v>
      </c>
      <c r="Z165">
        <v>709000</v>
      </c>
      <c r="AA165">
        <v>856350</v>
      </c>
      <c r="AB165">
        <v>360</v>
      </c>
      <c r="AD165" t="s">
        <v>238</v>
      </c>
      <c r="AE165">
        <v>2</v>
      </c>
      <c r="AF165">
        <v>10</v>
      </c>
      <c r="AI165">
        <v>20</v>
      </c>
      <c r="AJ165">
        <v>200</v>
      </c>
      <c r="AK165">
        <v>230</v>
      </c>
      <c r="AL165">
        <v>865</v>
      </c>
      <c r="AM165">
        <v>240</v>
      </c>
      <c r="AN165">
        <v>0</v>
      </c>
      <c r="AO165">
        <v>240</v>
      </c>
      <c r="AP165" t="s">
        <v>80</v>
      </c>
      <c r="AQ165" t="s">
        <v>582</v>
      </c>
      <c r="AR165" t="s">
        <v>86</v>
      </c>
      <c r="AS165" t="s">
        <v>86</v>
      </c>
      <c r="AT165" t="s">
        <v>86</v>
      </c>
      <c r="AU165" t="s">
        <v>86</v>
      </c>
      <c r="AV165" t="s">
        <v>766</v>
      </c>
      <c r="AW165" t="s">
        <v>69</v>
      </c>
      <c r="AX165" t="s">
        <v>218</v>
      </c>
      <c r="AY165" t="s">
        <v>767</v>
      </c>
      <c r="AZ165" t="s">
        <v>245</v>
      </c>
      <c r="BA165" t="s">
        <v>244</v>
      </c>
      <c r="BB165" t="s">
        <v>244</v>
      </c>
      <c r="BC165" t="s">
        <v>244</v>
      </c>
      <c r="BD165" t="s">
        <v>772</v>
      </c>
      <c r="BE165" t="s">
        <v>769</v>
      </c>
      <c r="BF165" t="s">
        <v>240</v>
      </c>
      <c r="BG165" t="s">
        <v>150</v>
      </c>
      <c r="BH165" t="str">
        <f>IF(COUNTIF(工作表1!A:A, $C165)&gt;0, "預購款", "非預購款")</f>
        <v>非預購款</v>
      </c>
    </row>
    <row r="166" spans="1:60" x14ac:dyDescent="0.25">
      <c r="A166" t="s">
        <v>758</v>
      </c>
      <c r="B166" t="s">
        <v>759</v>
      </c>
      <c r="C166" t="s">
        <v>760</v>
      </c>
      <c r="D166" t="s">
        <v>761</v>
      </c>
      <c r="E166" t="s">
        <v>762</v>
      </c>
      <c r="F166" t="s">
        <v>95</v>
      </c>
      <c r="G166" t="s">
        <v>763</v>
      </c>
      <c r="H166" t="s">
        <v>130</v>
      </c>
      <c r="I166" t="s">
        <v>214</v>
      </c>
      <c r="J166" t="s">
        <v>215</v>
      </c>
      <c r="K166" t="s">
        <v>80</v>
      </c>
      <c r="L166" t="s">
        <v>764</v>
      </c>
      <c r="M166" t="s">
        <v>71</v>
      </c>
      <c r="N166" t="s">
        <v>100</v>
      </c>
      <c r="O166" t="s">
        <v>101</v>
      </c>
      <c r="P166" t="s">
        <v>102</v>
      </c>
      <c r="R166" t="s">
        <v>734</v>
      </c>
      <c r="S166" t="s">
        <v>103</v>
      </c>
      <c r="T166" t="s">
        <v>258</v>
      </c>
      <c r="U166" t="s">
        <v>502</v>
      </c>
      <c r="V166" t="s">
        <v>765</v>
      </c>
      <c r="W166">
        <v>990</v>
      </c>
      <c r="X166">
        <v>39.99</v>
      </c>
      <c r="Y166">
        <v>129</v>
      </c>
      <c r="Z166">
        <v>709000</v>
      </c>
      <c r="AA166">
        <v>856350</v>
      </c>
      <c r="AB166">
        <v>360</v>
      </c>
      <c r="AD166" t="s">
        <v>238</v>
      </c>
      <c r="AE166">
        <v>2</v>
      </c>
      <c r="AF166">
        <v>5</v>
      </c>
      <c r="AI166">
        <v>10</v>
      </c>
      <c r="AJ166">
        <v>80</v>
      </c>
      <c r="AK166">
        <v>95</v>
      </c>
      <c r="AL166">
        <v>865</v>
      </c>
      <c r="AM166">
        <v>110</v>
      </c>
      <c r="AN166">
        <v>0</v>
      </c>
      <c r="AO166">
        <v>110</v>
      </c>
      <c r="AP166" t="s">
        <v>80</v>
      </c>
      <c r="AQ166" t="s">
        <v>582</v>
      </c>
      <c r="AR166" t="s">
        <v>86</v>
      </c>
      <c r="AS166" t="s">
        <v>86</v>
      </c>
      <c r="AT166" t="s">
        <v>86</v>
      </c>
      <c r="AU166" t="s">
        <v>86</v>
      </c>
      <c r="AV166" t="s">
        <v>766</v>
      </c>
      <c r="AW166" t="s">
        <v>69</v>
      </c>
      <c r="AX166" t="s">
        <v>218</v>
      </c>
      <c r="AY166" t="s">
        <v>767</v>
      </c>
      <c r="AZ166" t="s">
        <v>245</v>
      </c>
      <c r="BA166" t="s">
        <v>244</v>
      </c>
      <c r="BB166" t="s">
        <v>244</v>
      </c>
      <c r="BC166" t="s">
        <v>244</v>
      </c>
      <c r="BD166" t="s">
        <v>773</v>
      </c>
      <c r="BE166" t="s">
        <v>769</v>
      </c>
      <c r="BF166" t="s">
        <v>240</v>
      </c>
      <c r="BG166" t="s">
        <v>150</v>
      </c>
      <c r="BH166" t="str">
        <f>IF(COUNTIF(工作表1!A:A, $C166)&gt;0, "預購款", "非預購款")</f>
        <v>非預購款</v>
      </c>
    </row>
    <row r="167" spans="1:60" x14ac:dyDescent="0.25">
      <c r="A167" t="s">
        <v>758</v>
      </c>
      <c r="B167" t="s">
        <v>759</v>
      </c>
      <c r="C167" t="s">
        <v>760</v>
      </c>
      <c r="D167" t="s">
        <v>761</v>
      </c>
      <c r="E167" t="s">
        <v>762</v>
      </c>
      <c r="F167" t="s">
        <v>95</v>
      </c>
      <c r="G167" t="s">
        <v>763</v>
      </c>
      <c r="H167" t="s">
        <v>132</v>
      </c>
      <c r="I167" t="s">
        <v>214</v>
      </c>
      <c r="J167" t="s">
        <v>215</v>
      </c>
      <c r="K167" t="s">
        <v>80</v>
      </c>
      <c r="L167" t="s">
        <v>764</v>
      </c>
      <c r="M167" t="s">
        <v>71</v>
      </c>
      <c r="N167" t="s">
        <v>100</v>
      </c>
      <c r="O167" t="s">
        <v>101</v>
      </c>
      <c r="P167" t="s">
        <v>102</v>
      </c>
      <c r="R167" t="s">
        <v>734</v>
      </c>
      <c r="S167" t="s">
        <v>103</v>
      </c>
      <c r="T167" t="s">
        <v>258</v>
      </c>
      <c r="U167" t="s">
        <v>502</v>
      </c>
      <c r="V167" t="s">
        <v>765</v>
      </c>
      <c r="W167">
        <v>990</v>
      </c>
      <c r="X167">
        <v>39.99</v>
      </c>
      <c r="Y167">
        <v>129</v>
      </c>
      <c r="Z167">
        <v>709000</v>
      </c>
      <c r="AA167">
        <v>856350</v>
      </c>
      <c r="AB167">
        <v>360</v>
      </c>
      <c r="AD167" t="s">
        <v>238</v>
      </c>
      <c r="AE167">
        <v>2</v>
      </c>
      <c r="AF167">
        <v>0</v>
      </c>
      <c r="AI167">
        <v>10</v>
      </c>
      <c r="AJ167">
        <v>30</v>
      </c>
      <c r="AK167">
        <v>40</v>
      </c>
      <c r="AL167">
        <v>865</v>
      </c>
      <c r="AM167">
        <v>46</v>
      </c>
      <c r="AN167">
        <v>0</v>
      </c>
      <c r="AO167">
        <v>46</v>
      </c>
      <c r="AP167" t="s">
        <v>80</v>
      </c>
      <c r="AQ167" t="s">
        <v>582</v>
      </c>
      <c r="AR167" t="s">
        <v>86</v>
      </c>
      <c r="AS167" t="s">
        <v>86</v>
      </c>
      <c r="AT167" t="s">
        <v>86</v>
      </c>
      <c r="AU167" t="s">
        <v>86</v>
      </c>
      <c r="AV167" t="s">
        <v>766</v>
      </c>
      <c r="AW167" t="s">
        <v>69</v>
      </c>
      <c r="AX167" t="s">
        <v>218</v>
      </c>
      <c r="AY167" t="s">
        <v>767</v>
      </c>
      <c r="AZ167" t="s">
        <v>245</v>
      </c>
      <c r="BA167" t="s">
        <v>244</v>
      </c>
      <c r="BB167" t="s">
        <v>244</v>
      </c>
      <c r="BC167" t="s">
        <v>244</v>
      </c>
      <c r="BD167" t="s">
        <v>774</v>
      </c>
      <c r="BE167" t="s">
        <v>769</v>
      </c>
      <c r="BF167" t="s">
        <v>240</v>
      </c>
      <c r="BG167" t="s">
        <v>150</v>
      </c>
      <c r="BH167" t="str">
        <f>IF(COUNTIF(工作表1!A:A, $C167)&gt;0, "預購款", "非預購款")</f>
        <v>非預購款</v>
      </c>
    </row>
    <row r="168" spans="1:60" x14ac:dyDescent="0.25">
      <c r="A168" t="s">
        <v>775</v>
      </c>
      <c r="B168" t="s">
        <v>776</v>
      </c>
      <c r="C168" t="s">
        <v>777</v>
      </c>
      <c r="D168" t="s">
        <v>778</v>
      </c>
      <c r="E168" t="s">
        <v>779</v>
      </c>
      <c r="F168" t="s">
        <v>95</v>
      </c>
      <c r="G168" t="s">
        <v>780</v>
      </c>
      <c r="H168" t="s">
        <v>119</v>
      </c>
      <c r="I168" t="s">
        <v>120</v>
      </c>
      <c r="J168" t="s">
        <v>121</v>
      </c>
      <c r="K168" t="s">
        <v>69</v>
      </c>
      <c r="L168" t="s">
        <v>781</v>
      </c>
      <c r="M168" t="s">
        <v>71</v>
      </c>
      <c r="N168" t="s">
        <v>100</v>
      </c>
      <c r="O168" t="s">
        <v>101</v>
      </c>
      <c r="P168" t="s">
        <v>102</v>
      </c>
      <c r="R168" t="s">
        <v>734</v>
      </c>
      <c r="S168" t="s">
        <v>103</v>
      </c>
      <c r="T168" t="s">
        <v>76</v>
      </c>
      <c r="U168" t="s">
        <v>104</v>
      </c>
      <c r="V168" t="s">
        <v>653</v>
      </c>
      <c r="W168">
        <v>490</v>
      </c>
      <c r="X168">
        <v>22.99</v>
      </c>
      <c r="Y168">
        <v>60</v>
      </c>
      <c r="Z168">
        <v>355000</v>
      </c>
      <c r="AA168">
        <v>392490</v>
      </c>
      <c r="AB168">
        <v>178</v>
      </c>
      <c r="AD168" t="s">
        <v>238</v>
      </c>
      <c r="AE168">
        <v>2</v>
      </c>
      <c r="AF168">
        <v>25</v>
      </c>
      <c r="AI168">
        <v>0</v>
      </c>
      <c r="AJ168">
        <v>130</v>
      </c>
      <c r="AK168">
        <v>155</v>
      </c>
      <c r="AL168">
        <v>801</v>
      </c>
      <c r="AM168">
        <v>168</v>
      </c>
      <c r="AN168">
        <v>0</v>
      </c>
      <c r="AO168">
        <v>168</v>
      </c>
      <c r="AP168" t="s">
        <v>80</v>
      </c>
      <c r="AQ168" t="s">
        <v>125</v>
      </c>
      <c r="AR168" t="s">
        <v>240</v>
      </c>
      <c r="AS168" t="s">
        <v>240</v>
      </c>
      <c r="AT168" t="s">
        <v>264</v>
      </c>
      <c r="AU168" t="s">
        <v>240</v>
      </c>
      <c r="AV168" t="s">
        <v>782</v>
      </c>
      <c r="AW168" t="s">
        <v>69</v>
      </c>
      <c r="AX168" t="s">
        <v>218</v>
      </c>
      <c r="AY168" t="s">
        <v>783</v>
      </c>
      <c r="AZ168" t="s">
        <v>243</v>
      </c>
      <c r="BA168" t="s">
        <v>244</v>
      </c>
      <c r="BB168" t="s">
        <v>244</v>
      </c>
      <c r="BC168" t="s">
        <v>244</v>
      </c>
      <c r="BD168" t="s">
        <v>784</v>
      </c>
      <c r="BE168" t="s">
        <v>785</v>
      </c>
      <c r="BF168" t="s">
        <v>786</v>
      </c>
      <c r="BG168" t="s">
        <v>150</v>
      </c>
      <c r="BH168" t="str">
        <f>IF(COUNTIF(工作表1!A:A, $C168)&gt;0, "預購款", "非預購款")</f>
        <v>非預購款</v>
      </c>
    </row>
    <row r="169" spans="1:60" x14ac:dyDescent="0.25">
      <c r="A169" t="s">
        <v>775</v>
      </c>
      <c r="B169" t="s">
        <v>776</v>
      </c>
      <c r="C169" t="s">
        <v>777</v>
      </c>
      <c r="D169" t="s">
        <v>778</v>
      </c>
      <c r="E169" t="s">
        <v>779</v>
      </c>
      <c r="F169" t="s">
        <v>95</v>
      </c>
      <c r="G169" t="s">
        <v>780</v>
      </c>
      <c r="H169" t="s">
        <v>130</v>
      </c>
      <c r="I169" t="s">
        <v>120</v>
      </c>
      <c r="J169" t="s">
        <v>121</v>
      </c>
      <c r="K169" t="s">
        <v>69</v>
      </c>
      <c r="L169" t="s">
        <v>781</v>
      </c>
      <c r="M169" t="s">
        <v>71</v>
      </c>
      <c r="N169" t="s">
        <v>100</v>
      </c>
      <c r="O169" t="s">
        <v>101</v>
      </c>
      <c r="P169" t="s">
        <v>102</v>
      </c>
      <c r="R169" t="s">
        <v>734</v>
      </c>
      <c r="S169" t="s">
        <v>103</v>
      </c>
      <c r="T169" t="s">
        <v>76</v>
      </c>
      <c r="U169" t="s">
        <v>104</v>
      </c>
      <c r="V169" t="s">
        <v>653</v>
      </c>
      <c r="W169">
        <v>490</v>
      </c>
      <c r="X169">
        <v>22.99</v>
      </c>
      <c r="Y169">
        <v>60</v>
      </c>
      <c r="Z169">
        <v>355000</v>
      </c>
      <c r="AA169">
        <v>392490</v>
      </c>
      <c r="AB169">
        <v>178</v>
      </c>
      <c r="AD169" t="s">
        <v>238</v>
      </c>
      <c r="AE169">
        <v>2</v>
      </c>
      <c r="AF169">
        <v>15</v>
      </c>
      <c r="AI169">
        <v>0</v>
      </c>
      <c r="AJ169">
        <v>65</v>
      </c>
      <c r="AK169">
        <v>80</v>
      </c>
      <c r="AL169">
        <v>801</v>
      </c>
      <c r="AM169">
        <v>90</v>
      </c>
      <c r="AN169">
        <v>0</v>
      </c>
      <c r="AO169">
        <v>90</v>
      </c>
      <c r="AP169" t="s">
        <v>80</v>
      </c>
      <c r="AQ169" t="s">
        <v>125</v>
      </c>
      <c r="AR169" t="s">
        <v>240</v>
      </c>
      <c r="AS169" t="s">
        <v>240</v>
      </c>
      <c r="AT169" t="s">
        <v>264</v>
      </c>
      <c r="AU169" t="s">
        <v>240</v>
      </c>
      <c r="AV169" t="s">
        <v>782</v>
      </c>
      <c r="AW169" t="s">
        <v>69</v>
      </c>
      <c r="AX169" t="s">
        <v>218</v>
      </c>
      <c r="AY169" t="s">
        <v>783</v>
      </c>
      <c r="AZ169" t="s">
        <v>243</v>
      </c>
      <c r="BA169" t="s">
        <v>244</v>
      </c>
      <c r="BB169" t="s">
        <v>244</v>
      </c>
      <c r="BC169" t="s">
        <v>244</v>
      </c>
      <c r="BD169" t="s">
        <v>787</v>
      </c>
      <c r="BE169" t="s">
        <v>785</v>
      </c>
      <c r="BF169" t="s">
        <v>786</v>
      </c>
      <c r="BG169" t="s">
        <v>150</v>
      </c>
      <c r="BH169" t="str">
        <f>IF(COUNTIF(工作表1!A:A, $C169)&gt;0, "預購款", "非預購款")</f>
        <v>非預購款</v>
      </c>
    </row>
    <row r="170" spans="1:60" x14ac:dyDescent="0.25">
      <c r="A170" t="s">
        <v>775</v>
      </c>
      <c r="B170" t="s">
        <v>776</v>
      </c>
      <c r="C170" t="s">
        <v>777</v>
      </c>
      <c r="D170" t="s">
        <v>778</v>
      </c>
      <c r="E170" t="s">
        <v>779</v>
      </c>
      <c r="F170" t="s">
        <v>95</v>
      </c>
      <c r="G170" t="s">
        <v>780</v>
      </c>
      <c r="H170" t="s">
        <v>132</v>
      </c>
      <c r="I170" t="s">
        <v>120</v>
      </c>
      <c r="J170" t="s">
        <v>121</v>
      </c>
      <c r="K170" t="s">
        <v>69</v>
      </c>
      <c r="L170" t="s">
        <v>781</v>
      </c>
      <c r="M170" t="s">
        <v>71</v>
      </c>
      <c r="N170" t="s">
        <v>100</v>
      </c>
      <c r="O170" t="s">
        <v>101</v>
      </c>
      <c r="P170" t="s">
        <v>102</v>
      </c>
      <c r="R170" t="s">
        <v>734</v>
      </c>
      <c r="S170" t="s">
        <v>103</v>
      </c>
      <c r="T170" t="s">
        <v>76</v>
      </c>
      <c r="U170" t="s">
        <v>104</v>
      </c>
      <c r="V170" t="s">
        <v>653</v>
      </c>
      <c r="W170">
        <v>490</v>
      </c>
      <c r="X170">
        <v>22.99</v>
      </c>
      <c r="Y170">
        <v>60</v>
      </c>
      <c r="Z170">
        <v>355000</v>
      </c>
      <c r="AA170">
        <v>392490</v>
      </c>
      <c r="AB170">
        <v>178</v>
      </c>
      <c r="AD170" t="s">
        <v>238</v>
      </c>
      <c r="AE170">
        <v>2</v>
      </c>
      <c r="AF170">
        <v>6</v>
      </c>
      <c r="AI170">
        <v>0</v>
      </c>
      <c r="AJ170">
        <v>25</v>
      </c>
      <c r="AK170">
        <v>31</v>
      </c>
      <c r="AL170">
        <v>801</v>
      </c>
      <c r="AM170">
        <v>36</v>
      </c>
      <c r="AN170">
        <v>0</v>
      </c>
      <c r="AO170">
        <v>36</v>
      </c>
      <c r="AP170" t="s">
        <v>80</v>
      </c>
      <c r="AQ170" t="s">
        <v>125</v>
      </c>
      <c r="AR170" t="s">
        <v>240</v>
      </c>
      <c r="AS170" t="s">
        <v>240</v>
      </c>
      <c r="AT170" t="s">
        <v>264</v>
      </c>
      <c r="AU170" t="s">
        <v>240</v>
      </c>
      <c r="AV170" t="s">
        <v>782</v>
      </c>
      <c r="AW170" t="s">
        <v>69</v>
      </c>
      <c r="AX170" t="s">
        <v>218</v>
      </c>
      <c r="AY170" t="s">
        <v>783</v>
      </c>
      <c r="AZ170" t="s">
        <v>243</v>
      </c>
      <c r="BA170" t="s">
        <v>244</v>
      </c>
      <c r="BB170" t="s">
        <v>244</v>
      </c>
      <c r="BC170" t="s">
        <v>244</v>
      </c>
      <c r="BD170" t="s">
        <v>788</v>
      </c>
      <c r="BE170" t="s">
        <v>785</v>
      </c>
      <c r="BF170" t="s">
        <v>786</v>
      </c>
      <c r="BG170" t="s">
        <v>150</v>
      </c>
      <c r="BH170" t="str">
        <f>IF(COUNTIF(工作表1!A:A, $C170)&gt;0, "預購款", "非預購款")</f>
        <v>非預購款</v>
      </c>
    </row>
    <row r="171" spans="1:60" x14ac:dyDescent="0.25">
      <c r="A171" t="s">
        <v>775</v>
      </c>
      <c r="B171" t="s">
        <v>776</v>
      </c>
      <c r="C171" t="s">
        <v>777</v>
      </c>
      <c r="D171" t="s">
        <v>778</v>
      </c>
      <c r="E171" t="s">
        <v>779</v>
      </c>
      <c r="F171" t="s">
        <v>95</v>
      </c>
      <c r="G171" t="s">
        <v>780</v>
      </c>
      <c r="H171" t="s">
        <v>119</v>
      </c>
      <c r="I171" t="s">
        <v>97</v>
      </c>
      <c r="J171" t="s">
        <v>98</v>
      </c>
      <c r="K171" t="s">
        <v>69</v>
      </c>
      <c r="L171" t="s">
        <v>781</v>
      </c>
      <c r="M171" t="s">
        <v>71</v>
      </c>
      <c r="N171" t="s">
        <v>100</v>
      </c>
      <c r="O171" t="s">
        <v>101</v>
      </c>
      <c r="P171" t="s">
        <v>102</v>
      </c>
      <c r="R171" t="s">
        <v>734</v>
      </c>
      <c r="S171" t="s">
        <v>103</v>
      </c>
      <c r="T171" t="s">
        <v>76</v>
      </c>
      <c r="U171" t="s">
        <v>104</v>
      </c>
      <c r="V171" t="s">
        <v>653</v>
      </c>
      <c r="W171">
        <v>490</v>
      </c>
      <c r="X171">
        <v>22.99</v>
      </c>
      <c r="Y171">
        <v>60</v>
      </c>
      <c r="Z171">
        <v>355000</v>
      </c>
      <c r="AA171">
        <v>392490</v>
      </c>
      <c r="AB171">
        <v>178</v>
      </c>
      <c r="AD171" t="s">
        <v>238</v>
      </c>
      <c r="AE171">
        <v>2</v>
      </c>
      <c r="AF171">
        <v>25</v>
      </c>
      <c r="AI171">
        <v>45</v>
      </c>
      <c r="AJ171">
        <v>265</v>
      </c>
      <c r="AK171">
        <v>335</v>
      </c>
      <c r="AL171">
        <v>801</v>
      </c>
      <c r="AM171">
        <v>350</v>
      </c>
      <c r="AN171">
        <v>0</v>
      </c>
      <c r="AO171">
        <v>350</v>
      </c>
      <c r="AP171" t="s">
        <v>80</v>
      </c>
      <c r="AQ171" t="s">
        <v>125</v>
      </c>
      <c r="AR171" t="s">
        <v>240</v>
      </c>
      <c r="AS171" t="s">
        <v>240</v>
      </c>
      <c r="AT171" t="s">
        <v>264</v>
      </c>
      <c r="AU171" t="s">
        <v>240</v>
      </c>
      <c r="AV171" t="s">
        <v>782</v>
      </c>
      <c r="AW171" t="s">
        <v>69</v>
      </c>
      <c r="AX171" t="s">
        <v>218</v>
      </c>
      <c r="AY171" t="s">
        <v>783</v>
      </c>
      <c r="AZ171" t="s">
        <v>243</v>
      </c>
      <c r="BA171" t="s">
        <v>244</v>
      </c>
      <c r="BB171" t="s">
        <v>244</v>
      </c>
      <c r="BC171" t="s">
        <v>244</v>
      </c>
      <c r="BD171" t="s">
        <v>789</v>
      </c>
      <c r="BE171" t="s">
        <v>785</v>
      </c>
      <c r="BF171" t="s">
        <v>786</v>
      </c>
      <c r="BG171" t="s">
        <v>150</v>
      </c>
      <c r="BH171" t="str">
        <f>IF(COUNTIF(工作表1!A:A, $C171)&gt;0, "預購款", "非預購款")</f>
        <v>非預購款</v>
      </c>
    </row>
    <row r="172" spans="1:60" x14ac:dyDescent="0.25">
      <c r="A172" t="s">
        <v>775</v>
      </c>
      <c r="B172" t="s">
        <v>776</v>
      </c>
      <c r="C172" t="s">
        <v>777</v>
      </c>
      <c r="D172" t="s">
        <v>778</v>
      </c>
      <c r="E172" t="s">
        <v>779</v>
      </c>
      <c r="F172" t="s">
        <v>95</v>
      </c>
      <c r="G172" t="s">
        <v>780</v>
      </c>
      <c r="H172" t="s">
        <v>130</v>
      </c>
      <c r="I172" t="s">
        <v>97</v>
      </c>
      <c r="J172" t="s">
        <v>98</v>
      </c>
      <c r="K172" t="s">
        <v>69</v>
      </c>
      <c r="L172" t="s">
        <v>781</v>
      </c>
      <c r="M172" t="s">
        <v>71</v>
      </c>
      <c r="N172" t="s">
        <v>100</v>
      </c>
      <c r="O172" t="s">
        <v>101</v>
      </c>
      <c r="P172" t="s">
        <v>102</v>
      </c>
      <c r="R172" t="s">
        <v>734</v>
      </c>
      <c r="S172" t="s">
        <v>103</v>
      </c>
      <c r="T172" t="s">
        <v>76</v>
      </c>
      <c r="U172" t="s">
        <v>104</v>
      </c>
      <c r="V172" t="s">
        <v>653</v>
      </c>
      <c r="W172">
        <v>490</v>
      </c>
      <c r="X172">
        <v>22.99</v>
      </c>
      <c r="Y172">
        <v>60</v>
      </c>
      <c r="Z172">
        <v>355000</v>
      </c>
      <c r="AA172">
        <v>392490</v>
      </c>
      <c r="AB172">
        <v>178</v>
      </c>
      <c r="AD172" t="s">
        <v>238</v>
      </c>
      <c r="AE172">
        <v>2</v>
      </c>
      <c r="AF172">
        <v>15</v>
      </c>
      <c r="AI172">
        <v>50</v>
      </c>
      <c r="AJ172">
        <v>85</v>
      </c>
      <c r="AK172">
        <v>150</v>
      </c>
      <c r="AL172">
        <v>801</v>
      </c>
      <c r="AM172">
        <v>160</v>
      </c>
      <c r="AN172">
        <v>0</v>
      </c>
      <c r="AO172">
        <v>160</v>
      </c>
      <c r="AP172" t="s">
        <v>80</v>
      </c>
      <c r="AQ172" t="s">
        <v>125</v>
      </c>
      <c r="AR172" t="s">
        <v>240</v>
      </c>
      <c r="AS172" t="s">
        <v>240</v>
      </c>
      <c r="AT172" t="s">
        <v>264</v>
      </c>
      <c r="AU172" t="s">
        <v>240</v>
      </c>
      <c r="AV172" t="s">
        <v>782</v>
      </c>
      <c r="AW172" t="s">
        <v>69</v>
      </c>
      <c r="AX172" t="s">
        <v>218</v>
      </c>
      <c r="AY172" t="s">
        <v>783</v>
      </c>
      <c r="AZ172" t="s">
        <v>243</v>
      </c>
      <c r="BA172" t="s">
        <v>244</v>
      </c>
      <c r="BB172" t="s">
        <v>244</v>
      </c>
      <c r="BC172" t="s">
        <v>244</v>
      </c>
      <c r="BD172" t="s">
        <v>790</v>
      </c>
      <c r="BE172" t="s">
        <v>785</v>
      </c>
      <c r="BF172" t="s">
        <v>786</v>
      </c>
      <c r="BG172" t="s">
        <v>150</v>
      </c>
      <c r="BH172" t="str">
        <f>IF(COUNTIF(工作表1!A:A, $C172)&gt;0, "預購款", "非預購款")</f>
        <v>非預購款</v>
      </c>
    </row>
    <row r="173" spans="1:60" x14ac:dyDescent="0.25">
      <c r="A173" t="s">
        <v>775</v>
      </c>
      <c r="B173" t="s">
        <v>776</v>
      </c>
      <c r="C173" t="s">
        <v>777</v>
      </c>
      <c r="D173" t="s">
        <v>778</v>
      </c>
      <c r="E173" t="s">
        <v>779</v>
      </c>
      <c r="F173" t="s">
        <v>95</v>
      </c>
      <c r="G173" t="s">
        <v>780</v>
      </c>
      <c r="H173" t="s">
        <v>132</v>
      </c>
      <c r="I173" t="s">
        <v>97</v>
      </c>
      <c r="J173" t="s">
        <v>98</v>
      </c>
      <c r="K173" t="s">
        <v>69</v>
      </c>
      <c r="L173" t="s">
        <v>781</v>
      </c>
      <c r="M173" t="s">
        <v>71</v>
      </c>
      <c r="N173" t="s">
        <v>100</v>
      </c>
      <c r="O173" t="s">
        <v>101</v>
      </c>
      <c r="P173" t="s">
        <v>102</v>
      </c>
      <c r="R173" t="s">
        <v>734</v>
      </c>
      <c r="S173" t="s">
        <v>103</v>
      </c>
      <c r="T173" t="s">
        <v>76</v>
      </c>
      <c r="U173" t="s">
        <v>104</v>
      </c>
      <c r="V173" t="s">
        <v>653</v>
      </c>
      <c r="W173">
        <v>490</v>
      </c>
      <c r="X173">
        <v>22.99</v>
      </c>
      <c r="Y173">
        <v>60</v>
      </c>
      <c r="Z173">
        <v>355000</v>
      </c>
      <c r="AA173">
        <v>392490</v>
      </c>
      <c r="AB173">
        <v>178</v>
      </c>
      <c r="AD173" t="s">
        <v>238</v>
      </c>
      <c r="AE173">
        <v>2</v>
      </c>
      <c r="AF173">
        <v>0</v>
      </c>
      <c r="AI173">
        <v>20</v>
      </c>
      <c r="AJ173">
        <v>30</v>
      </c>
      <c r="AK173">
        <v>50</v>
      </c>
      <c r="AL173">
        <v>801</v>
      </c>
      <c r="AM173">
        <v>60</v>
      </c>
      <c r="AN173">
        <v>0</v>
      </c>
      <c r="AO173">
        <v>60</v>
      </c>
      <c r="AP173" t="s">
        <v>80</v>
      </c>
      <c r="AQ173" t="s">
        <v>125</v>
      </c>
      <c r="AR173" t="s">
        <v>240</v>
      </c>
      <c r="AS173" t="s">
        <v>240</v>
      </c>
      <c r="AT173" t="s">
        <v>264</v>
      </c>
      <c r="AU173" t="s">
        <v>240</v>
      </c>
      <c r="AV173" t="s">
        <v>782</v>
      </c>
      <c r="AW173" t="s">
        <v>69</v>
      </c>
      <c r="AX173" t="s">
        <v>218</v>
      </c>
      <c r="AY173" t="s">
        <v>783</v>
      </c>
      <c r="AZ173" t="s">
        <v>243</v>
      </c>
      <c r="BA173" t="s">
        <v>244</v>
      </c>
      <c r="BB173" t="s">
        <v>244</v>
      </c>
      <c r="BC173" t="s">
        <v>244</v>
      </c>
      <c r="BD173" t="s">
        <v>791</v>
      </c>
      <c r="BE173" t="s">
        <v>785</v>
      </c>
      <c r="BF173" t="s">
        <v>786</v>
      </c>
      <c r="BG173" t="s">
        <v>150</v>
      </c>
      <c r="BH173" t="str">
        <f>IF(COUNTIF(工作表1!A:A, $C173)&gt;0, "預購款", "非預購款")</f>
        <v>非預購款</v>
      </c>
    </row>
    <row r="174" spans="1:60" x14ac:dyDescent="0.25">
      <c r="A174" t="s">
        <v>373</v>
      </c>
      <c r="B174" t="s">
        <v>226</v>
      </c>
      <c r="C174" t="s">
        <v>374</v>
      </c>
      <c r="D174" t="s">
        <v>375</v>
      </c>
      <c r="E174" t="s">
        <v>376</v>
      </c>
      <c r="F174" t="s">
        <v>95</v>
      </c>
      <c r="G174" t="s">
        <v>378</v>
      </c>
      <c r="H174" t="s">
        <v>379</v>
      </c>
      <c r="I174" t="s">
        <v>120</v>
      </c>
      <c r="J174" t="s">
        <v>121</v>
      </c>
      <c r="K174" t="s">
        <v>69</v>
      </c>
      <c r="L174" t="s">
        <v>380</v>
      </c>
      <c r="M174" t="s">
        <v>71</v>
      </c>
      <c r="N174" t="s">
        <v>72</v>
      </c>
      <c r="O174" t="s">
        <v>73</v>
      </c>
      <c r="P174" t="s">
        <v>74</v>
      </c>
      <c r="R174" t="s">
        <v>381</v>
      </c>
      <c r="S174" t="s">
        <v>103</v>
      </c>
      <c r="T174" t="s">
        <v>76</v>
      </c>
      <c r="U174" t="s">
        <v>383</v>
      </c>
      <c r="V174" t="s">
        <v>384</v>
      </c>
      <c r="W174">
        <v>890</v>
      </c>
      <c r="X174">
        <v>39.99</v>
      </c>
      <c r="Y174">
        <v>115</v>
      </c>
      <c r="Z174">
        <v>639000</v>
      </c>
      <c r="AA174">
        <v>876650</v>
      </c>
      <c r="AB174">
        <v>484</v>
      </c>
      <c r="AD174" t="s">
        <v>238</v>
      </c>
      <c r="AE174">
        <v>2</v>
      </c>
      <c r="AF174">
        <v>0</v>
      </c>
      <c r="AI174">
        <v>20</v>
      </c>
      <c r="AJ174">
        <v>30</v>
      </c>
      <c r="AK174">
        <v>50</v>
      </c>
      <c r="AL174">
        <v>985</v>
      </c>
      <c r="AM174">
        <v>56</v>
      </c>
      <c r="AN174">
        <v>0</v>
      </c>
      <c r="AO174">
        <v>56</v>
      </c>
      <c r="AP174" t="s">
        <v>80</v>
      </c>
      <c r="AQ174" t="s">
        <v>167</v>
      </c>
      <c r="AR174" t="s">
        <v>86</v>
      </c>
      <c r="AS174" t="s">
        <v>86</v>
      </c>
      <c r="AT174" t="s">
        <v>240</v>
      </c>
      <c r="AU174" t="s">
        <v>86</v>
      </c>
      <c r="AV174" t="s">
        <v>386</v>
      </c>
      <c r="AW174" t="s">
        <v>80</v>
      </c>
      <c r="AX174" t="s">
        <v>387</v>
      </c>
      <c r="AY174" t="s">
        <v>388</v>
      </c>
      <c r="AZ174" t="s">
        <v>243</v>
      </c>
      <c r="BA174" t="s">
        <v>243</v>
      </c>
      <c r="BB174" t="s">
        <v>245</v>
      </c>
      <c r="BC174" t="s">
        <v>244</v>
      </c>
      <c r="BD174" t="s">
        <v>511</v>
      </c>
      <c r="BE174" t="s">
        <v>792</v>
      </c>
      <c r="BF174" t="s">
        <v>86</v>
      </c>
      <c r="BG174" t="s">
        <v>150</v>
      </c>
      <c r="BH174" t="str">
        <f>IF(COUNTIF(工作表1!A:A, $C174)&gt;0, "預購款", "非預購款")</f>
        <v>非預購款</v>
      </c>
    </row>
    <row r="175" spans="1:60" x14ac:dyDescent="0.25">
      <c r="A175" t="s">
        <v>373</v>
      </c>
      <c r="B175" t="s">
        <v>226</v>
      </c>
      <c r="C175" t="s">
        <v>374</v>
      </c>
      <c r="D175" t="s">
        <v>375</v>
      </c>
      <c r="E175" t="s">
        <v>376</v>
      </c>
      <c r="F175" t="s">
        <v>95</v>
      </c>
      <c r="G175" t="s">
        <v>378</v>
      </c>
      <c r="H175" t="s">
        <v>119</v>
      </c>
      <c r="I175" t="s">
        <v>120</v>
      </c>
      <c r="J175" t="s">
        <v>121</v>
      </c>
      <c r="K175" t="s">
        <v>69</v>
      </c>
      <c r="L175" t="s">
        <v>380</v>
      </c>
      <c r="M175" t="s">
        <v>71</v>
      </c>
      <c r="N175" t="s">
        <v>72</v>
      </c>
      <c r="O175" t="s">
        <v>73</v>
      </c>
      <c r="P175" t="s">
        <v>74</v>
      </c>
      <c r="R175" t="s">
        <v>381</v>
      </c>
      <c r="S175" t="s">
        <v>103</v>
      </c>
      <c r="T175" t="s">
        <v>76</v>
      </c>
      <c r="U175" t="s">
        <v>383</v>
      </c>
      <c r="V175" t="s">
        <v>384</v>
      </c>
      <c r="W175">
        <v>890</v>
      </c>
      <c r="X175">
        <v>39.99</v>
      </c>
      <c r="Y175">
        <v>115</v>
      </c>
      <c r="Z175">
        <v>639000</v>
      </c>
      <c r="AA175">
        <v>876650</v>
      </c>
      <c r="AB175">
        <v>484</v>
      </c>
      <c r="AD175" t="s">
        <v>238</v>
      </c>
      <c r="AE175">
        <v>2</v>
      </c>
      <c r="AF175">
        <v>0</v>
      </c>
      <c r="AI175">
        <v>50</v>
      </c>
      <c r="AJ175">
        <v>250</v>
      </c>
      <c r="AK175">
        <v>300</v>
      </c>
      <c r="AL175">
        <v>985</v>
      </c>
      <c r="AM175">
        <v>300</v>
      </c>
      <c r="AN175">
        <v>0</v>
      </c>
      <c r="AO175">
        <v>300</v>
      </c>
      <c r="AP175" t="s">
        <v>80</v>
      </c>
      <c r="AQ175" t="s">
        <v>167</v>
      </c>
      <c r="AR175" t="s">
        <v>86</v>
      </c>
      <c r="AS175" t="s">
        <v>86</v>
      </c>
      <c r="AT175" t="s">
        <v>240</v>
      </c>
      <c r="AU175" t="s">
        <v>86</v>
      </c>
      <c r="AV175" t="s">
        <v>386</v>
      </c>
      <c r="AW175" t="s">
        <v>80</v>
      </c>
      <c r="AX175" t="s">
        <v>387</v>
      </c>
      <c r="AY175" t="s">
        <v>388</v>
      </c>
      <c r="AZ175" t="s">
        <v>243</v>
      </c>
      <c r="BA175" t="s">
        <v>243</v>
      </c>
      <c r="BB175" t="s">
        <v>245</v>
      </c>
      <c r="BC175" t="s">
        <v>244</v>
      </c>
      <c r="BD175" t="s">
        <v>513</v>
      </c>
      <c r="BE175" t="s">
        <v>792</v>
      </c>
      <c r="BF175" t="s">
        <v>86</v>
      </c>
      <c r="BG175" t="s">
        <v>150</v>
      </c>
      <c r="BH175" t="str">
        <f>IF(COUNTIF(工作表1!A:A, $C175)&gt;0, "預購款", "非預購款")</f>
        <v>非預購款</v>
      </c>
    </row>
    <row r="176" spans="1:60" x14ac:dyDescent="0.25">
      <c r="A176" t="s">
        <v>373</v>
      </c>
      <c r="B176" t="s">
        <v>226</v>
      </c>
      <c r="C176" t="s">
        <v>374</v>
      </c>
      <c r="D176" t="s">
        <v>375</v>
      </c>
      <c r="E176" t="s">
        <v>376</v>
      </c>
      <c r="F176" t="s">
        <v>95</v>
      </c>
      <c r="G176" t="s">
        <v>378</v>
      </c>
      <c r="H176" t="s">
        <v>392</v>
      </c>
      <c r="I176" t="s">
        <v>120</v>
      </c>
      <c r="J176" t="s">
        <v>121</v>
      </c>
      <c r="K176" t="s">
        <v>69</v>
      </c>
      <c r="L176" t="s">
        <v>380</v>
      </c>
      <c r="M176" t="s">
        <v>71</v>
      </c>
      <c r="N176" t="s">
        <v>72</v>
      </c>
      <c r="O176" t="s">
        <v>73</v>
      </c>
      <c r="P176" t="s">
        <v>74</v>
      </c>
      <c r="R176" t="s">
        <v>381</v>
      </c>
      <c r="S176" t="s">
        <v>103</v>
      </c>
      <c r="T176" t="s">
        <v>76</v>
      </c>
      <c r="U176" t="s">
        <v>383</v>
      </c>
      <c r="V176" t="s">
        <v>384</v>
      </c>
      <c r="W176">
        <v>890</v>
      </c>
      <c r="X176">
        <v>39.99</v>
      </c>
      <c r="Y176">
        <v>115</v>
      </c>
      <c r="Z176">
        <v>639000</v>
      </c>
      <c r="AA176">
        <v>876650</v>
      </c>
      <c r="AB176">
        <v>484</v>
      </c>
      <c r="AD176" t="s">
        <v>238</v>
      </c>
      <c r="AE176">
        <v>2</v>
      </c>
      <c r="AF176">
        <v>0</v>
      </c>
      <c r="AI176">
        <v>20</v>
      </c>
      <c r="AJ176">
        <v>30</v>
      </c>
      <c r="AK176">
        <v>50</v>
      </c>
      <c r="AL176">
        <v>985</v>
      </c>
      <c r="AM176">
        <v>54</v>
      </c>
      <c r="AN176">
        <v>0</v>
      </c>
      <c r="AO176">
        <v>54</v>
      </c>
      <c r="AP176" t="s">
        <v>80</v>
      </c>
      <c r="AQ176" t="s">
        <v>167</v>
      </c>
      <c r="AR176" t="s">
        <v>86</v>
      </c>
      <c r="AS176" t="s">
        <v>86</v>
      </c>
      <c r="AT176" t="s">
        <v>240</v>
      </c>
      <c r="AU176" t="s">
        <v>86</v>
      </c>
      <c r="AV176" t="s">
        <v>386</v>
      </c>
      <c r="AW176" t="s">
        <v>80</v>
      </c>
      <c r="AX176" t="s">
        <v>387</v>
      </c>
      <c r="AY176" t="s">
        <v>388</v>
      </c>
      <c r="AZ176" t="s">
        <v>243</v>
      </c>
      <c r="BA176" t="s">
        <v>243</v>
      </c>
      <c r="BB176" t="s">
        <v>245</v>
      </c>
      <c r="BC176" t="s">
        <v>244</v>
      </c>
      <c r="BD176" t="s">
        <v>514</v>
      </c>
      <c r="BE176" t="s">
        <v>792</v>
      </c>
      <c r="BF176" t="s">
        <v>86</v>
      </c>
      <c r="BG176" t="s">
        <v>150</v>
      </c>
      <c r="BH176" t="str">
        <f>IF(COUNTIF(工作表1!A:A, $C176)&gt;0, "預購款", "非預購款")</f>
        <v>非預購款</v>
      </c>
    </row>
    <row r="177" spans="1:60" x14ac:dyDescent="0.25">
      <c r="A177" t="s">
        <v>373</v>
      </c>
      <c r="B177" t="s">
        <v>226</v>
      </c>
      <c r="C177" t="s">
        <v>374</v>
      </c>
      <c r="D177" t="s">
        <v>375</v>
      </c>
      <c r="E177" t="s">
        <v>376</v>
      </c>
      <c r="F177" t="s">
        <v>95</v>
      </c>
      <c r="G177" t="s">
        <v>378</v>
      </c>
      <c r="H177" t="s">
        <v>130</v>
      </c>
      <c r="I177" t="s">
        <v>120</v>
      </c>
      <c r="J177" t="s">
        <v>121</v>
      </c>
      <c r="K177" t="s">
        <v>69</v>
      </c>
      <c r="L177" t="s">
        <v>380</v>
      </c>
      <c r="M177" t="s">
        <v>71</v>
      </c>
      <c r="N177" t="s">
        <v>72</v>
      </c>
      <c r="O177" t="s">
        <v>73</v>
      </c>
      <c r="P177" t="s">
        <v>74</v>
      </c>
      <c r="R177" t="s">
        <v>381</v>
      </c>
      <c r="S177" t="s">
        <v>103</v>
      </c>
      <c r="T177" t="s">
        <v>76</v>
      </c>
      <c r="U177" t="s">
        <v>383</v>
      </c>
      <c r="V177" t="s">
        <v>384</v>
      </c>
      <c r="W177">
        <v>890</v>
      </c>
      <c r="X177">
        <v>39.99</v>
      </c>
      <c r="Y177">
        <v>115</v>
      </c>
      <c r="Z177">
        <v>639000</v>
      </c>
      <c r="AA177">
        <v>876650</v>
      </c>
      <c r="AB177">
        <v>484</v>
      </c>
      <c r="AD177" t="s">
        <v>238</v>
      </c>
      <c r="AE177">
        <v>2</v>
      </c>
      <c r="AF177">
        <v>0</v>
      </c>
      <c r="AI177">
        <v>50</v>
      </c>
      <c r="AJ177">
        <v>80</v>
      </c>
      <c r="AK177">
        <v>130</v>
      </c>
      <c r="AL177">
        <v>985</v>
      </c>
      <c r="AM177">
        <v>137</v>
      </c>
      <c r="AN177">
        <v>0</v>
      </c>
      <c r="AO177">
        <v>137</v>
      </c>
      <c r="AP177" t="s">
        <v>80</v>
      </c>
      <c r="AQ177" t="s">
        <v>167</v>
      </c>
      <c r="AR177" t="s">
        <v>86</v>
      </c>
      <c r="AS177" t="s">
        <v>86</v>
      </c>
      <c r="AT177" t="s">
        <v>240</v>
      </c>
      <c r="AU177" t="s">
        <v>86</v>
      </c>
      <c r="AV177" t="s">
        <v>386</v>
      </c>
      <c r="AW177" t="s">
        <v>80</v>
      </c>
      <c r="AX177" t="s">
        <v>387</v>
      </c>
      <c r="AY177" t="s">
        <v>388</v>
      </c>
      <c r="AZ177" t="s">
        <v>243</v>
      </c>
      <c r="BA177" t="s">
        <v>243</v>
      </c>
      <c r="BB177" t="s">
        <v>245</v>
      </c>
      <c r="BC177" t="s">
        <v>244</v>
      </c>
      <c r="BD177" t="s">
        <v>515</v>
      </c>
      <c r="BE177" t="s">
        <v>792</v>
      </c>
      <c r="BF177" t="s">
        <v>86</v>
      </c>
      <c r="BG177" t="s">
        <v>150</v>
      </c>
      <c r="BH177" t="str">
        <f>IF(COUNTIF(工作表1!A:A, $C177)&gt;0, "預購款", "非預購款")</f>
        <v>非預購款</v>
      </c>
    </row>
    <row r="178" spans="1:60" x14ac:dyDescent="0.25">
      <c r="A178" t="s">
        <v>373</v>
      </c>
      <c r="B178" t="s">
        <v>226</v>
      </c>
      <c r="C178" t="s">
        <v>374</v>
      </c>
      <c r="D178" t="s">
        <v>375</v>
      </c>
      <c r="E178" t="s">
        <v>376</v>
      </c>
      <c r="F178" t="s">
        <v>95</v>
      </c>
      <c r="G178" t="s">
        <v>378</v>
      </c>
      <c r="H178" t="s">
        <v>132</v>
      </c>
      <c r="I178" t="s">
        <v>120</v>
      </c>
      <c r="J178" t="s">
        <v>121</v>
      </c>
      <c r="K178" t="s">
        <v>69</v>
      </c>
      <c r="L178" t="s">
        <v>380</v>
      </c>
      <c r="M178" t="s">
        <v>71</v>
      </c>
      <c r="N178" t="s">
        <v>72</v>
      </c>
      <c r="O178" t="s">
        <v>73</v>
      </c>
      <c r="P178" t="s">
        <v>74</v>
      </c>
      <c r="R178" t="s">
        <v>381</v>
      </c>
      <c r="S178" t="s">
        <v>103</v>
      </c>
      <c r="T178" t="s">
        <v>76</v>
      </c>
      <c r="U178" t="s">
        <v>383</v>
      </c>
      <c r="V178" t="s">
        <v>384</v>
      </c>
      <c r="W178">
        <v>890</v>
      </c>
      <c r="X178">
        <v>39.99</v>
      </c>
      <c r="Y178">
        <v>115</v>
      </c>
      <c r="Z178">
        <v>639000</v>
      </c>
      <c r="AA178">
        <v>876650</v>
      </c>
      <c r="AB178">
        <v>484</v>
      </c>
      <c r="AD178" t="s">
        <v>238</v>
      </c>
      <c r="AE178">
        <v>2</v>
      </c>
      <c r="AF178">
        <v>0</v>
      </c>
      <c r="AI178">
        <v>40</v>
      </c>
      <c r="AJ178">
        <v>40</v>
      </c>
      <c r="AK178">
        <v>80</v>
      </c>
      <c r="AL178">
        <v>985</v>
      </c>
      <c r="AM178">
        <v>90</v>
      </c>
      <c r="AN178">
        <v>0</v>
      </c>
      <c r="AO178">
        <v>90</v>
      </c>
      <c r="AP178" t="s">
        <v>80</v>
      </c>
      <c r="AQ178" t="s">
        <v>167</v>
      </c>
      <c r="AR178" t="s">
        <v>86</v>
      </c>
      <c r="AS178" t="s">
        <v>86</v>
      </c>
      <c r="AT178" t="s">
        <v>240</v>
      </c>
      <c r="AU178" t="s">
        <v>86</v>
      </c>
      <c r="AV178" t="s">
        <v>386</v>
      </c>
      <c r="AW178" t="s">
        <v>80</v>
      </c>
      <c r="AX178" t="s">
        <v>387</v>
      </c>
      <c r="AY178" t="s">
        <v>388</v>
      </c>
      <c r="AZ178" t="s">
        <v>243</v>
      </c>
      <c r="BA178" t="s">
        <v>243</v>
      </c>
      <c r="BB178" t="s">
        <v>245</v>
      </c>
      <c r="BC178" t="s">
        <v>244</v>
      </c>
      <c r="BD178" t="s">
        <v>516</v>
      </c>
      <c r="BE178" t="s">
        <v>792</v>
      </c>
      <c r="BF178" t="s">
        <v>86</v>
      </c>
      <c r="BG178" t="s">
        <v>150</v>
      </c>
      <c r="BH178" t="str">
        <f>IF(COUNTIF(工作表1!A:A, $C178)&gt;0, "預購款", "非預購款")</f>
        <v>非預購款</v>
      </c>
    </row>
    <row r="179" spans="1:60" x14ac:dyDescent="0.25">
      <c r="A179" t="s">
        <v>373</v>
      </c>
      <c r="B179" t="s">
        <v>226</v>
      </c>
      <c r="C179" t="s">
        <v>374</v>
      </c>
      <c r="D179" t="s">
        <v>375</v>
      </c>
      <c r="E179" t="s">
        <v>376</v>
      </c>
      <c r="F179" t="s">
        <v>95</v>
      </c>
      <c r="G179" t="s">
        <v>378</v>
      </c>
      <c r="H179" t="s">
        <v>379</v>
      </c>
      <c r="I179" t="s">
        <v>171</v>
      </c>
      <c r="J179" t="s">
        <v>172</v>
      </c>
      <c r="K179" t="s">
        <v>69</v>
      </c>
      <c r="L179" t="s">
        <v>380</v>
      </c>
      <c r="M179" t="s">
        <v>71</v>
      </c>
      <c r="N179" t="s">
        <v>72</v>
      </c>
      <c r="O179" t="s">
        <v>73</v>
      </c>
      <c r="P179" t="s">
        <v>74</v>
      </c>
      <c r="R179" t="s">
        <v>381</v>
      </c>
      <c r="S179" t="s">
        <v>103</v>
      </c>
      <c r="T179" t="s">
        <v>76</v>
      </c>
      <c r="U179" t="s">
        <v>383</v>
      </c>
      <c r="V179" t="s">
        <v>384</v>
      </c>
      <c r="W179">
        <v>890</v>
      </c>
      <c r="X179">
        <v>39.99</v>
      </c>
      <c r="Y179">
        <v>115</v>
      </c>
      <c r="Z179">
        <v>639000</v>
      </c>
      <c r="AA179">
        <v>876650</v>
      </c>
      <c r="AB179">
        <v>484</v>
      </c>
      <c r="AD179" t="s">
        <v>238</v>
      </c>
      <c r="AE179">
        <v>2</v>
      </c>
      <c r="AF179">
        <v>0</v>
      </c>
      <c r="AI179">
        <v>20</v>
      </c>
      <c r="AJ179">
        <v>30</v>
      </c>
      <c r="AK179">
        <v>50</v>
      </c>
      <c r="AL179">
        <v>985</v>
      </c>
      <c r="AM179">
        <v>52</v>
      </c>
      <c r="AN179">
        <v>0</v>
      </c>
      <c r="AO179">
        <v>52</v>
      </c>
      <c r="AP179" t="s">
        <v>80</v>
      </c>
      <c r="AQ179" t="s">
        <v>167</v>
      </c>
      <c r="AR179" t="s">
        <v>86</v>
      </c>
      <c r="AS179" t="s">
        <v>86</v>
      </c>
      <c r="AT179" t="s">
        <v>240</v>
      </c>
      <c r="AU179" t="s">
        <v>86</v>
      </c>
      <c r="AV179" t="s">
        <v>386</v>
      </c>
      <c r="AW179" t="s">
        <v>80</v>
      </c>
      <c r="AX179" t="s">
        <v>387</v>
      </c>
      <c r="AY179" t="s">
        <v>388</v>
      </c>
      <c r="AZ179" t="s">
        <v>243</v>
      </c>
      <c r="BA179" t="s">
        <v>243</v>
      </c>
      <c r="BB179" t="s">
        <v>245</v>
      </c>
      <c r="BC179" t="s">
        <v>244</v>
      </c>
      <c r="BD179" t="s">
        <v>389</v>
      </c>
      <c r="BE179" t="s">
        <v>792</v>
      </c>
      <c r="BF179" t="s">
        <v>86</v>
      </c>
      <c r="BG179" t="s">
        <v>150</v>
      </c>
      <c r="BH179" t="str">
        <f>IF(COUNTIF(工作表1!A:A, $C179)&gt;0, "預購款", "非預購款")</f>
        <v>非預購款</v>
      </c>
    </row>
    <row r="180" spans="1:60" x14ac:dyDescent="0.25">
      <c r="A180" t="s">
        <v>373</v>
      </c>
      <c r="B180" t="s">
        <v>226</v>
      </c>
      <c r="C180" t="s">
        <v>374</v>
      </c>
      <c r="D180" t="s">
        <v>375</v>
      </c>
      <c r="E180" t="s">
        <v>376</v>
      </c>
      <c r="F180" t="s">
        <v>95</v>
      </c>
      <c r="G180" t="s">
        <v>378</v>
      </c>
      <c r="H180" t="s">
        <v>119</v>
      </c>
      <c r="I180" t="s">
        <v>171</v>
      </c>
      <c r="J180" t="s">
        <v>172</v>
      </c>
      <c r="K180" t="s">
        <v>69</v>
      </c>
      <c r="L180" t="s">
        <v>380</v>
      </c>
      <c r="M180" t="s">
        <v>71</v>
      </c>
      <c r="N180" t="s">
        <v>72</v>
      </c>
      <c r="O180" t="s">
        <v>73</v>
      </c>
      <c r="P180" t="s">
        <v>74</v>
      </c>
      <c r="R180" t="s">
        <v>381</v>
      </c>
      <c r="S180" t="s">
        <v>103</v>
      </c>
      <c r="T180" t="s">
        <v>76</v>
      </c>
      <c r="U180" t="s">
        <v>383</v>
      </c>
      <c r="V180" t="s">
        <v>384</v>
      </c>
      <c r="W180">
        <v>890</v>
      </c>
      <c r="X180">
        <v>39.99</v>
      </c>
      <c r="Y180">
        <v>115</v>
      </c>
      <c r="Z180">
        <v>639000</v>
      </c>
      <c r="AA180">
        <v>876650</v>
      </c>
      <c r="AB180">
        <v>484</v>
      </c>
      <c r="AD180" t="s">
        <v>238</v>
      </c>
      <c r="AE180">
        <v>2</v>
      </c>
      <c r="AF180">
        <v>0</v>
      </c>
      <c r="AI180">
        <v>50</v>
      </c>
      <c r="AJ180">
        <v>100</v>
      </c>
      <c r="AK180">
        <v>150</v>
      </c>
      <c r="AL180">
        <v>985</v>
      </c>
      <c r="AM180">
        <v>153</v>
      </c>
      <c r="AN180">
        <v>0</v>
      </c>
      <c r="AO180">
        <v>153</v>
      </c>
      <c r="AP180" t="s">
        <v>80</v>
      </c>
      <c r="AQ180" t="s">
        <v>167</v>
      </c>
      <c r="AR180" t="s">
        <v>86</v>
      </c>
      <c r="AS180" t="s">
        <v>86</v>
      </c>
      <c r="AT180" t="s">
        <v>240</v>
      </c>
      <c r="AU180" t="s">
        <v>86</v>
      </c>
      <c r="AV180" t="s">
        <v>386</v>
      </c>
      <c r="AW180" t="s">
        <v>80</v>
      </c>
      <c r="AX180" t="s">
        <v>387</v>
      </c>
      <c r="AY180" t="s">
        <v>388</v>
      </c>
      <c r="AZ180" t="s">
        <v>243</v>
      </c>
      <c r="BA180" t="s">
        <v>243</v>
      </c>
      <c r="BB180" t="s">
        <v>245</v>
      </c>
      <c r="BC180" t="s">
        <v>244</v>
      </c>
      <c r="BD180" t="s">
        <v>391</v>
      </c>
      <c r="BE180" t="s">
        <v>792</v>
      </c>
      <c r="BF180" t="s">
        <v>86</v>
      </c>
      <c r="BG180" t="s">
        <v>150</v>
      </c>
      <c r="BH180" t="str">
        <f>IF(COUNTIF(工作表1!A:A, $C180)&gt;0, "預購款", "非預購款")</f>
        <v>非預購款</v>
      </c>
    </row>
    <row r="181" spans="1:60" x14ac:dyDescent="0.25">
      <c r="A181" t="s">
        <v>373</v>
      </c>
      <c r="B181" t="s">
        <v>226</v>
      </c>
      <c r="C181" t="s">
        <v>374</v>
      </c>
      <c r="D181" t="s">
        <v>375</v>
      </c>
      <c r="E181" t="s">
        <v>376</v>
      </c>
      <c r="F181" t="s">
        <v>95</v>
      </c>
      <c r="G181" t="s">
        <v>378</v>
      </c>
      <c r="H181" t="s">
        <v>392</v>
      </c>
      <c r="I181" t="s">
        <v>171</v>
      </c>
      <c r="J181" t="s">
        <v>172</v>
      </c>
      <c r="K181" t="s">
        <v>69</v>
      </c>
      <c r="L181" t="s">
        <v>380</v>
      </c>
      <c r="M181" t="s">
        <v>71</v>
      </c>
      <c r="N181" t="s">
        <v>72</v>
      </c>
      <c r="O181" t="s">
        <v>73</v>
      </c>
      <c r="P181" t="s">
        <v>74</v>
      </c>
      <c r="R181" t="s">
        <v>381</v>
      </c>
      <c r="S181" t="s">
        <v>103</v>
      </c>
      <c r="T181" t="s">
        <v>76</v>
      </c>
      <c r="U181" t="s">
        <v>383</v>
      </c>
      <c r="V181" t="s">
        <v>384</v>
      </c>
      <c r="W181">
        <v>890</v>
      </c>
      <c r="X181">
        <v>39.99</v>
      </c>
      <c r="Y181">
        <v>115</v>
      </c>
      <c r="Z181">
        <v>639000</v>
      </c>
      <c r="AA181">
        <v>876650</v>
      </c>
      <c r="AB181">
        <v>484</v>
      </c>
      <c r="AD181" t="s">
        <v>238</v>
      </c>
      <c r="AE181">
        <v>2</v>
      </c>
      <c r="AF181">
        <v>0</v>
      </c>
      <c r="AI181">
        <v>15</v>
      </c>
      <c r="AJ181">
        <v>20</v>
      </c>
      <c r="AK181">
        <v>35</v>
      </c>
      <c r="AL181">
        <v>985</v>
      </c>
      <c r="AM181">
        <v>35</v>
      </c>
      <c r="AN181">
        <v>0</v>
      </c>
      <c r="AO181">
        <v>35</v>
      </c>
      <c r="AP181" t="s">
        <v>80</v>
      </c>
      <c r="AQ181" t="s">
        <v>167</v>
      </c>
      <c r="AR181" t="s">
        <v>86</v>
      </c>
      <c r="AS181" t="s">
        <v>86</v>
      </c>
      <c r="AT181" t="s">
        <v>240</v>
      </c>
      <c r="AU181" t="s">
        <v>86</v>
      </c>
      <c r="AV181" t="s">
        <v>386</v>
      </c>
      <c r="AW181" t="s">
        <v>80</v>
      </c>
      <c r="AX181" t="s">
        <v>387</v>
      </c>
      <c r="AY181" t="s">
        <v>388</v>
      </c>
      <c r="AZ181" t="s">
        <v>243</v>
      </c>
      <c r="BA181" t="s">
        <v>243</v>
      </c>
      <c r="BB181" t="s">
        <v>245</v>
      </c>
      <c r="BC181" t="s">
        <v>244</v>
      </c>
      <c r="BD181" t="s">
        <v>393</v>
      </c>
      <c r="BE181" t="s">
        <v>792</v>
      </c>
      <c r="BF181" t="s">
        <v>86</v>
      </c>
      <c r="BG181" t="s">
        <v>150</v>
      </c>
      <c r="BH181" t="str">
        <f>IF(COUNTIF(工作表1!A:A, $C181)&gt;0, "預購款", "非預購款")</f>
        <v>非預購款</v>
      </c>
    </row>
    <row r="182" spans="1:60" x14ac:dyDescent="0.25">
      <c r="A182" t="s">
        <v>373</v>
      </c>
      <c r="B182" t="s">
        <v>226</v>
      </c>
      <c r="C182" t="s">
        <v>374</v>
      </c>
      <c r="D182" t="s">
        <v>375</v>
      </c>
      <c r="E182" t="s">
        <v>376</v>
      </c>
      <c r="F182" t="s">
        <v>95</v>
      </c>
      <c r="G182" t="s">
        <v>378</v>
      </c>
      <c r="H182" t="s">
        <v>130</v>
      </c>
      <c r="I182" t="s">
        <v>171</v>
      </c>
      <c r="J182" t="s">
        <v>172</v>
      </c>
      <c r="K182" t="s">
        <v>69</v>
      </c>
      <c r="L182" t="s">
        <v>380</v>
      </c>
      <c r="M182" t="s">
        <v>71</v>
      </c>
      <c r="N182" t="s">
        <v>72</v>
      </c>
      <c r="O182" t="s">
        <v>73</v>
      </c>
      <c r="P182" t="s">
        <v>74</v>
      </c>
      <c r="R182" t="s">
        <v>381</v>
      </c>
      <c r="S182" t="s">
        <v>103</v>
      </c>
      <c r="T182" t="s">
        <v>76</v>
      </c>
      <c r="U182" t="s">
        <v>383</v>
      </c>
      <c r="V182" t="s">
        <v>384</v>
      </c>
      <c r="W182">
        <v>890</v>
      </c>
      <c r="X182">
        <v>39.99</v>
      </c>
      <c r="Y182">
        <v>115</v>
      </c>
      <c r="Z182">
        <v>639000</v>
      </c>
      <c r="AA182">
        <v>876650</v>
      </c>
      <c r="AB182">
        <v>484</v>
      </c>
      <c r="AD182" t="s">
        <v>238</v>
      </c>
      <c r="AE182">
        <v>2</v>
      </c>
      <c r="AF182">
        <v>0</v>
      </c>
      <c r="AI182">
        <v>30</v>
      </c>
      <c r="AJ182">
        <v>60</v>
      </c>
      <c r="AK182">
        <v>90</v>
      </c>
      <c r="AL182">
        <v>985</v>
      </c>
      <c r="AM182">
        <v>94</v>
      </c>
      <c r="AN182">
        <v>0</v>
      </c>
      <c r="AO182">
        <v>94</v>
      </c>
      <c r="AP182" t="s">
        <v>80</v>
      </c>
      <c r="AQ182" t="s">
        <v>167</v>
      </c>
      <c r="AR182" t="s">
        <v>86</v>
      </c>
      <c r="AS182" t="s">
        <v>86</v>
      </c>
      <c r="AT182" t="s">
        <v>240</v>
      </c>
      <c r="AU182" t="s">
        <v>86</v>
      </c>
      <c r="AV182" t="s">
        <v>386</v>
      </c>
      <c r="AW182" t="s">
        <v>80</v>
      </c>
      <c r="AX182" t="s">
        <v>387</v>
      </c>
      <c r="AY182" t="s">
        <v>388</v>
      </c>
      <c r="AZ182" t="s">
        <v>243</v>
      </c>
      <c r="BA182" t="s">
        <v>243</v>
      </c>
      <c r="BB182" t="s">
        <v>245</v>
      </c>
      <c r="BC182" t="s">
        <v>244</v>
      </c>
      <c r="BD182" t="s">
        <v>394</v>
      </c>
      <c r="BE182" t="s">
        <v>792</v>
      </c>
      <c r="BF182" t="s">
        <v>86</v>
      </c>
      <c r="BG182" t="s">
        <v>150</v>
      </c>
      <c r="BH182" t="str">
        <f>IF(COUNTIF(工作表1!A:A, $C182)&gt;0, "預購款", "非預購款")</f>
        <v>非預購款</v>
      </c>
    </row>
    <row r="183" spans="1:60" x14ac:dyDescent="0.25">
      <c r="A183" t="s">
        <v>373</v>
      </c>
      <c r="B183" t="s">
        <v>226</v>
      </c>
      <c r="C183" t="s">
        <v>374</v>
      </c>
      <c r="D183" t="s">
        <v>375</v>
      </c>
      <c r="E183" t="s">
        <v>376</v>
      </c>
      <c r="F183" t="s">
        <v>95</v>
      </c>
      <c r="G183" t="s">
        <v>378</v>
      </c>
      <c r="H183" t="s">
        <v>132</v>
      </c>
      <c r="I183" t="s">
        <v>171</v>
      </c>
      <c r="J183" t="s">
        <v>172</v>
      </c>
      <c r="K183" t="s">
        <v>69</v>
      </c>
      <c r="L183" t="s">
        <v>380</v>
      </c>
      <c r="M183" t="s">
        <v>71</v>
      </c>
      <c r="N183" t="s">
        <v>72</v>
      </c>
      <c r="O183" t="s">
        <v>73</v>
      </c>
      <c r="P183" t="s">
        <v>74</v>
      </c>
      <c r="R183" t="s">
        <v>381</v>
      </c>
      <c r="S183" t="s">
        <v>103</v>
      </c>
      <c r="T183" t="s">
        <v>76</v>
      </c>
      <c r="U183" t="s">
        <v>383</v>
      </c>
      <c r="V183" t="s">
        <v>384</v>
      </c>
      <c r="W183">
        <v>890</v>
      </c>
      <c r="X183">
        <v>39.99</v>
      </c>
      <c r="Y183">
        <v>115</v>
      </c>
      <c r="Z183">
        <v>639000</v>
      </c>
      <c r="AA183">
        <v>876650</v>
      </c>
      <c r="AB183">
        <v>484</v>
      </c>
      <c r="AD183" t="s">
        <v>238</v>
      </c>
      <c r="AE183">
        <v>2</v>
      </c>
      <c r="AF183">
        <v>0</v>
      </c>
      <c r="AI183">
        <v>20</v>
      </c>
      <c r="AJ183">
        <v>30</v>
      </c>
      <c r="AK183">
        <v>50</v>
      </c>
      <c r="AL183">
        <v>985</v>
      </c>
      <c r="AM183">
        <v>50</v>
      </c>
      <c r="AN183">
        <v>0</v>
      </c>
      <c r="AO183">
        <v>50</v>
      </c>
      <c r="AP183" t="s">
        <v>80</v>
      </c>
      <c r="AQ183" t="s">
        <v>167</v>
      </c>
      <c r="AR183" t="s">
        <v>86</v>
      </c>
      <c r="AS183" t="s">
        <v>86</v>
      </c>
      <c r="AT183" t="s">
        <v>240</v>
      </c>
      <c r="AU183" t="s">
        <v>86</v>
      </c>
      <c r="AV183" t="s">
        <v>386</v>
      </c>
      <c r="AW183" t="s">
        <v>80</v>
      </c>
      <c r="AX183" t="s">
        <v>387</v>
      </c>
      <c r="AY183" t="s">
        <v>388</v>
      </c>
      <c r="AZ183" t="s">
        <v>243</v>
      </c>
      <c r="BA183" t="s">
        <v>243</v>
      </c>
      <c r="BB183" t="s">
        <v>245</v>
      </c>
      <c r="BC183" t="s">
        <v>244</v>
      </c>
      <c r="BD183" t="s">
        <v>395</v>
      </c>
      <c r="BE183" t="s">
        <v>792</v>
      </c>
      <c r="BF183" t="s">
        <v>86</v>
      </c>
      <c r="BG183" t="s">
        <v>150</v>
      </c>
      <c r="BH183" t="str">
        <f>IF(COUNTIF(工作表1!A:A, $C183)&gt;0, "預購款", "非預購款")</f>
        <v>非預購款</v>
      </c>
    </row>
    <row r="184" spans="1:60" x14ac:dyDescent="0.25">
      <c r="A184" t="s">
        <v>793</v>
      </c>
      <c r="B184" t="s">
        <v>226</v>
      </c>
      <c r="C184" t="s">
        <v>794</v>
      </c>
      <c r="D184" t="s">
        <v>795</v>
      </c>
      <c r="E184" t="s">
        <v>796</v>
      </c>
      <c r="F184" t="s">
        <v>95</v>
      </c>
      <c r="G184" t="s">
        <v>797</v>
      </c>
      <c r="H184" t="s">
        <v>119</v>
      </c>
      <c r="I184" t="s">
        <v>88</v>
      </c>
      <c r="J184" t="s">
        <v>89</v>
      </c>
      <c r="K184" t="s">
        <v>69</v>
      </c>
      <c r="L184" t="s">
        <v>798</v>
      </c>
      <c r="M184" t="s">
        <v>71</v>
      </c>
      <c r="N184" t="s">
        <v>100</v>
      </c>
      <c r="O184" t="s">
        <v>101</v>
      </c>
      <c r="P184" t="s">
        <v>102</v>
      </c>
      <c r="R184" t="s">
        <v>734</v>
      </c>
      <c r="S184" t="s">
        <v>103</v>
      </c>
      <c r="T184" t="s">
        <v>258</v>
      </c>
      <c r="U184" t="s">
        <v>383</v>
      </c>
      <c r="V184" t="s">
        <v>384</v>
      </c>
      <c r="W184">
        <v>1180</v>
      </c>
      <c r="X184">
        <v>49.99</v>
      </c>
      <c r="Y184">
        <v>155</v>
      </c>
      <c r="Z184">
        <v>859000</v>
      </c>
      <c r="AA184">
        <v>253700</v>
      </c>
      <c r="AB184">
        <v>735</v>
      </c>
      <c r="AD184" t="s">
        <v>238</v>
      </c>
      <c r="AE184">
        <v>1</v>
      </c>
      <c r="AF184">
        <v>25</v>
      </c>
      <c r="AI184">
        <v>0</v>
      </c>
      <c r="AJ184">
        <v>100</v>
      </c>
      <c r="AK184">
        <v>125</v>
      </c>
      <c r="AL184">
        <v>215</v>
      </c>
      <c r="AM184">
        <v>134</v>
      </c>
      <c r="AN184">
        <v>0</v>
      </c>
      <c r="AO184">
        <v>134</v>
      </c>
      <c r="AP184" t="s">
        <v>80</v>
      </c>
      <c r="AQ184" t="s">
        <v>630</v>
      </c>
      <c r="AR184" t="s">
        <v>86</v>
      </c>
      <c r="AS184" t="s">
        <v>240</v>
      </c>
      <c r="AT184" t="s">
        <v>240</v>
      </c>
      <c r="AU184" t="s">
        <v>86</v>
      </c>
      <c r="AV184" t="s">
        <v>799</v>
      </c>
      <c r="AW184" t="s">
        <v>69</v>
      </c>
      <c r="AX184" t="s">
        <v>800</v>
      </c>
      <c r="AY184" t="s">
        <v>801</v>
      </c>
      <c r="AZ184" t="s">
        <v>264</v>
      </c>
      <c r="BA184" t="s">
        <v>243</v>
      </c>
      <c r="BB184" t="s">
        <v>243</v>
      </c>
      <c r="BC184" t="s">
        <v>243</v>
      </c>
      <c r="BD184" t="s">
        <v>802</v>
      </c>
      <c r="BE184" t="s">
        <v>803</v>
      </c>
      <c r="BF184" t="s">
        <v>240</v>
      </c>
      <c r="BG184" t="s">
        <v>110</v>
      </c>
      <c r="BH184" t="str">
        <f>IF(COUNTIF(工作表1!A:A, $C184)&gt;0, "預購款", "非預購款")</f>
        <v>非預購款</v>
      </c>
    </row>
    <row r="185" spans="1:60" x14ac:dyDescent="0.25">
      <c r="A185" t="s">
        <v>793</v>
      </c>
      <c r="B185" t="s">
        <v>226</v>
      </c>
      <c r="C185" t="s">
        <v>794</v>
      </c>
      <c r="D185" t="s">
        <v>795</v>
      </c>
      <c r="E185" t="s">
        <v>796</v>
      </c>
      <c r="F185" t="s">
        <v>95</v>
      </c>
      <c r="G185" t="s">
        <v>797</v>
      </c>
      <c r="H185" t="s">
        <v>130</v>
      </c>
      <c r="I185" t="s">
        <v>88</v>
      </c>
      <c r="J185" t="s">
        <v>89</v>
      </c>
      <c r="K185" t="s">
        <v>69</v>
      </c>
      <c r="L185" t="s">
        <v>798</v>
      </c>
      <c r="M185" t="s">
        <v>71</v>
      </c>
      <c r="N185" t="s">
        <v>100</v>
      </c>
      <c r="O185" t="s">
        <v>101</v>
      </c>
      <c r="P185" t="s">
        <v>102</v>
      </c>
      <c r="R185" t="s">
        <v>734</v>
      </c>
      <c r="S185" t="s">
        <v>103</v>
      </c>
      <c r="T185" t="s">
        <v>258</v>
      </c>
      <c r="U185" t="s">
        <v>383</v>
      </c>
      <c r="V185" t="s">
        <v>384</v>
      </c>
      <c r="W185">
        <v>1180</v>
      </c>
      <c r="X185">
        <v>49.99</v>
      </c>
      <c r="Y185">
        <v>155</v>
      </c>
      <c r="Z185">
        <v>859000</v>
      </c>
      <c r="AA185">
        <v>253700</v>
      </c>
      <c r="AB185">
        <v>735</v>
      </c>
      <c r="AD185" t="s">
        <v>238</v>
      </c>
      <c r="AE185">
        <v>1</v>
      </c>
      <c r="AF185">
        <v>15</v>
      </c>
      <c r="AI185">
        <v>0</v>
      </c>
      <c r="AJ185">
        <v>40</v>
      </c>
      <c r="AK185">
        <v>55</v>
      </c>
      <c r="AL185">
        <v>215</v>
      </c>
      <c r="AM185">
        <v>65</v>
      </c>
      <c r="AN185">
        <v>0</v>
      </c>
      <c r="AO185">
        <v>65</v>
      </c>
      <c r="AP185" t="s">
        <v>80</v>
      </c>
      <c r="AQ185" t="s">
        <v>630</v>
      </c>
      <c r="AR185" t="s">
        <v>86</v>
      </c>
      <c r="AS185" t="s">
        <v>240</v>
      </c>
      <c r="AT185" t="s">
        <v>240</v>
      </c>
      <c r="AU185" t="s">
        <v>86</v>
      </c>
      <c r="AV185" t="s">
        <v>799</v>
      </c>
      <c r="AW185" t="s">
        <v>69</v>
      </c>
      <c r="AX185" t="s">
        <v>800</v>
      </c>
      <c r="AY185" t="s">
        <v>801</v>
      </c>
      <c r="AZ185" t="s">
        <v>264</v>
      </c>
      <c r="BA185" t="s">
        <v>243</v>
      </c>
      <c r="BB185" t="s">
        <v>243</v>
      </c>
      <c r="BC185" t="s">
        <v>243</v>
      </c>
      <c r="BD185" t="s">
        <v>804</v>
      </c>
      <c r="BE185" t="s">
        <v>803</v>
      </c>
      <c r="BF185" t="s">
        <v>240</v>
      </c>
      <c r="BG185" t="s">
        <v>110</v>
      </c>
      <c r="BH185" t="str">
        <f>IF(COUNTIF(工作表1!A:A, $C185)&gt;0, "預購款", "非預購款")</f>
        <v>非預購款</v>
      </c>
    </row>
    <row r="186" spans="1:60" x14ac:dyDescent="0.25">
      <c r="A186" t="s">
        <v>793</v>
      </c>
      <c r="B186" t="s">
        <v>226</v>
      </c>
      <c r="C186" t="s">
        <v>794</v>
      </c>
      <c r="D186" t="s">
        <v>795</v>
      </c>
      <c r="E186" t="s">
        <v>796</v>
      </c>
      <c r="F186" t="s">
        <v>95</v>
      </c>
      <c r="G186" t="s">
        <v>797</v>
      </c>
      <c r="H186" t="s">
        <v>132</v>
      </c>
      <c r="I186" t="s">
        <v>88</v>
      </c>
      <c r="J186" t="s">
        <v>89</v>
      </c>
      <c r="K186" t="s">
        <v>69</v>
      </c>
      <c r="L186" t="s">
        <v>798</v>
      </c>
      <c r="M186" t="s">
        <v>71</v>
      </c>
      <c r="N186" t="s">
        <v>100</v>
      </c>
      <c r="O186" t="s">
        <v>101</v>
      </c>
      <c r="P186" t="s">
        <v>102</v>
      </c>
      <c r="R186" t="s">
        <v>734</v>
      </c>
      <c r="S186" t="s">
        <v>103</v>
      </c>
      <c r="T186" t="s">
        <v>258</v>
      </c>
      <c r="U186" t="s">
        <v>383</v>
      </c>
      <c r="V186" t="s">
        <v>384</v>
      </c>
      <c r="W186">
        <v>1180</v>
      </c>
      <c r="X186">
        <v>49.99</v>
      </c>
      <c r="Y186">
        <v>155</v>
      </c>
      <c r="Z186">
        <v>859000</v>
      </c>
      <c r="AA186">
        <v>253700</v>
      </c>
      <c r="AB186">
        <v>735</v>
      </c>
      <c r="AD186" t="s">
        <v>238</v>
      </c>
      <c r="AE186">
        <v>1</v>
      </c>
      <c r="AF186">
        <v>5</v>
      </c>
      <c r="AI186">
        <v>0</v>
      </c>
      <c r="AJ186">
        <v>30</v>
      </c>
      <c r="AK186">
        <v>35</v>
      </c>
      <c r="AL186">
        <v>215</v>
      </c>
      <c r="AM186">
        <v>38</v>
      </c>
      <c r="AN186">
        <v>2</v>
      </c>
      <c r="AO186">
        <v>40</v>
      </c>
      <c r="AP186" t="s">
        <v>80</v>
      </c>
      <c r="AQ186" t="s">
        <v>630</v>
      </c>
      <c r="AR186" t="s">
        <v>86</v>
      </c>
      <c r="AS186" t="s">
        <v>240</v>
      </c>
      <c r="AT186" t="s">
        <v>240</v>
      </c>
      <c r="AU186" t="s">
        <v>86</v>
      </c>
      <c r="AV186" t="s">
        <v>799</v>
      </c>
      <c r="AW186" t="s">
        <v>69</v>
      </c>
      <c r="AX186" t="s">
        <v>800</v>
      </c>
      <c r="AY186" t="s">
        <v>801</v>
      </c>
      <c r="AZ186" t="s">
        <v>264</v>
      </c>
      <c r="BA186" t="s">
        <v>243</v>
      </c>
      <c r="BB186" t="s">
        <v>243</v>
      </c>
      <c r="BC186" t="s">
        <v>243</v>
      </c>
      <c r="BD186" t="s">
        <v>805</v>
      </c>
      <c r="BE186" t="s">
        <v>803</v>
      </c>
      <c r="BF186" t="s">
        <v>240</v>
      </c>
      <c r="BG186" t="s">
        <v>110</v>
      </c>
      <c r="BH186" t="str">
        <f>IF(COUNTIF(工作表1!A:A, $C186)&gt;0, "預購款", "非預購款")</f>
        <v>非預購款</v>
      </c>
    </row>
    <row r="187" spans="1:60" x14ac:dyDescent="0.25">
      <c r="A187" t="s">
        <v>806</v>
      </c>
      <c r="B187" t="s">
        <v>226</v>
      </c>
      <c r="C187" t="s">
        <v>807</v>
      </c>
      <c r="D187" t="s">
        <v>808</v>
      </c>
      <c r="E187" t="s">
        <v>809</v>
      </c>
      <c r="F187" t="s">
        <v>95</v>
      </c>
      <c r="G187" t="s">
        <v>810</v>
      </c>
      <c r="H187" t="s">
        <v>119</v>
      </c>
      <c r="I187" t="s">
        <v>97</v>
      </c>
      <c r="J187" t="s">
        <v>98</v>
      </c>
      <c r="K187" t="s">
        <v>69</v>
      </c>
      <c r="L187" t="s">
        <v>811</v>
      </c>
      <c r="M187" t="s">
        <v>71</v>
      </c>
      <c r="N187" t="s">
        <v>100</v>
      </c>
      <c r="O187" t="s">
        <v>101</v>
      </c>
      <c r="P187" t="s">
        <v>102</v>
      </c>
      <c r="R187" t="s">
        <v>734</v>
      </c>
      <c r="S187" t="s">
        <v>103</v>
      </c>
      <c r="T187" t="s">
        <v>291</v>
      </c>
      <c r="U187" t="s">
        <v>104</v>
      </c>
      <c r="V187" t="s">
        <v>292</v>
      </c>
      <c r="W187">
        <v>590</v>
      </c>
      <c r="X187">
        <v>29.99</v>
      </c>
      <c r="Y187">
        <v>75</v>
      </c>
      <c r="Z187">
        <v>429000</v>
      </c>
      <c r="AA187">
        <v>330400</v>
      </c>
      <c r="AB187">
        <v>250</v>
      </c>
      <c r="AD187" t="s">
        <v>238</v>
      </c>
      <c r="AE187">
        <v>3</v>
      </c>
      <c r="AF187">
        <v>0</v>
      </c>
      <c r="AI187">
        <v>0</v>
      </c>
      <c r="AJ187">
        <v>50</v>
      </c>
      <c r="AK187">
        <v>50</v>
      </c>
      <c r="AL187">
        <v>560</v>
      </c>
      <c r="AM187">
        <v>51</v>
      </c>
      <c r="AN187">
        <v>0</v>
      </c>
      <c r="AO187">
        <v>51</v>
      </c>
      <c r="AP187" t="s">
        <v>80</v>
      </c>
      <c r="AQ187" t="s">
        <v>167</v>
      </c>
      <c r="AT187" t="s">
        <v>240</v>
      </c>
      <c r="AU187" t="s">
        <v>240</v>
      </c>
      <c r="AV187" t="s">
        <v>812</v>
      </c>
      <c r="AW187" t="s">
        <v>69</v>
      </c>
      <c r="AX187" t="s">
        <v>126</v>
      </c>
      <c r="AY187" t="s">
        <v>813</v>
      </c>
      <c r="AZ187" t="s">
        <v>243</v>
      </c>
      <c r="BA187" t="s">
        <v>244</v>
      </c>
      <c r="BB187" t="s">
        <v>264</v>
      </c>
      <c r="BC187" t="s">
        <v>264</v>
      </c>
      <c r="BD187" t="s">
        <v>814</v>
      </c>
      <c r="BE187" t="s">
        <v>815</v>
      </c>
      <c r="BF187" t="s">
        <v>291</v>
      </c>
      <c r="BG187" t="s">
        <v>150</v>
      </c>
      <c r="BH187" t="str">
        <f>IF(COUNTIF(工作表1!A:A, $C187)&gt;0, "預購款", "非預購款")</f>
        <v>非預購款</v>
      </c>
    </row>
    <row r="188" spans="1:60" x14ac:dyDescent="0.25">
      <c r="A188" t="s">
        <v>806</v>
      </c>
      <c r="B188" t="s">
        <v>226</v>
      </c>
      <c r="C188" t="s">
        <v>807</v>
      </c>
      <c r="D188" t="s">
        <v>808</v>
      </c>
      <c r="E188" t="s">
        <v>809</v>
      </c>
      <c r="F188" t="s">
        <v>95</v>
      </c>
      <c r="G188" t="s">
        <v>810</v>
      </c>
      <c r="H188" t="s">
        <v>130</v>
      </c>
      <c r="I188" t="s">
        <v>97</v>
      </c>
      <c r="J188" t="s">
        <v>98</v>
      </c>
      <c r="K188" t="s">
        <v>69</v>
      </c>
      <c r="L188" t="s">
        <v>811</v>
      </c>
      <c r="M188" t="s">
        <v>71</v>
      </c>
      <c r="N188" t="s">
        <v>100</v>
      </c>
      <c r="O188" t="s">
        <v>101</v>
      </c>
      <c r="P188" t="s">
        <v>102</v>
      </c>
      <c r="R188" t="s">
        <v>734</v>
      </c>
      <c r="S188" t="s">
        <v>103</v>
      </c>
      <c r="T188" t="s">
        <v>291</v>
      </c>
      <c r="U188" t="s">
        <v>104</v>
      </c>
      <c r="V188" t="s">
        <v>292</v>
      </c>
      <c r="W188">
        <v>590</v>
      </c>
      <c r="X188">
        <v>29.99</v>
      </c>
      <c r="Y188">
        <v>75</v>
      </c>
      <c r="Z188">
        <v>429000</v>
      </c>
      <c r="AA188">
        <v>330400</v>
      </c>
      <c r="AB188">
        <v>250</v>
      </c>
      <c r="AD188" t="s">
        <v>238</v>
      </c>
      <c r="AE188">
        <v>3</v>
      </c>
      <c r="AF188">
        <v>0</v>
      </c>
      <c r="AI188">
        <v>0</v>
      </c>
      <c r="AJ188">
        <v>20</v>
      </c>
      <c r="AK188">
        <v>20</v>
      </c>
      <c r="AL188">
        <v>560</v>
      </c>
      <c r="AM188">
        <v>22</v>
      </c>
      <c r="AN188">
        <v>0</v>
      </c>
      <c r="AO188">
        <v>22</v>
      </c>
      <c r="AP188" t="s">
        <v>80</v>
      </c>
      <c r="AQ188" t="s">
        <v>167</v>
      </c>
      <c r="AT188" t="s">
        <v>240</v>
      </c>
      <c r="AU188" t="s">
        <v>240</v>
      </c>
      <c r="AV188" t="s">
        <v>812</v>
      </c>
      <c r="AW188" t="s">
        <v>69</v>
      </c>
      <c r="AX188" t="s">
        <v>126</v>
      </c>
      <c r="AY188" t="s">
        <v>813</v>
      </c>
      <c r="AZ188" t="s">
        <v>243</v>
      </c>
      <c r="BA188" t="s">
        <v>244</v>
      </c>
      <c r="BB188" t="s">
        <v>264</v>
      </c>
      <c r="BC188" t="s">
        <v>264</v>
      </c>
      <c r="BD188" t="s">
        <v>816</v>
      </c>
      <c r="BE188" t="s">
        <v>815</v>
      </c>
      <c r="BF188" t="s">
        <v>291</v>
      </c>
      <c r="BG188" t="s">
        <v>150</v>
      </c>
      <c r="BH188" t="str">
        <f>IF(COUNTIF(工作表1!A:A, $C188)&gt;0, "預購款", "非預購款")</f>
        <v>非預購款</v>
      </c>
    </row>
    <row r="189" spans="1:60" x14ac:dyDescent="0.25">
      <c r="A189" t="s">
        <v>806</v>
      </c>
      <c r="B189" t="s">
        <v>226</v>
      </c>
      <c r="C189" t="s">
        <v>807</v>
      </c>
      <c r="D189" t="s">
        <v>808</v>
      </c>
      <c r="E189" t="s">
        <v>809</v>
      </c>
      <c r="F189" t="s">
        <v>95</v>
      </c>
      <c r="G189" t="s">
        <v>810</v>
      </c>
      <c r="H189" t="s">
        <v>132</v>
      </c>
      <c r="I189" t="s">
        <v>97</v>
      </c>
      <c r="J189" t="s">
        <v>98</v>
      </c>
      <c r="K189" t="s">
        <v>69</v>
      </c>
      <c r="L189" t="s">
        <v>811</v>
      </c>
      <c r="M189" t="s">
        <v>71</v>
      </c>
      <c r="N189" t="s">
        <v>100</v>
      </c>
      <c r="O189" t="s">
        <v>101</v>
      </c>
      <c r="P189" t="s">
        <v>102</v>
      </c>
      <c r="R189" t="s">
        <v>734</v>
      </c>
      <c r="S189" t="s">
        <v>103</v>
      </c>
      <c r="T189" t="s">
        <v>291</v>
      </c>
      <c r="U189" t="s">
        <v>104</v>
      </c>
      <c r="V189" t="s">
        <v>292</v>
      </c>
      <c r="W189">
        <v>590</v>
      </c>
      <c r="X189">
        <v>29.99</v>
      </c>
      <c r="Y189">
        <v>75</v>
      </c>
      <c r="Z189">
        <v>429000</v>
      </c>
      <c r="AA189">
        <v>330400</v>
      </c>
      <c r="AB189">
        <v>250</v>
      </c>
      <c r="AD189" t="s">
        <v>238</v>
      </c>
      <c r="AE189">
        <v>3</v>
      </c>
      <c r="AF189">
        <v>0</v>
      </c>
      <c r="AI189">
        <v>0</v>
      </c>
      <c r="AJ189">
        <v>10</v>
      </c>
      <c r="AK189">
        <v>10</v>
      </c>
      <c r="AL189">
        <v>560</v>
      </c>
      <c r="AM189">
        <v>9</v>
      </c>
      <c r="AN189">
        <v>0</v>
      </c>
      <c r="AO189">
        <v>9</v>
      </c>
      <c r="AP189" t="s">
        <v>80</v>
      </c>
      <c r="AQ189" t="s">
        <v>167</v>
      </c>
      <c r="AT189" t="s">
        <v>240</v>
      </c>
      <c r="AU189" t="s">
        <v>240</v>
      </c>
      <c r="AV189" t="s">
        <v>812</v>
      </c>
      <c r="AW189" t="s">
        <v>69</v>
      </c>
      <c r="AX189" t="s">
        <v>126</v>
      </c>
      <c r="AY189" t="s">
        <v>813</v>
      </c>
      <c r="AZ189" t="s">
        <v>243</v>
      </c>
      <c r="BA189" t="s">
        <v>244</v>
      </c>
      <c r="BB189" t="s">
        <v>264</v>
      </c>
      <c r="BC189" t="s">
        <v>264</v>
      </c>
      <c r="BD189" t="s">
        <v>817</v>
      </c>
      <c r="BE189" t="s">
        <v>815</v>
      </c>
      <c r="BF189" t="s">
        <v>291</v>
      </c>
      <c r="BG189" t="s">
        <v>150</v>
      </c>
      <c r="BH189" t="str">
        <f>IF(COUNTIF(工作表1!A:A, $C189)&gt;0, "預購款", "非預購款")</f>
        <v>非預購款</v>
      </c>
    </row>
    <row r="190" spans="1:60" x14ac:dyDescent="0.25">
      <c r="A190" t="s">
        <v>806</v>
      </c>
      <c r="B190" t="s">
        <v>226</v>
      </c>
      <c r="C190" t="s">
        <v>807</v>
      </c>
      <c r="D190" t="s">
        <v>808</v>
      </c>
      <c r="E190" t="s">
        <v>809</v>
      </c>
      <c r="F190" t="s">
        <v>95</v>
      </c>
      <c r="G190" t="s">
        <v>810</v>
      </c>
      <c r="H190" t="s">
        <v>119</v>
      </c>
      <c r="I190" t="s">
        <v>162</v>
      </c>
      <c r="J190" t="s">
        <v>163</v>
      </c>
      <c r="K190" t="s">
        <v>69</v>
      </c>
      <c r="L190" t="s">
        <v>811</v>
      </c>
      <c r="M190" t="s">
        <v>71</v>
      </c>
      <c r="N190" t="s">
        <v>100</v>
      </c>
      <c r="O190" t="s">
        <v>101</v>
      </c>
      <c r="P190" t="s">
        <v>102</v>
      </c>
      <c r="R190" t="s">
        <v>734</v>
      </c>
      <c r="S190" t="s">
        <v>103</v>
      </c>
      <c r="T190" t="s">
        <v>291</v>
      </c>
      <c r="U190" t="s">
        <v>104</v>
      </c>
      <c r="V190" t="s">
        <v>292</v>
      </c>
      <c r="W190">
        <v>590</v>
      </c>
      <c r="X190">
        <v>29.99</v>
      </c>
      <c r="Y190">
        <v>75</v>
      </c>
      <c r="Z190">
        <v>429000</v>
      </c>
      <c r="AA190">
        <v>330400</v>
      </c>
      <c r="AB190">
        <v>250</v>
      </c>
      <c r="AD190" t="s">
        <v>238</v>
      </c>
      <c r="AE190">
        <v>3</v>
      </c>
      <c r="AF190">
        <v>0</v>
      </c>
      <c r="AI190">
        <v>0</v>
      </c>
      <c r="AJ190">
        <v>110</v>
      </c>
      <c r="AK190">
        <v>110</v>
      </c>
      <c r="AL190">
        <v>560</v>
      </c>
      <c r="AM190">
        <v>115</v>
      </c>
      <c r="AN190">
        <v>0</v>
      </c>
      <c r="AO190">
        <v>115</v>
      </c>
      <c r="AP190" t="s">
        <v>80</v>
      </c>
      <c r="AQ190" t="s">
        <v>167</v>
      </c>
      <c r="AT190" t="s">
        <v>240</v>
      </c>
      <c r="AU190" t="s">
        <v>240</v>
      </c>
      <c r="AV190" t="s">
        <v>812</v>
      </c>
      <c r="AW190" t="s">
        <v>69</v>
      </c>
      <c r="AX190" t="s">
        <v>126</v>
      </c>
      <c r="AY190" t="s">
        <v>813</v>
      </c>
      <c r="AZ190" t="s">
        <v>243</v>
      </c>
      <c r="BA190" t="s">
        <v>244</v>
      </c>
      <c r="BB190" t="s">
        <v>264</v>
      </c>
      <c r="BC190" t="s">
        <v>264</v>
      </c>
      <c r="BD190" t="s">
        <v>818</v>
      </c>
      <c r="BE190" t="s">
        <v>815</v>
      </c>
      <c r="BF190" t="s">
        <v>291</v>
      </c>
      <c r="BG190" t="s">
        <v>150</v>
      </c>
      <c r="BH190" t="str">
        <f>IF(COUNTIF(工作表1!A:A, $C190)&gt;0, "預購款", "非預購款")</f>
        <v>非預購款</v>
      </c>
    </row>
    <row r="191" spans="1:60" x14ac:dyDescent="0.25">
      <c r="A191" t="s">
        <v>806</v>
      </c>
      <c r="B191" t="s">
        <v>226</v>
      </c>
      <c r="C191" t="s">
        <v>807</v>
      </c>
      <c r="D191" t="s">
        <v>808</v>
      </c>
      <c r="E191" t="s">
        <v>809</v>
      </c>
      <c r="F191" t="s">
        <v>95</v>
      </c>
      <c r="G191" t="s">
        <v>810</v>
      </c>
      <c r="H191" t="s">
        <v>130</v>
      </c>
      <c r="I191" t="s">
        <v>162</v>
      </c>
      <c r="J191" t="s">
        <v>163</v>
      </c>
      <c r="K191" t="s">
        <v>69</v>
      </c>
      <c r="L191" t="s">
        <v>811</v>
      </c>
      <c r="M191" t="s">
        <v>71</v>
      </c>
      <c r="N191" t="s">
        <v>100</v>
      </c>
      <c r="O191" t="s">
        <v>101</v>
      </c>
      <c r="P191" t="s">
        <v>102</v>
      </c>
      <c r="R191" t="s">
        <v>734</v>
      </c>
      <c r="S191" t="s">
        <v>103</v>
      </c>
      <c r="T191" t="s">
        <v>291</v>
      </c>
      <c r="U191" t="s">
        <v>104</v>
      </c>
      <c r="V191" t="s">
        <v>292</v>
      </c>
      <c r="W191">
        <v>590</v>
      </c>
      <c r="X191">
        <v>29.99</v>
      </c>
      <c r="Y191">
        <v>75</v>
      </c>
      <c r="Z191">
        <v>429000</v>
      </c>
      <c r="AA191">
        <v>330400</v>
      </c>
      <c r="AB191">
        <v>250</v>
      </c>
      <c r="AD191" t="s">
        <v>238</v>
      </c>
      <c r="AE191">
        <v>3</v>
      </c>
      <c r="AF191">
        <v>0</v>
      </c>
      <c r="AI191">
        <v>0</v>
      </c>
      <c r="AJ191">
        <v>150</v>
      </c>
      <c r="AK191">
        <v>150</v>
      </c>
      <c r="AL191">
        <v>560</v>
      </c>
      <c r="AM191">
        <v>156</v>
      </c>
      <c r="AN191">
        <v>0</v>
      </c>
      <c r="AO191">
        <v>156</v>
      </c>
      <c r="AP191" t="s">
        <v>80</v>
      </c>
      <c r="AQ191" t="s">
        <v>167</v>
      </c>
      <c r="AT191" t="s">
        <v>240</v>
      </c>
      <c r="AU191" t="s">
        <v>240</v>
      </c>
      <c r="AV191" t="s">
        <v>812</v>
      </c>
      <c r="AW191" t="s">
        <v>69</v>
      </c>
      <c r="AX191" t="s">
        <v>126</v>
      </c>
      <c r="AY191" t="s">
        <v>813</v>
      </c>
      <c r="AZ191" t="s">
        <v>243</v>
      </c>
      <c r="BA191" t="s">
        <v>244</v>
      </c>
      <c r="BB191" t="s">
        <v>264</v>
      </c>
      <c r="BC191" t="s">
        <v>264</v>
      </c>
      <c r="BD191" t="s">
        <v>819</v>
      </c>
      <c r="BE191" t="s">
        <v>815</v>
      </c>
      <c r="BF191" t="s">
        <v>291</v>
      </c>
      <c r="BG191" t="s">
        <v>150</v>
      </c>
      <c r="BH191" t="str">
        <f>IF(COUNTIF(工作表1!A:A, $C191)&gt;0, "預購款", "非預購款")</f>
        <v>非預購款</v>
      </c>
    </row>
    <row r="192" spans="1:60" x14ac:dyDescent="0.25">
      <c r="A192" t="s">
        <v>806</v>
      </c>
      <c r="B192" t="s">
        <v>226</v>
      </c>
      <c r="C192" t="s">
        <v>807</v>
      </c>
      <c r="D192" t="s">
        <v>808</v>
      </c>
      <c r="E192" t="s">
        <v>809</v>
      </c>
      <c r="F192" t="s">
        <v>95</v>
      </c>
      <c r="G192" t="s">
        <v>810</v>
      </c>
      <c r="H192" t="s">
        <v>132</v>
      </c>
      <c r="I192" t="s">
        <v>162</v>
      </c>
      <c r="J192" t="s">
        <v>163</v>
      </c>
      <c r="K192" t="s">
        <v>69</v>
      </c>
      <c r="L192" t="s">
        <v>811</v>
      </c>
      <c r="M192" t="s">
        <v>71</v>
      </c>
      <c r="N192" t="s">
        <v>100</v>
      </c>
      <c r="O192" t="s">
        <v>101</v>
      </c>
      <c r="P192" t="s">
        <v>102</v>
      </c>
      <c r="R192" t="s">
        <v>734</v>
      </c>
      <c r="S192" t="s">
        <v>103</v>
      </c>
      <c r="T192" t="s">
        <v>291</v>
      </c>
      <c r="U192" t="s">
        <v>104</v>
      </c>
      <c r="V192" t="s">
        <v>292</v>
      </c>
      <c r="W192">
        <v>590</v>
      </c>
      <c r="X192">
        <v>29.99</v>
      </c>
      <c r="Y192">
        <v>75</v>
      </c>
      <c r="Z192">
        <v>429000</v>
      </c>
      <c r="AA192">
        <v>330400</v>
      </c>
      <c r="AB192">
        <v>250</v>
      </c>
      <c r="AD192" t="s">
        <v>238</v>
      </c>
      <c r="AE192">
        <v>3</v>
      </c>
      <c r="AF192">
        <v>0</v>
      </c>
      <c r="AI192">
        <v>0</v>
      </c>
      <c r="AJ192">
        <v>60</v>
      </c>
      <c r="AK192">
        <v>60</v>
      </c>
      <c r="AL192">
        <v>560</v>
      </c>
      <c r="AM192">
        <v>64</v>
      </c>
      <c r="AN192">
        <v>0</v>
      </c>
      <c r="AO192">
        <v>64</v>
      </c>
      <c r="AP192" t="s">
        <v>80</v>
      </c>
      <c r="AQ192" t="s">
        <v>167</v>
      </c>
      <c r="AT192" t="s">
        <v>240</v>
      </c>
      <c r="AU192" t="s">
        <v>240</v>
      </c>
      <c r="AV192" t="s">
        <v>812</v>
      </c>
      <c r="AW192" t="s">
        <v>69</v>
      </c>
      <c r="AX192" t="s">
        <v>126</v>
      </c>
      <c r="AY192" t="s">
        <v>813</v>
      </c>
      <c r="AZ192" t="s">
        <v>243</v>
      </c>
      <c r="BA192" t="s">
        <v>244</v>
      </c>
      <c r="BB192" t="s">
        <v>264</v>
      </c>
      <c r="BC192" t="s">
        <v>264</v>
      </c>
      <c r="BD192" t="s">
        <v>820</v>
      </c>
      <c r="BE192" t="s">
        <v>815</v>
      </c>
      <c r="BF192" t="s">
        <v>291</v>
      </c>
      <c r="BG192" t="s">
        <v>150</v>
      </c>
      <c r="BH192" t="str">
        <f>IF(COUNTIF(工作表1!A:A, $C192)&gt;0, "預購款", "非預購款")</f>
        <v>非預購款</v>
      </c>
    </row>
    <row r="193" spans="1:60" x14ac:dyDescent="0.25">
      <c r="A193" t="s">
        <v>806</v>
      </c>
      <c r="B193" t="s">
        <v>226</v>
      </c>
      <c r="C193" t="s">
        <v>807</v>
      </c>
      <c r="D193" t="s">
        <v>808</v>
      </c>
      <c r="E193" t="s">
        <v>809</v>
      </c>
      <c r="F193" t="s">
        <v>95</v>
      </c>
      <c r="G193" t="s">
        <v>810</v>
      </c>
      <c r="H193" t="s">
        <v>119</v>
      </c>
      <c r="I193" t="s">
        <v>214</v>
      </c>
      <c r="J193" t="s">
        <v>215</v>
      </c>
      <c r="K193" t="s">
        <v>69</v>
      </c>
      <c r="L193" t="s">
        <v>811</v>
      </c>
      <c r="M193" t="s">
        <v>71</v>
      </c>
      <c r="N193" t="s">
        <v>100</v>
      </c>
      <c r="O193" t="s">
        <v>101</v>
      </c>
      <c r="P193" t="s">
        <v>102</v>
      </c>
      <c r="R193" t="s">
        <v>734</v>
      </c>
      <c r="S193" t="s">
        <v>103</v>
      </c>
      <c r="T193" t="s">
        <v>291</v>
      </c>
      <c r="U193" t="s">
        <v>104</v>
      </c>
      <c r="V193" t="s">
        <v>292</v>
      </c>
      <c r="W193">
        <v>590</v>
      </c>
      <c r="X193">
        <v>29.99</v>
      </c>
      <c r="Y193">
        <v>75</v>
      </c>
      <c r="Z193">
        <v>429000</v>
      </c>
      <c r="AA193">
        <v>330400</v>
      </c>
      <c r="AB193">
        <v>250</v>
      </c>
      <c r="AD193" t="s">
        <v>238</v>
      </c>
      <c r="AE193">
        <v>3</v>
      </c>
      <c r="AF193">
        <v>0</v>
      </c>
      <c r="AI193">
        <v>0</v>
      </c>
      <c r="AJ193">
        <v>80</v>
      </c>
      <c r="AK193">
        <v>80</v>
      </c>
      <c r="AL193">
        <v>560</v>
      </c>
      <c r="AM193">
        <v>82</v>
      </c>
      <c r="AN193">
        <v>0</v>
      </c>
      <c r="AO193">
        <v>82</v>
      </c>
      <c r="AP193" t="s">
        <v>80</v>
      </c>
      <c r="AQ193" t="s">
        <v>167</v>
      </c>
      <c r="AT193" t="s">
        <v>240</v>
      </c>
      <c r="AU193" t="s">
        <v>240</v>
      </c>
      <c r="AV193" t="s">
        <v>812</v>
      </c>
      <c r="AW193" t="s">
        <v>69</v>
      </c>
      <c r="AX193" t="s">
        <v>126</v>
      </c>
      <c r="AY193" t="s">
        <v>813</v>
      </c>
      <c r="AZ193" t="s">
        <v>243</v>
      </c>
      <c r="BA193" t="s">
        <v>244</v>
      </c>
      <c r="BB193" t="s">
        <v>264</v>
      </c>
      <c r="BC193" t="s">
        <v>264</v>
      </c>
      <c r="BD193" t="s">
        <v>821</v>
      </c>
      <c r="BE193" t="s">
        <v>815</v>
      </c>
      <c r="BF193" t="s">
        <v>291</v>
      </c>
      <c r="BG193" t="s">
        <v>150</v>
      </c>
      <c r="BH193" t="str">
        <f>IF(COUNTIF(工作表1!A:A, $C193)&gt;0, "預購款", "非預購款")</f>
        <v>非預購款</v>
      </c>
    </row>
    <row r="194" spans="1:60" x14ac:dyDescent="0.25">
      <c r="A194" t="s">
        <v>806</v>
      </c>
      <c r="B194" t="s">
        <v>226</v>
      </c>
      <c r="C194" t="s">
        <v>807</v>
      </c>
      <c r="D194" t="s">
        <v>808</v>
      </c>
      <c r="E194" t="s">
        <v>809</v>
      </c>
      <c r="F194" t="s">
        <v>95</v>
      </c>
      <c r="G194" t="s">
        <v>810</v>
      </c>
      <c r="H194" t="s">
        <v>130</v>
      </c>
      <c r="I194" t="s">
        <v>214</v>
      </c>
      <c r="J194" t="s">
        <v>215</v>
      </c>
      <c r="K194" t="s">
        <v>69</v>
      </c>
      <c r="L194" t="s">
        <v>811</v>
      </c>
      <c r="M194" t="s">
        <v>71</v>
      </c>
      <c r="N194" t="s">
        <v>100</v>
      </c>
      <c r="O194" t="s">
        <v>101</v>
      </c>
      <c r="P194" t="s">
        <v>102</v>
      </c>
      <c r="R194" t="s">
        <v>734</v>
      </c>
      <c r="S194" t="s">
        <v>103</v>
      </c>
      <c r="T194" t="s">
        <v>291</v>
      </c>
      <c r="U194" t="s">
        <v>104</v>
      </c>
      <c r="V194" t="s">
        <v>292</v>
      </c>
      <c r="W194">
        <v>590</v>
      </c>
      <c r="X194">
        <v>29.99</v>
      </c>
      <c r="Y194">
        <v>75</v>
      </c>
      <c r="Z194">
        <v>429000</v>
      </c>
      <c r="AA194">
        <v>330400</v>
      </c>
      <c r="AB194">
        <v>250</v>
      </c>
      <c r="AD194" t="s">
        <v>238</v>
      </c>
      <c r="AE194">
        <v>3</v>
      </c>
      <c r="AF194">
        <v>0</v>
      </c>
      <c r="AI194">
        <v>0</v>
      </c>
      <c r="AJ194">
        <v>50</v>
      </c>
      <c r="AK194">
        <v>50</v>
      </c>
      <c r="AL194">
        <v>560</v>
      </c>
      <c r="AM194">
        <v>51</v>
      </c>
      <c r="AN194">
        <v>0</v>
      </c>
      <c r="AO194">
        <v>51</v>
      </c>
      <c r="AP194" t="s">
        <v>80</v>
      </c>
      <c r="AQ194" t="s">
        <v>167</v>
      </c>
      <c r="AT194" t="s">
        <v>240</v>
      </c>
      <c r="AU194" t="s">
        <v>240</v>
      </c>
      <c r="AV194" t="s">
        <v>812</v>
      </c>
      <c r="AW194" t="s">
        <v>69</v>
      </c>
      <c r="AX194" t="s">
        <v>126</v>
      </c>
      <c r="AY194" t="s">
        <v>813</v>
      </c>
      <c r="AZ194" t="s">
        <v>243</v>
      </c>
      <c r="BA194" t="s">
        <v>244</v>
      </c>
      <c r="BB194" t="s">
        <v>264</v>
      </c>
      <c r="BC194" t="s">
        <v>264</v>
      </c>
      <c r="BD194" t="s">
        <v>822</v>
      </c>
      <c r="BE194" t="s">
        <v>815</v>
      </c>
      <c r="BF194" t="s">
        <v>291</v>
      </c>
      <c r="BG194" t="s">
        <v>150</v>
      </c>
      <c r="BH194" t="str">
        <f>IF(COUNTIF(工作表1!A:A, $C194)&gt;0, "預購款", "非預購款")</f>
        <v>非預購款</v>
      </c>
    </row>
    <row r="195" spans="1:60" x14ac:dyDescent="0.25">
      <c r="A195" t="s">
        <v>806</v>
      </c>
      <c r="B195" t="s">
        <v>226</v>
      </c>
      <c r="C195" t="s">
        <v>807</v>
      </c>
      <c r="D195" t="s">
        <v>808</v>
      </c>
      <c r="E195" t="s">
        <v>809</v>
      </c>
      <c r="F195" t="s">
        <v>95</v>
      </c>
      <c r="G195" t="s">
        <v>810</v>
      </c>
      <c r="H195" t="s">
        <v>132</v>
      </c>
      <c r="I195" t="s">
        <v>214</v>
      </c>
      <c r="J195" t="s">
        <v>215</v>
      </c>
      <c r="K195" t="s">
        <v>69</v>
      </c>
      <c r="L195" t="s">
        <v>811</v>
      </c>
      <c r="M195" t="s">
        <v>71</v>
      </c>
      <c r="N195" t="s">
        <v>100</v>
      </c>
      <c r="O195" t="s">
        <v>101</v>
      </c>
      <c r="P195" t="s">
        <v>102</v>
      </c>
      <c r="R195" t="s">
        <v>734</v>
      </c>
      <c r="S195" t="s">
        <v>103</v>
      </c>
      <c r="T195" t="s">
        <v>291</v>
      </c>
      <c r="U195" t="s">
        <v>104</v>
      </c>
      <c r="V195" t="s">
        <v>292</v>
      </c>
      <c r="W195">
        <v>590</v>
      </c>
      <c r="X195">
        <v>29.99</v>
      </c>
      <c r="Y195">
        <v>75</v>
      </c>
      <c r="Z195">
        <v>429000</v>
      </c>
      <c r="AA195">
        <v>330400</v>
      </c>
      <c r="AB195">
        <v>250</v>
      </c>
      <c r="AD195" t="s">
        <v>238</v>
      </c>
      <c r="AE195">
        <v>3</v>
      </c>
      <c r="AF195">
        <v>0</v>
      </c>
      <c r="AI195">
        <v>0</v>
      </c>
      <c r="AJ195">
        <v>30</v>
      </c>
      <c r="AK195">
        <v>30</v>
      </c>
      <c r="AL195">
        <v>560</v>
      </c>
      <c r="AM195">
        <v>32</v>
      </c>
      <c r="AN195">
        <v>0</v>
      </c>
      <c r="AO195">
        <v>32</v>
      </c>
      <c r="AP195" t="s">
        <v>80</v>
      </c>
      <c r="AQ195" t="s">
        <v>167</v>
      </c>
      <c r="AT195" t="s">
        <v>240</v>
      </c>
      <c r="AU195" t="s">
        <v>240</v>
      </c>
      <c r="AV195" t="s">
        <v>812</v>
      </c>
      <c r="AW195" t="s">
        <v>69</v>
      </c>
      <c r="AX195" t="s">
        <v>126</v>
      </c>
      <c r="AY195" t="s">
        <v>813</v>
      </c>
      <c r="AZ195" t="s">
        <v>243</v>
      </c>
      <c r="BA195" t="s">
        <v>244</v>
      </c>
      <c r="BB195" t="s">
        <v>264</v>
      </c>
      <c r="BC195" t="s">
        <v>264</v>
      </c>
      <c r="BD195" t="s">
        <v>823</v>
      </c>
      <c r="BE195" t="s">
        <v>815</v>
      </c>
      <c r="BF195" t="s">
        <v>291</v>
      </c>
      <c r="BG195" t="s">
        <v>150</v>
      </c>
      <c r="BH195" t="str">
        <f>IF(COUNTIF(工作表1!A:A, $C195)&gt;0, "預購款", "非預購款")</f>
        <v>非預購款</v>
      </c>
    </row>
    <row r="196" spans="1:60" x14ac:dyDescent="0.25">
      <c r="A196" t="s">
        <v>824</v>
      </c>
      <c r="B196" t="s">
        <v>226</v>
      </c>
      <c r="C196" t="s">
        <v>825</v>
      </c>
      <c r="D196" t="s">
        <v>826</v>
      </c>
      <c r="E196" t="s">
        <v>827</v>
      </c>
      <c r="F196" t="s">
        <v>95</v>
      </c>
      <c r="G196" t="s">
        <v>828</v>
      </c>
      <c r="H196" t="s">
        <v>119</v>
      </c>
      <c r="I196" t="s">
        <v>171</v>
      </c>
      <c r="J196" t="s">
        <v>172</v>
      </c>
      <c r="K196" t="s">
        <v>69</v>
      </c>
      <c r="L196" t="s">
        <v>829</v>
      </c>
      <c r="M196" t="s">
        <v>71</v>
      </c>
      <c r="N196" t="s">
        <v>100</v>
      </c>
      <c r="O196" t="s">
        <v>524</v>
      </c>
      <c r="P196" t="s">
        <v>525</v>
      </c>
      <c r="R196" t="s">
        <v>526</v>
      </c>
      <c r="S196" t="s">
        <v>103</v>
      </c>
      <c r="T196" t="s">
        <v>291</v>
      </c>
      <c r="U196" t="s">
        <v>383</v>
      </c>
      <c r="V196" t="s">
        <v>384</v>
      </c>
      <c r="W196">
        <v>1180</v>
      </c>
      <c r="X196">
        <v>49.99</v>
      </c>
      <c r="Y196">
        <v>155</v>
      </c>
      <c r="Z196">
        <v>859000</v>
      </c>
      <c r="AA196">
        <v>224200</v>
      </c>
      <c r="AB196">
        <v>500</v>
      </c>
      <c r="AD196" t="s">
        <v>238</v>
      </c>
      <c r="AE196">
        <v>1</v>
      </c>
      <c r="AF196">
        <v>0</v>
      </c>
      <c r="AI196">
        <v>0</v>
      </c>
      <c r="AJ196">
        <v>120</v>
      </c>
      <c r="AK196">
        <v>120</v>
      </c>
      <c r="AL196">
        <v>190</v>
      </c>
      <c r="AM196">
        <v>115</v>
      </c>
      <c r="AN196">
        <v>0</v>
      </c>
      <c r="AO196">
        <v>115</v>
      </c>
      <c r="AP196" t="s">
        <v>80</v>
      </c>
      <c r="AQ196" t="s">
        <v>624</v>
      </c>
      <c r="AT196" t="s">
        <v>240</v>
      </c>
      <c r="AU196" t="s">
        <v>86</v>
      </c>
      <c r="AV196" t="s">
        <v>830</v>
      </c>
      <c r="AW196" t="s">
        <v>69</v>
      </c>
      <c r="AX196" t="s">
        <v>126</v>
      </c>
      <c r="AY196" t="s">
        <v>831</v>
      </c>
      <c r="AZ196" t="s">
        <v>264</v>
      </c>
      <c r="BA196" t="s">
        <v>245</v>
      </c>
      <c r="BB196" t="s">
        <v>243</v>
      </c>
      <c r="BC196" t="s">
        <v>245</v>
      </c>
      <c r="BD196" t="s">
        <v>832</v>
      </c>
      <c r="BE196" t="s">
        <v>833</v>
      </c>
      <c r="BF196" t="s">
        <v>291</v>
      </c>
      <c r="BG196" t="s">
        <v>110</v>
      </c>
      <c r="BH196" t="str">
        <f>IF(COUNTIF(工作表1!A:A, $C196)&gt;0, "預購款", "非預購款")</f>
        <v>非預購款</v>
      </c>
    </row>
    <row r="197" spans="1:60" x14ac:dyDescent="0.25">
      <c r="A197" t="s">
        <v>824</v>
      </c>
      <c r="B197" t="s">
        <v>226</v>
      </c>
      <c r="C197" t="s">
        <v>825</v>
      </c>
      <c r="D197" t="s">
        <v>826</v>
      </c>
      <c r="E197" t="s">
        <v>827</v>
      </c>
      <c r="F197" t="s">
        <v>95</v>
      </c>
      <c r="G197" t="s">
        <v>828</v>
      </c>
      <c r="H197" t="s">
        <v>130</v>
      </c>
      <c r="I197" t="s">
        <v>171</v>
      </c>
      <c r="J197" t="s">
        <v>172</v>
      </c>
      <c r="K197" t="s">
        <v>69</v>
      </c>
      <c r="L197" t="s">
        <v>829</v>
      </c>
      <c r="M197" t="s">
        <v>71</v>
      </c>
      <c r="N197" t="s">
        <v>100</v>
      </c>
      <c r="O197" t="s">
        <v>524</v>
      </c>
      <c r="P197" t="s">
        <v>525</v>
      </c>
      <c r="R197" t="s">
        <v>526</v>
      </c>
      <c r="S197" t="s">
        <v>103</v>
      </c>
      <c r="T197" t="s">
        <v>291</v>
      </c>
      <c r="U197" t="s">
        <v>383</v>
      </c>
      <c r="V197" t="s">
        <v>384</v>
      </c>
      <c r="W197">
        <v>1180</v>
      </c>
      <c r="X197">
        <v>49.99</v>
      </c>
      <c r="Y197">
        <v>155</v>
      </c>
      <c r="Z197">
        <v>859000</v>
      </c>
      <c r="AA197">
        <v>224200</v>
      </c>
      <c r="AB197">
        <v>500</v>
      </c>
      <c r="AD197" t="s">
        <v>238</v>
      </c>
      <c r="AE197">
        <v>1</v>
      </c>
      <c r="AF197">
        <v>0</v>
      </c>
      <c r="AI197">
        <v>0</v>
      </c>
      <c r="AJ197">
        <v>50</v>
      </c>
      <c r="AK197">
        <v>50</v>
      </c>
      <c r="AL197">
        <v>190</v>
      </c>
      <c r="AM197">
        <v>53</v>
      </c>
      <c r="AN197">
        <v>0</v>
      </c>
      <c r="AO197">
        <v>53</v>
      </c>
      <c r="AP197" t="s">
        <v>80</v>
      </c>
      <c r="AQ197" t="s">
        <v>624</v>
      </c>
      <c r="AT197" t="s">
        <v>240</v>
      </c>
      <c r="AU197" t="s">
        <v>86</v>
      </c>
      <c r="AV197" t="s">
        <v>830</v>
      </c>
      <c r="AW197" t="s">
        <v>69</v>
      </c>
      <c r="AX197" t="s">
        <v>126</v>
      </c>
      <c r="AY197" t="s">
        <v>831</v>
      </c>
      <c r="AZ197" t="s">
        <v>264</v>
      </c>
      <c r="BA197" t="s">
        <v>245</v>
      </c>
      <c r="BB197" t="s">
        <v>243</v>
      </c>
      <c r="BC197" t="s">
        <v>245</v>
      </c>
      <c r="BD197" t="s">
        <v>834</v>
      </c>
      <c r="BE197" t="s">
        <v>833</v>
      </c>
      <c r="BF197" t="s">
        <v>291</v>
      </c>
      <c r="BG197" t="s">
        <v>110</v>
      </c>
      <c r="BH197" t="str">
        <f>IF(COUNTIF(工作表1!A:A, $C197)&gt;0, "預購款", "非預購款")</f>
        <v>非預購款</v>
      </c>
    </row>
    <row r="198" spans="1:60" x14ac:dyDescent="0.25">
      <c r="A198" t="s">
        <v>824</v>
      </c>
      <c r="B198" t="s">
        <v>226</v>
      </c>
      <c r="C198" t="s">
        <v>825</v>
      </c>
      <c r="D198" t="s">
        <v>826</v>
      </c>
      <c r="E198" t="s">
        <v>827</v>
      </c>
      <c r="F198" t="s">
        <v>95</v>
      </c>
      <c r="G198" t="s">
        <v>828</v>
      </c>
      <c r="H198" t="s">
        <v>132</v>
      </c>
      <c r="I198" t="s">
        <v>171</v>
      </c>
      <c r="J198" t="s">
        <v>172</v>
      </c>
      <c r="K198" t="s">
        <v>69</v>
      </c>
      <c r="L198" t="s">
        <v>829</v>
      </c>
      <c r="M198" t="s">
        <v>71</v>
      </c>
      <c r="N198" t="s">
        <v>100</v>
      </c>
      <c r="O198" t="s">
        <v>524</v>
      </c>
      <c r="P198" t="s">
        <v>525</v>
      </c>
      <c r="R198" t="s">
        <v>526</v>
      </c>
      <c r="S198" t="s">
        <v>103</v>
      </c>
      <c r="T198" t="s">
        <v>291</v>
      </c>
      <c r="U198" t="s">
        <v>383</v>
      </c>
      <c r="V198" t="s">
        <v>384</v>
      </c>
      <c r="W198">
        <v>1180</v>
      </c>
      <c r="X198">
        <v>49.99</v>
      </c>
      <c r="Y198">
        <v>155</v>
      </c>
      <c r="Z198">
        <v>859000</v>
      </c>
      <c r="AA198">
        <v>224200</v>
      </c>
      <c r="AB198">
        <v>500</v>
      </c>
      <c r="AD198" t="s">
        <v>238</v>
      </c>
      <c r="AE198">
        <v>1</v>
      </c>
      <c r="AF198">
        <v>0</v>
      </c>
      <c r="AI198">
        <v>0</v>
      </c>
      <c r="AJ198">
        <v>20</v>
      </c>
      <c r="AK198">
        <v>20</v>
      </c>
      <c r="AL198">
        <v>190</v>
      </c>
      <c r="AM198">
        <v>24</v>
      </c>
      <c r="AN198">
        <v>0</v>
      </c>
      <c r="AO198">
        <v>24</v>
      </c>
      <c r="AP198" t="s">
        <v>80</v>
      </c>
      <c r="AQ198" t="s">
        <v>624</v>
      </c>
      <c r="AT198" t="s">
        <v>240</v>
      </c>
      <c r="AU198" t="s">
        <v>86</v>
      </c>
      <c r="AV198" t="s">
        <v>830</v>
      </c>
      <c r="AW198" t="s">
        <v>69</v>
      </c>
      <c r="AX198" t="s">
        <v>126</v>
      </c>
      <c r="AY198" t="s">
        <v>831</v>
      </c>
      <c r="AZ198" t="s">
        <v>264</v>
      </c>
      <c r="BA198" t="s">
        <v>245</v>
      </c>
      <c r="BB198" t="s">
        <v>243</v>
      </c>
      <c r="BC198" t="s">
        <v>245</v>
      </c>
      <c r="BD198" t="s">
        <v>835</v>
      </c>
      <c r="BE198" t="s">
        <v>833</v>
      </c>
      <c r="BF198" t="s">
        <v>291</v>
      </c>
      <c r="BG198" t="s">
        <v>110</v>
      </c>
      <c r="BH198" t="str">
        <f>IF(COUNTIF(工作表1!A:A, $C198)&gt;0, "預購款", "非預購款")</f>
        <v>非預購款</v>
      </c>
    </row>
    <row r="199" spans="1:60" x14ac:dyDescent="0.25">
      <c r="A199" t="s">
        <v>836</v>
      </c>
      <c r="B199" t="s">
        <v>226</v>
      </c>
      <c r="C199" t="s">
        <v>837</v>
      </c>
      <c r="D199" t="s">
        <v>838</v>
      </c>
      <c r="E199" t="s">
        <v>839</v>
      </c>
      <c r="F199" t="s">
        <v>95</v>
      </c>
      <c r="G199" t="s">
        <v>840</v>
      </c>
      <c r="H199" t="s">
        <v>273</v>
      </c>
      <c r="I199" t="s">
        <v>111</v>
      </c>
      <c r="J199" t="s">
        <v>112</v>
      </c>
      <c r="K199" t="s">
        <v>69</v>
      </c>
      <c r="L199" t="s">
        <v>841</v>
      </c>
      <c r="M199" t="s">
        <v>71</v>
      </c>
      <c r="N199" t="s">
        <v>100</v>
      </c>
      <c r="O199" t="s">
        <v>101</v>
      </c>
      <c r="P199" t="s">
        <v>102</v>
      </c>
      <c r="R199" t="s">
        <v>734</v>
      </c>
      <c r="S199" t="s">
        <v>103</v>
      </c>
      <c r="T199" t="s">
        <v>274</v>
      </c>
      <c r="U199" t="s">
        <v>383</v>
      </c>
      <c r="V199" t="s">
        <v>384</v>
      </c>
      <c r="W199">
        <v>1180</v>
      </c>
      <c r="X199">
        <v>49.99</v>
      </c>
      <c r="Y199">
        <v>155</v>
      </c>
      <c r="Z199">
        <v>859000</v>
      </c>
      <c r="AA199">
        <v>660800</v>
      </c>
      <c r="AB199">
        <v>714</v>
      </c>
      <c r="AD199" t="s">
        <v>238</v>
      </c>
      <c r="AE199">
        <v>2</v>
      </c>
      <c r="AF199">
        <v>0</v>
      </c>
      <c r="AI199">
        <v>0</v>
      </c>
      <c r="AJ199">
        <v>130</v>
      </c>
      <c r="AK199">
        <v>130</v>
      </c>
      <c r="AL199">
        <v>560</v>
      </c>
      <c r="AM199">
        <v>127</v>
      </c>
      <c r="AN199">
        <v>0</v>
      </c>
      <c r="AO199">
        <v>127</v>
      </c>
      <c r="AP199" t="s">
        <v>80</v>
      </c>
      <c r="AQ199" t="s">
        <v>630</v>
      </c>
      <c r="AS199" t="s">
        <v>86</v>
      </c>
      <c r="AT199" t="s">
        <v>240</v>
      </c>
      <c r="AU199" t="s">
        <v>240</v>
      </c>
      <c r="AV199" t="s">
        <v>842</v>
      </c>
      <c r="AW199" t="s">
        <v>69</v>
      </c>
      <c r="AX199" t="s">
        <v>387</v>
      </c>
      <c r="AY199" t="s">
        <v>843</v>
      </c>
      <c r="AZ199" t="s">
        <v>264</v>
      </c>
      <c r="BA199" t="s">
        <v>245</v>
      </c>
      <c r="BB199" t="s">
        <v>245</v>
      </c>
      <c r="BC199" t="s">
        <v>245</v>
      </c>
      <c r="BD199" t="s">
        <v>844</v>
      </c>
      <c r="BE199" t="s">
        <v>845</v>
      </c>
      <c r="BF199" t="s">
        <v>279</v>
      </c>
      <c r="BG199" t="s">
        <v>110</v>
      </c>
      <c r="BH199" t="str">
        <f>IF(COUNTIF(工作表1!A:A, $C199)&gt;0, "預購款", "非預購款")</f>
        <v>非預購款</v>
      </c>
    </row>
    <row r="200" spans="1:60" x14ac:dyDescent="0.25">
      <c r="A200" t="s">
        <v>836</v>
      </c>
      <c r="B200" t="s">
        <v>226</v>
      </c>
      <c r="C200" t="s">
        <v>837</v>
      </c>
      <c r="D200" t="s">
        <v>838</v>
      </c>
      <c r="E200" t="s">
        <v>839</v>
      </c>
      <c r="F200" t="s">
        <v>95</v>
      </c>
      <c r="G200" t="s">
        <v>840</v>
      </c>
      <c r="H200" t="s">
        <v>501</v>
      </c>
      <c r="I200" t="s">
        <v>111</v>
      </c>
      <c r="J200" t="s">
        <v>112</v>
      </c>
      <c r="K200" t="s">
        <v>69</v>
      </c>
      <c r="L200" t="s">
        <v>841</v>
      </c>
      <c r="M200" t="s">
        <v>71</v>
      </c>
      <c r="N200" t="s">
        <v>100</v>
      </c>
      <c r="O200" t="s">
        <v>101</v>
      </c>
      <c r="P200" t="s">
        <v>102</v>
      </c>
      <c r="R200" t="s">
        <v>734</v>
      </c>
      <c r="S200" t="s">
        <v>103</v>
      </c>
      <c r="T200" t="s">
        <v>274</v>
      </c>
      <c r="U200" t="s">
        <v>383</v>
      </c>
      <c r="V200" t="s">
        <v>384</v>
      </c>
      <c r="W200">
        <v>1180</v>
      </c>
      <c r="X200">
        <v>49.99</v>
      </c>
      <c r="Y200">
        <v>155</v>
      </c>
      <c r="Z200">
        <v>859000</v>
      </c>
      <c r="AA200">
        <v>660800</v>
      </c>
      <c r="AB200">
        <v>714</v>
      </c>
      <c r="AD200" t="s">
        <v>238</v>
      </c>
      <c r="AE200">
        <v>2</v>
      </c>
      <c r="AF200">
        <v>0</v>
      </c>
      <c r="AI200">
        <v>0</v>
      </c>
      <c r="AJ200">
        <v>70</v>
      </c>
      <c r="AK200">
        <v>70</v>
      </c>
      <c r="AL200">
        <v>560</v>
      </c>
      <c r="AM200">
        <v>68</v>
      </c>
      <c r="AN200">
        <v>0</v>
      </c>
      <c r="AO200">
        <v>68</v>
      </c>
      <c r="AP200" t="s">
        <v>80</v>
      </c>
      <c r="AQ200" t="s">
        <v>630</v>
      </c>
      <c r="AS200" t="s">
        <v>86</v>
      </c>
      <c r="AT200" t="s">
        <v>240</v>
      </c>
      <c r="AU200" t="s">
        <v>240</v>
      </c>
      <c r="AV200" t="s">
        <v>842</v>
      </c>
      <c r="AW200" t="s">
        <v>69</v>
      </c>
      <c r="AX200" t="s">
        <v>387</v>
      </c>
      <c r="AY200" t="s">
        <v>843</v>
      </c>
      <c r="AZ200" t="s">
        <v>264</v>
      </c>
      <c r="BA200" t="s">
        <v>245</v>
      </c>
      <c r="BB200" t="s">
        <v>245</v>
      </c>
      <c r="BC200" t="s">
        <v>245</v>
      </c>
      <c r="BD200" t="s">
        <v>846</v>
      </c>
      <c r="BE200" t="s">
        <v>845</v>
      </c>
      <c r="BF200" t="s">
        <v>279</v>
      </c>
      <c r="BG200" t="s">
        <v>110</v>
      </c>
      <c r="BH200" t="str">
        <f>IF(COUNTIF(工作表1!A:A, $C200)&gt;0, "預購款", "非預購款")</f>
        <v>非預購款</v>
      </c>
    </row>
    <row r="201" spans="1:60" x14ac:dyDescent="0.25">
      <c r="A201" t="s">
        <v>836</v>
      </c>
      <c r="B201" t="s">
        <v>226</v>
      </c>
      <c r="C201" t="s">
        <v>837</v>
      </c>
      <c r="D201" t="s">
        <v>838</v>
      </c>
      <c r="E201" t="s">
        <v>839</v>
      </c>
      <c r="F201" t="s">
        <v>95</v>
      </c>
      <c r="G201" t="s">
        <v>840</v>
      </c>
      <c r="H201" t="s">
        <v>280</v>
      </c>
      <c r="I201" t="s">
        <v>111</v>
      </c>
      <c r="J201" t="s">
        <v>112</v>
      </c>
      <c r="K201" t="s">
        <v>69</v>
      </c>
      <c r="L201" t="s">
        <v>841</v>
      </c>
      <c r="M201" t="s">
        <v>71</v>
      </c>
      <c r="N201" t="s">
        <v>100</v>
      </c>
      <c r="O201" t="s">
        <v>101</v>
      </c>
      <c r="P201" t="s">
        <v>102</v>
      </c>
      <c r="R201" t="s">
        <v>734</v>
      </c>
      <c r="S201" t="s">
        <v>103</v>
      </c>
      <c r="T201" t="s">
        <v>274</v>
      </c>
      <c r="U201" t="s">
        <v>383</v>
      </c>
      <c r="V201" t="s">
        <v>384</v>
      </c>
      <c r="W201">
        <v>1180</v>
      </c>
      <c r="X201">
        <v>49.99</v>
      </c>
      <c r="Y201">
        <v>155</v>
      </c>
      <c r="Z201">
        <v>859000</v>
      </c>
      <c r="AA201">
        <v>660800</v>
      </c>
      <c r="AB201">
        <v>714</v>
      </c>
      <c r="AD201" t="s">
        <v>238</v>
      </c>
      <c r="AE201">
        <v>2</v>
      </c>
      <c r="AF201">
        <v>0</v>
      </c>
      <c r="AI201">
        <v>0</v>
      </c>
      <c r="AJ201">
        <v>90</v>
      </c>
      <c r="AK201">
        <v>90</v>
      </c>
      <c r="AL201">
        <v>560</v>
      </c>
      <c r="AM201">
        <v>89</v>
      </c>
      <c r="AN201">
        <v>0</v>
      </c>
      <c r="AO201">
        <v>89</v>
      </c>
      <c r="AP201" t="s">
        <v>80</v>
      </c>
      <c r="AQ201" t="s">
        <v>630</v>
      </c>
      <c r="AS201" t="s">
        <v>86</v>
      </c>
      <c r="AT201" t="s">
        <v>240</v>
      </c>
      <c r="AU201" t="s">
        <v>240</v>
      </c>
      <c r="AV201" t="s">
        <v>842</v>
      </c>
      <c r="AW201" t="s">
        <v>69</v>
      </c>
      <c r="AX201" t="s">
        <v>387</v>
      </c>
      <c r="AY201" t="s">
        <v>843</v>
      </c>
      <c r="AZ201" t="s">
        <v>264</v>
      </c>
      <c r="BA201" t="s">
        <v>245</v>
      </c>
      <c r="BB201" t="s">
        <v>245</v>
      </c>
      <c r="BC201" t="s">
        <v>245</v>
      </c>
      <c r="BD201" t="s">
        <v>847</v>
      </c>
      <c r="BE201" t="s">
        <v>845</v>
      </c>
      <c r="BF201" t="s">
        <v>279</v>
      </c>
      <c r="BG201" t="s">
        <v>110</v>
      </c>
      <c r="BH201" t="str">
        <f>IF(COUNTIF(工作表1!A:A, $C201)&gt;0, "預購款", "非預購款")</f>
        <v>非預購款</v>
      </c>
    </row>
    <row r="202" spans="1:60" x14ac:dyDescent="0.25">
      <c r="A202" t="s">
        <v>836</v>
      </c>
      <c r="B202" t="s">
        <v>226</v>
      </c>
      <c r="C202" t="s">
        <v>837</v>
      </c>
      <c r="D202" t="s">
        <v>838</v>
      </c>
      <c r="E202" t="s">
        <v>839</v>
      </c>
      <c r="F202" t="s">
        <v>95</v>
      </c>
      <c r="G202" t="s">
        <v>840</v>
      </c>
      <c r="H202" t="s">
        <v>273</v>
      </c>
      <c r="I202" t="s">
        <v>134</v>
      </c>
      <c r="J202" t="s">
        <v>135</v>
      </c>
      <c r="K202" t="s">
        <v>69</v>
      </c>
      <c r="L202" t="s">
        <v>841</v>
      </c>
      <c r="M202" t="s">
        <v>71</v>
      </c>
      <c r="N202" t="s">
        <v>100</v>
      </c>
      <c r="O202" t="s">
        <v>101</v>
      </c>
      <c r="P202" t="s">
        <v>102</v>
      </c>
      <c r="R202" t="s">
        <v>734</v>
      </c>
      <c r="S202" t="s">
        <v>103</v>
      </c>
      <c r="T202" t="s">
        <v>274</v>
      </c>
      <c r="U202" t="s">
        <v>383</v>
      </c>
      <c r="V202" t="s">
        <v>384</v>
      </c>
      <c r="W202">
        <v>1180</v>
      </c>
      <c r="X202">
        <v>49.99</v>
      </c>
      <c r="Y202">
        <v>155</v>
      </c>
      <c r="Z202">
        <v>859000</v>
      </c>
      <c r="AA202">
        <v>660800</v>
      </c>
      <c r="AB202">
        <v>714</v>
      </c>
      <c r="AD202" t="s">
        <v>238</v>
      </c>
      <c r="AE202">
        <v>2</v>
      </c>
      <c r="AF202">
        <v>0</v>
      </c>
      <c r="AI202">
        <v>0</v>
      </c>
      <c r="AJ202">
        <v>100</v>
      </c>
      <c r="AK202">
        <v>100</v>
      </c>
      <c r="AL202">
        <v>560</v>
      </c>
      <c r="AM202">
        <v>94</v>
      </c>
      <c r="AN202">
        <v>0</v>
      </c>
      <c r="AO202">
        <v>94</v>
      </c>
      <c r="AP202" t="s">
        <v>80</v>
      </c>
      <c r="AQ202" t="s">
        <v>630</v>
      </c>
      <c r="AS202" t="s">
        <v>86</v>
      </c>
      <c r="AT202" t="s">
        <v>240</v>
      </c>
      <c r="AU202" t="s">
        <v>240</v>
      </c>
      <c r="AV202" t="s">
        <v>842</v>
      </c>
      <c r="AW202" t="s">
        <v>69</v>
      </c>
      <c r="AX202" t="s">
        <v>387</v>
      </c>
      <c r="AY202" t="s">
        <v>843</v>
      </c>
      <c r="AZ202" t="s">
        <v>264</v>
      </c>
      <c r="BA202" t="s">
        <v>245</v>
      </c>
      <c r="BB202" t="s">
        <v>245</v>
      </c>
      <c r="BC202" t="s">
        <v>245</v>
      </c>
      <c r="BD202" t="s">
        <v>848</v>
      </c>
      <c r="BE202" t="s">
        <v>845</v>
      </c>
      <c r="BF202" t="s">
        <v>279</v>
      </c>
      <c r="BG202" t="s">
        <v>110</v>
      </c>
      <c r="BH202" t="str">
        <f>IF(COUNTIF(工作表1!A:A, $C202)&gt;0, "預購款", "非預購款")</f>
        <v>非預購款</v>
      </c>
    </row>
    <row r="203" spans="1:60" x14ac:dyDescent="0.25">
      <c r="A203" t="s">
        <v>836</v>
      </c>
      <c r="B203" t="s">
        <v>226</v>
      </c>
      <c r="C203" t="s">
        <v>837</v>
      </c>
      <c r="D203" t="s">
        <v>838</v>
      </c>
      <c r="E203" t="s">
        <v>839</v>
      </c>
      <c r="F203" t="s">
        <v>95</v>
      </c>
      <c r="G203" t="s">
        <v>840</v>
      </c>
      <c r="H203" t="s">
        <v>501</v>
      </c>
      <c r="I203" t="s">
        <v>134</v>
      </c>
      <c r="J203" t="s">
        <v>135</v>
      </c>
      <c r="K203" t="s">
        <v>69</v>
      </c>
      <c r="L203" t="s">
        <v>841</v>
      </c>
      <c r="M203" t="s">
        <v>71</v>
      </c>
      <c r="N203" t="s">
        <v>100</v>
      </c>
      <c r="O203" t="s">
        <v>101</v>
      </c>
      <c r="P203" t="s">
        <v>102</v>
      </c>
      <c r="R203" t="s">
        <v>734</v>
      </c>
      <c r="S203" t="s">
        <v>103</v>
      </c>
      <c r="T203" t="s">
        <v>274</v>
      </c>
      <c r="U203" t="s">
        <v>383</v>
      </c>
      <c r="V203" t="s">
        <v>384</v>
      </c>
      <c r="W203">
        <v>1180</v>
      </c>
      <c r="X203">
        <v>49.99</v>
      </c>
      <c r="Y203">
        <v>155</v>
      </c>
      <c r="Z203">
        <v>859000</v>
      </c>
      <c r="AA203">
        <v>660800</v>
      </c>
      <c r="AB203">
        <v>714</v>
      </c>
      <c r="AD203" t="s">
        <v>238</v>
      </c>
      <c r="AE203">
        <v>2</v>
      </c>
      <c r="AF203">
        <v>0</v>
      </c>
      <c r="AI203">
        <v>0</v>
      </c>
      <c r="AJ203">
        <v>70</v>
      </c>
      <c r="AK203">
        <v>70</v>
      </c>
      <c r="AL203">
        <v>560</v>
      </c>
      <c r="AM203">
        <v>66</v>
      </c>
      <c r="AN203">
        <v>0</v>
      </c>
      <c r="AO203">
        <v>66</v>
      </c>
      <c r="AP203" t="s">
        <v>80</v>
      </c>
      <c r="AQ203" t="s">
        <v>630</v>
      </c>
      <c r="AS203" t="s">
        <v>86</v>
      </c>
      <c r="AT203" t="s">
        <v>240</v>
      </c>
      <c r="AU203" t="s">
        <v>240</v>
      </c>
      <c r="AV203" t="s">
        <v>842</v>
      </c>
      <c r="AW203" t="s">
        <v>69</v>
      </c>
      <c r="AX203" t="s">
        <v>387</v>
      </c>
      <c r="AY203" t="s">
        <v>843</v>
      </c>
      <c r="AZ203" t="s">
        <v>264</v>
      </c>
      <c r="BA203" t="s">
        <v>245</v>
      </c>
      <c r="BB203" t="s">
        <v>245</v>
      </c>
      <c r="BC203" t="s">
        <v>245</v>
      </c>
      <c r="BD203" t="s">
        <v>849</v>
      </c>
      <c r="BE203" t="s">
        <v>845</v>
      </c>
      <c r="BF203" t="s">
        <v>279</v>
      </c>
      <c r="BG203" t="s">
        <v>110</v>
      </c>
      <c r="BH203" t="str">
        <f>IF(COUNTIF(工作表1!A:A, $C203)&gt;0, "預購款", "非預購款")</f>
        <v>非預購款</v>
      </c>
    </row>
    <row r="204" spans="1:60" x14ac:dyDescent="0.25">
      <c r="A204" t="s">
        <v>836</v>
      </c>
      <c r="B204" t="s">
        <v>226</v>
      </c>
      <c r="C204" t="s">
        <v>837</v>
      </c>
      <c r="D204" t="s">
        <v>838</v>
      </c>
      <c r="E204" t="s">
        <v>839</v>
      </c>
      <c r="F204" t="s">
        <v>95</v>
      </c>
      <c r="G204" t="s">
        <v>840</v>
      </c>
      <c r="H204" t="s">
        <v>280</v>
      </c>
      <c r="I204" t="s">
        <v>134</v>
      </c>
      <c r="J204" t="s">
        <v>135</v>
      </c>
      <c r="K204" t="s">
        <v>69</v>
      </c>
      <c r="L204" t="s">
        <v>841</v>
      </c>
      <c r="M204" t="s">
        <v>71</v>
      </c>
      <c r="N204" t="s">
        <v>100</v>
      </c>
      <c r="O204" t="s">
        <v>101</v>
      </c>
      <c r="P204" t="s">
        <v>102</v>
      </c>
      <c r="R204" t="s">
        <v>734</v>
      </c>
      <c r="S204" t="s">
        <v>103</v>
      </c>
      <c r="T204" t="s">
        <v>274</v>
      </c>
      <c r="U204" t="s">
        <v>383</v>
      </c>
      <c r="V204" t="s">
        <v>384</v>
      </c>
      <c r="W204">
        <v>1180</v>
      </c>
      <c r="X204">
        <v>49.99</v>
      </c>
      <c r="Y204">
        <v>155</v>
      </c>
      <c r="Z204">
        <v>859000</v>
      </c>
      <c r="AA204">
        <v>660800</v>
      </c>
      <c r="AB204">
        <v>714</v>
      </c>
      <c r="AD204" t="s">
        <v>238</v>
      </c>
      <c r="AE204">
        <v>2</v>
      </c>
      <c r="AF204">
        <v>0</v>
      </c>
      <c r="AI204">
        <v>0</v>
      </c>
      <c r="AJ204">
        <v>100</v>
      </c>
      <c r="AK204">
        <v>100</v>
      </c>
      <c r="AL204">
        <v>560</v>
      </c>
      <c r="AM204">
        <v>96</v>
      </c>
      <c r="AN204">
        <v>0</v>
      </c>
      <c r="AO204">
        <v>96</v>
      </c>
      <c r="AP204" t="s">
        <v>80</v>
      </c>
      <c r="AQ204" t="s">
        <v>630</v>
      </c>
      <c r="AS204" t="s">
        <v>86</v>
      </c>
      <c r="AT204" t="s">
        <v>240</v>
      </c>
      <c r="AU204" t="s">
        <v>240</v>
      </c>
      <c r="AV204" t="s">
        <v>842</v>
      </c>
      <c r="AW204" t="s">
        <v>69</v>
      </c>
      <c r="AX204" t="s">
        <v>387</v>
      </c>
      <c r="AY204" t="s">
        <v>843</v>
      </c>
      <c r="AZ204" t="s">
        <v>264</v>
      </c>
      <c r="BA204" t="s">
        <v>245</v>
      </c>
      <c r="BB204" t="s">
        <v>245</v>
      </c>
      <c r="BC204" t="s">
        <v>245</v>
      </c>
      <c r="BD204" t="s">
        <v>850</v>
      </c>
      <c r="BE204" t="s">
        <v>845</v>
      </c>
      <c r="BF204" t="s">
        <v>279</v>
      </c>
      <c r="BG204" t="s">
        <v>110</v>
      </c>
      <c r="BH204" t="str">
        <f>IF(COUNTIF(工作表1!A:A, $C204)&gt;0, "預購款", "非預購款")</f>
        <v>非預購款</v>
      </c>
    </row>
    <row r="205" spans="1:60" x14ac:dyDescent="0.25">
      <c r="A205" t="s">
        <v>617</v>
      </c>
      <c r="B205" t="s">
        <v>226</v>
      </c>
      <c r="C205" t="s">
        <v>618</v>
      </c>
      <c r="D205" t="s">
        <v>619</v>
      </c>
      <c r="E205" t="s">
        <v>620</v>
      </c>
      <c r="F205" t="s">
        <v>95</v>
      </c>
      <c r="G205" t="s">
        <v>621</v>
      </c>
      <c r="H205" t="s">
        <v>66</v>
      </c>
      <c r="I205" t="s">
        <v>214</v>
      </c>
      <c r="J205" t="s">
        <v>215</v>
      </c>
      <c r="K205" t="s">
        <v>69</v>
      </c>
      <c r="L205" t="s">
        <v>622</v>
      </c>
      <c r="M205" t="s">
        <v>71</v>
      </c>
      <c r="N205" t="s">
        <v>100</v>
      </c>
      <c r="O205" t="s">
        <v>524</v>
      </c>
      <c r="P205" t="s">
        <v>525</v>
      </c>
      <c r="R205" t="s">
        <v>526</v>
      </c>
      <c r="S205" t="s">
        <v>103</v>
      </c>
      <c r="T205" t="s">
        <v>258</v>
      </c>
      <c r="U205" t="s">
        <v>104</v>
      </c>
      <c r="V205" t="s">
        <v>623</v>
      </c>
      <c r="W205">
        <v>890</v>
      </c>
      <c r="X205">
        <v>39.99</v>
      </c>
      <c r="Y205">
        <v>115</v>
      </c>
      <c r="Z205">
        <v>639000</v>
      </c>
      <c r="AA205">
        <v>364900</v>
      </c>
      <c r="AB205">
        <v>285</v>
      </c>
      <c r="AD205" t="s">
        <v>238</v>
      </c>
      <c r="AE205">
        <v>2</v>
      </c>
      <c r="AF205">
        <v>0</v>
      </c>
      <c r="AI205">
        <v>110</v>
      </c>
      <c r="AJ205">
        <v>100</v>
      </c>
      <c r="AK205">
        <v>210</v>
      </c>
      <c r="AL205">
        <v>410</v>
      </c>
      <c r="AM205">
        <v>205</v>
      </c>
      <c r="AN205">
        <v>0</v>
      </c>
      <c r="AO205">
        <v>205</v>
      </c>
      <c r="AP205" t="s">
        <v>80</v>
      </c>
      <c r="AQ205" t="s">
        <v>624</v>
      </c>
      <c r="AT205" t="s">
        <v>240</v>
      </c>
      <c r="AU205" t="s">
        <v>264</v>
      </c>
      <c r="AV205" t="s">
        <v>625</v>
      </c>
      <c r="AW205" t="s">
        <v>69</v>
      </c>
      <c r="AX205" t="s">
        <v>583</v>
      </c>
      <c r="AY205" t="s">
        <v>626</v>
      </c>
      <c r="AZ205" t="s">
        <v>244</v>
      </c>
      <c r="BA205" t="s">
        <v>243</v>
      </c>
      <c r="BB205" t="s">
        <v>244</v>
      </c>
      <c r="BC205" t="s">
        <v>264</v>
      </c>
      <c r="BD205" t="s">
        <v>627</v>
      </c>
      <c r="BE205" t="s">
        <v>851</v>
      </c>
      <c r="BF205" t="s">
        <v>240</v>
      </c>
      <c r="BG205" t="s">
        <v>150</v>
      </c>
      <c r="BH205" t="str">
        <f>IF(COUNTIF(工作表1!A:A, $C205)&gt;0, "預購款", "非預購款")</f>
        <v>非預購款</v>
      </c>
    </row>
    <row r="206" spans="1:60" x14ac:dyDescent="0.25">
      <c r="A206" t="s">
        <v>617</v>
      </c>
      <c r="B206" t="s">
        <v>226</v>
      </c>
      <c r="C206" t="s">
        <v>618</v>
      </c>
      <c r="D206" t="s">
        <v>619</v>
      </c>
      <c r="E206" t="s">
        <v>620</v>
      </c>
      <c r="F206" t="s">
        <v>95</v>
      </c>
      <c r="G206" t="s">
        <v>621</v>
      </c>
      <c r="H206" t="s">
        <v>66</v>
      </c>
      <c r="I206" t="s">
        <v>134</v>
      </c>
      <c r="J206" t="s">
        <v>135</v>
      </c>
      <c r="K206" t="s">
        <v>69</v>
      </c>
      <c r="L206" t="s">
        <v>622</v>
      </c>
      <c r="M206" t="s">
        <v>71</v>
      </c>
      <c r="N206" t="s">
        <v>100</v>
      </c>
      <c r="O206" t="s">
        <v>524</v>
      </c>
      <c r="P206" t="s">
        <v>525</v>
      </c>
      <c r="R206" t="s">
        <v>526</v>
      </c>
      <c r="S206" t="s">
        <v>103</v>
      </c>
      <c r="T206" t="s">
        <v>258</v>
      </c>
      <c r="U206" t="s">
        <v>104</v>
      </c>
      <c r="V206" t="s">
        <v>623</v>
      </c>
      <c r="W206">
        <v>890</v>
      </c>
      <c r="X206">
        <v>39.99</v>
      </c>
      <c r="Y206">
        <v>115</v>
      </c>
      <c r="Z206">
        <v>639000</v>
      </c>
      <c r="AA206">
        <v>364900</v>
      </c>
      <c r="AB206">
        <v>285</v>
      </c>
      <c r="AD206" t="s">
        <v>238</v>
      </c>
      <c r="AE206">
        <v>2</v>
      </c>
      <c r="AF206">
        <v>0</v>
      </c>
      <c r="AI206">
        <v>0</v>
      </c>
      <c r="AJ206">
        <v>200</v>
      </c>
      <c r="AK206">
        <v>200</v>
      </c>
      <c r="AL206">
        <v>410</v>
      </c>
      <c r="AM206">
        <v>200</v>
      </c>
      <c r="AN206">
        <v>0</v>
      </c>
      <c r="AO206">
        <v>200</v>
      </c>
      <c r="AP206" t="s">
        <v>80</v>
      </c>
      <c r="AQ206" t="s">
        <v>624</v>
      </c>
      <c r="AT206" t="s">
        <v>240</v>
      </c>
      <c r="AU206" t="s">
        <v>264</v>
      </c>
      <c r="AV206" t="s">
        <v>625</v>
      </c>
      <c r="AW206" t="s">
        <v>69</v>
      </c>
      <c r="AX206" t="s">
        <v>583</v>
      </c>
      <c r="AY206" t="s">
        <v>626</v>
      </c>
      <c r="AZ206" t="s">
        <v>244</v>
      </c>
      <c r="BA206" t="s">
        <v>243</v>
      </c>
      <c r="BB206" t="s">
        <v>244</v>
      </c>
      <c r="BC206" t="s">
        <v>264</v>
      </c>
      <c r="BD206" t="s">
        <v>629</v>
      </c>
      <c r="BE206" t="s">
        <v>851</v>
      </c>
      <c r="BF206" t="s">
        <v>240</v>
      </c>
      <c r="BG206" t="s">
        <v>150</v>
      </c>
      <c r="BH206" t="str">
        <f>IF(COUNTIF(工作表1!A:A, $C206)&gt;0, "預購款", "非預購款")</f>
        <v>非預購款</v>
      </c>
    </row>
    <row r="207" spans="1:60" x14ac:dyDescent="0.25">
      <c r="A207" t="s">
        <v>852</v>
      </c>
      <c r="B207" t="s">
        <v>226</v>
      </c>
      <c r="C207" t="s">
        <v>853</v>
      </c>
      <c r="D207" t="s">
        <v>854</v>
      </c>
      <c r="E207" t="s">
        <v>855</v>
      </c>
      <c r="F207" t="s">
        <v>95</v>
      </c>
      <c r="G207" t="s">
        <v>856</v>
      </c>
      <c r="H207" t="s">
        <v>119</v>
      </c>
      <c r="I207" t="s">
        <v>97</v>
      </c>
      <c r="J207" t="s">
        <v>98</v>
      </c>
      <c r="K207" t="s">
        <v>69</v>
      </c>
      <c r="L207" t="s">
        <v>857</v>
      </c>
      <c r="M207" t="s">
        <v>71</v>
      </c>
      <c r="N207" t="s">
        <v>100</v>
      </c>
      <c r="O207" t="s">
        <v>524</v>
      </c>
      <c r="P207" t="s">
        <v>525</v>
      </c>
      <c r="R207" t="s">
        <v>526</v>
      </c>
      <c r="S207" t="s">
        <v>103</v>
      </c>
      <c r="T207" t="s">
        <v>76</v>
      </c>
      <c r="U207" t="s">
        <v>383</v>
      </c>
      <c r="V207" t="s">
        <v>384</v>
      </c>
      <c r="W207">
        <v>1180</v>
      </c>
      <c r="X207">
        <v>49.99</v>
      </c>
      <c r="Y207">
        <v>155</v>
      </c>
      <c r="Z207">
        <v>859000</v>
      </c>
      <c r="AA207">
        <v>342200</v>
      </c>
      <c r="AB207">
        <v>600</v>
      </c>
      <c r="AD207" t="s">
        <v>238</v>
      </c>
      <c r="AE207">
        <v>2</v>
      </c>
      <c r="AF207">
        <v>5</v>
      </c>
      <c r="AI207">
        <v>0</v>
      </c>
      <c r="AJ207">
        <v>100</v>
      </c>
      <c r="AK207">
        <v>105</v>
      </c>
      <c r="AL207">
        <v>290</v>
      </c>
      <c r="AM207">
        <v>109</v>
      </c>
      <c r="AN207">
        <v>0</v>
      </c>
      <c r="AO207">
        <v>109</v>
      </c>
      <c r="AP207" t="s">
        <v>80</v>
      </c>
      <c r="AQ207" t="s">
        <v>630</v>
      </c>
      <c r="AR207" t="s">
        <v>86</v>
      </c>
      <c r="AS207" t="s">
        <v>261</v>
      </c>
      <c r="AT207" t="s">
        <v>86</v>
      </c>
      <c r="AU207" t="s">
        <v>261</v>
      </c>
      <c r="AV207" t="s">
        <v>81</v>
      </c>
      <c r="AW207" t="s">
        <v>69</v>
      </c>
      <c r="AX207" t="s">
        <v>387</v>
      </c>
      <c r="AY207" t="s">
        <v>858</v>
      </c>
      <c r="AZ207" t="s">
        <v>264</v>
      </c>
      <c r="BA207" t="s">
        <v>245</v>
      </c>
      <c r="BB207" t="s">
        <v>245</v>
      </c>
      <c r="BC207" t="s">
        <v>244</v>
      </c>
      <c r="BD207" t="s">
        <v>859</v>
      </c>
      <c r="BE207" t="s">
        <v>860</v>
      </c>
      <c r="BF207" t="s">
        <v>86</v>
      </c>
      <c r="BG207" t="s">
        <v>110</v>
      </c>
      <c r="BH207" t="str">
        <f>IF(COUNTIF(工作表1!A:A, $C207)&gt;0, "預購款", "非預購款")</f>
        <v>非預購款</v>
      </c>
    </row>
    <row r="208" spans="1:60" x14ac:dyDescent="0.25">
      <c r="A208" t="s">
        <v>852</v>
      </c>
      <c r="B208" t="s">
        <v>226</v>
      </c>
      <c r="C208" t="s">
        <v>853</v>
      </c>
      <c r="D208" t="s">
        <v>854</v>
      </c>
      <c r="E208" t="s">
        <v>855</v>
      </c>
      <c r="F208" t="s">
        <v>95</v>
      </c>
      <c r="G208" t="s">
        <v>856</v>
      </c>
      <c r="H208" t="s">
        <v>130</v>
      </c>
      <c r="I208" t="s">
        <v>97</v>
      </c>
      <c r="J208" t="s">
        <v>98</v>
      </c>
      <c r="K208" t="s">
        <v>69</v>
      </c>
      <c r="L208" t="s">
        <v>857</v>
      </c>
      <c r="M208" t="s">
        <v>71</v>
      </c>
      <c r="N208" t="s">
        <v>100</v>
      </c>
      <c r="O208" t="s">
        <v>524</v>
      </c>
      <c r="P208" t="s">
        <v>525</v>
      </c>
      <c r="R208" t="s">
        <v>526</v>
      </c>
      <c r="S208" t="s">
        <v>103</v>
      </c>
      <c r="T208" t="s">
        <v>76</v>
      </c>
      <c r="U208" t="s">
        <v>383</v>
      </c>
      <c r="V208" t="s">
        <v>384</v>
      </c>
      <c r="W208">
        <v>1180</v>
      </c>
      <c r="X208">
        <v>49.99</v>
      </c>
      <c r="Y208">
        <v>155</v>
      </c>
      <c r="Z208">
        <v>859000</v>
      </c>
      <c r="AA208">
        <v>342200</v>
      </c>
      <c r="AB208">
        <v>600</v>
      </c>
      <c r="AD208" t="s">
        <v>238</v>
      </c>
      <c r="AE208">
        <v>2</v>
      </c>
      <c r="AF208">
        <v>0</v>
      </c>
      <c r="AI208">
        <v>0</v>
      </c>
      <c r="AJ208">
        <v>70</v>
      </c>
      <c r="AK208">
        <v>70</v>
      </c>
      <c r="AL208">
        <v>290</v>
      </c>
      <c r="AM208">
        <v>74</v>
      </c>
      <c r="AN208">
        <v>0</v>
      </c>
      <c r="AO208">
        <v>74</v>
      </c>
      <c r="AP208" t="s">
        <v>80</v>
      </c>
      <c r="AQ208" t="s">
        <v>630</v>
      </c>
      <c r="AR208" t="s">
        <v>86</v>
      </c>
      <c r="AS208" t="s">
        <v>261</v>
      </c>
      <c r="AT208" t="s">
        <v>86</v>
      </c>
      <c r="AU208" t="s">
        <v>261</v>
      </c>
      <c r="AV208" t="s">
        <v>81</v>
      </c>
      <c r="AW208" t="s">
        <v>69</v>
      </c>
      <c r="AX208" t="s">
        <v>387</v>
      </c>
      <c r="AY208" t="s">
        <v>858</v>
      </c>
      <c r="AZ208" t="s">
        <v>264</v>
      </c>
      <c r="BA208" t="s">
        <v>245</v>
      </c>
      <c r="BB208" t="s">
        <v>245</v>
      </c>
      <c r="BC208" t="s">
        <v>244</v>
      </c>
      <c r="BD208" t="s">
        <v>861</v>
      </c>
      <c r="BE208" t="s">
        <v>860</v>
      </c>
      <c r="BF208" t="s">
        <v>86</v>
      </c>
      <c r="BG208" t="s">
        <v>110</v>
      </c>
      <c r="BH208" t="str">
        <f>IF(COUNTIF(工作表1!A:A, $C208)&gt;0, "預購款", "非預購款")</f>
        <v>非預購款</v>
      </c>
    </row>
    <row r="209" spans="1:60" x14ac:dyDescent="0.25">
      <c r="A209" t="s">
        <v>852</v>
      </c>
      <c r="B209" t="s">
        <v>226</v>
      </c>
      <c r="C209" t="s">
        <v>853</v>
      </c>
      <c r="D209" t="s">
        <v>854</v>
      </c>
      <c r="E209" t="s">
        <v>855</v>
      </c>
      <c r="F209" t="s">
        <v>95</v>
      </c>
      <c r="G209" t="s">
        <v>856</v>
      </c>
      <c r="H209" t="s">
        <v>132</v>
      </c>
      <c r="I209" t="s">
        <v>97</v>
      </c>
      <c r="J209" t="s">
        <v>98</v>
      </c>
      <c r="K209" t="s">
        <v>69</v>
      </c>
      <c r="L209" t="s">
        <v>857</v>
      </c>
      <c r="M209" t="s">
        <v>71</v>
      </c>
      <c r="N209" t="s">
        <v>100</v>
      </c>
      <c r="O209" t="s">
        <v>524</v>
      </c>
      <c r="P209" t="s">
        <v>525</v>
      </c>
      <c r="R209" t="s">
        <v>526</v>
      </c>
      <c r="S209" t="s">
        <v>103</v>
      </c>
      <c r="T209" t="s">
        <v>76</v>
      </c>
      <c r="U209" t="s">
        <v>383</v>
      </c>
      <c r="V209" t="s">
        <v>384</v>
      </c>
      <c r="W209">
        <v>1180</v>
      </c>
      <c r="X209">
        <v>49.99</v>
      </c>
      <c r="Y209">
        <v>155</v>
      </c>
      <c r="Z209">
        <v>859000</v>
      </c>
      <c r="AA209">
        <v>342200</v>
      </c>
      <c r="AB209">
        <v>600</v>
      </c>
      <c r="AD209" t="s">
        <v>238</v>
      </c>
      <c r="AE209">
        <v>2</v>
      </c>
      <c r="AF209">
        <v>0</v>
      </c>
      <c r="AI209">
        <v>0</v>
      </c>
      <c r="AJ209">
        <v>25</v>
      </c>
      <c r="AK209">
        <v>25</v>
      </c>
      <c r="AL209">
        <v>290</v>
      </c>
      <c r="AM209">
        <v>27</v>
      </c>
      <c r="AN209">
        <v>0</v>
      </c>
      <c r="AO209">
        <v>27</v>
      </c>
      <c r="AP209" t="s">
        <v>80</v>
      </c>
      <c r="AQ209" t="s">
        <v>630</v>
      </c>
      <c r="AR209" t="s">
        <v>86</v>
      </c>
      <c r="AS209" t="s">
        <v>261</v>
      </c>
      <c r="AT209" t="s">
        <v>86</v>
      </c>
      <c r="AU209" t="s">
        <v>261</v>
      </c>
      <c r="AV209" t="s">
        <v>81</v>
      </c>
      <c r="AW209" t="s">
        <v>69</v>
      </c>
      <c r="AX209" t="s">
        <v>387</v>
      </c>
      <c r="AY209" t="s">
        <v>858</v>
      </c>
      <c r="AZ209" t="s">
        <v>264</v>
      </c>
      <c r="BA209" t="s">
        <v>245</v>
      </c>
      <c r="BB209" t="s">
        <v>245</v>
      </c>
      <c r="BC209" t="s">
        <v>244</v>
      </c>
      <c r="BD209" t="s">
        <v>862</v>
      </c>
      <c r="BE209" t="s">
        <v>860</v>
      </c>
      <c r="BF209" t="s">
        <v>86</v>
      </c>
      <c r="BG209" t="s">
        <v>110</v>
      </c>
      <c r="BH209" t="str">
        <f>IF(COUNTIF(工作表1!A:A, $C209)&gt;0, "預購款", "非預購款")</f>
        <v>非預購款</v>
      </c>
    </row>
    <row r="210" spans="1:60" x14ac:dyDescent="0.25">
      <c r="A210" t="s">
        <v>863</v>
      </c>
      <c r="B210" t="s">
        <v>226</v>
      </c>
      <c r="C210" t="s">
        <v>864</v>
      </c>
      <c r="D210" t="s">
        <v>865</v>
      </c>
      <c r="E210" t="s">
        <v>866</v>
      </c>
      <c r="F210" t="s">
        <v>95</v>
      </c>
      <c r="G210" t="s">
        <v>867</v>
      </c>
      <c r="H210" t="s">
        <v>119</v>
      </c>
      <c r="I210" t="s">
        <v>134</v>
      </c>
      <c r="J210" t="s">
        <v>135</v>
      </c>
      <c r="K210" t="s">
        <v>69</v>
      </c>
      <c r="L210" t="s">
        <v>868</v>
      </c>
      <c r="M210" t="s">
        <v>71</v>
      </c>
      <c r="N210" t="s">
        <v>100</v>
      </c>
      <c r="O210" t="s">
        <v>524</v>
      </c>
      <c r="P210" t="s">
        <v>525</v>
      </c>
      <c r="R210" t="s">
        <v>526</v>
      </c>
      <c r="S210" t="s">
        <v>103</v>
      </c>
      <c r="T210" t="s">
        <v>76</v>
      </c>
      <c r="U210" t="s">
        <v>146</v>
      </c>
      <c r="V210" t="s">
        <v>321</v>
      </c>
      <c r="W210">
        <v>990</v>
      </c>
      <c r="X210">
        <v>39.99</v>
      </c>
      <c r="Y210">
        <v>129</v>
      </c>
      <c r="Z210">
        <v>709000</v>
      </c>
      <c r="AA210">
        <v>262350</v>
      </c>
      <c r="AB210">
        <v>388</v>
      </c>
      <c r="AD210" t="s">
        <v>238</v>
      </c>
      <c r="AE210">
        <v>1</v>
      </c>
      <c r="AF210">
        <v>15</v>
      </c>
      <c r="AI210">
        <v>20</v>
      </c>
      <c r="AJ210">
        <v>100</v>
      </c>
      <c r="AK210">
        <v>135</v>
      </c>
      <c r="AL210">
        <v>265</v>
      </c>
      <c r="AM210">
        <v>146</v>
      </c>
      <c r="AN210">
        <v>0</v>
      </c>
      <c r="AO210">
        <v>146</v>
      </c>
      <c r="AP210" t="s">
        <v>80</v>
      </c>
      <c r="AQ210" t="s">
        <v>624</v>
      </c>
      <c r="AR210" t="s">
        <v>86</v>
      </c>
      <c r="AS210" t="s">
        <v>86</v>
      </c>
      <c r="AT210" t="s">
        <v>240</v>
      </c>
      <c r="AU210" t="s">
        <v>86</v>
      </c>
      <c r="AV210" t="s">
        <v>869</v>
      </c>
      <c r="AW210" t="s">
        <v>69</v>
      </c>
      <c r="AX210" t="s">
        <v>870</v>
      </c>
      <c r="AY210" t="s">
        <v>871</v>
      </c>
      <c r="AZ210" t="s">
        <v>264</v>
      </c>
      <c r="BA210" t="s">
        <v>244</v>
      </c>
      <c r="BB210" t="s">
        <v>245</v>
      </c>
      <c r="BC210" t="s">
        <v>245</v>
      </c>
      <c r="BD210" t="s">
        <v>872</v>
      </c>
      <c r="BE210" t="s">
        <v>873</v>
      </c>
      <c r="BF210" t="s">
        <v>86</v>
      </c>
      <c r="BG210" t="s">
        <v>110</v>
      </c>
      <c r="BH210" t="str">
        <f>IF(COUNTIF(工作表1!A:A, $C210)&gt;0, "預購款", "非預購款")</f>
        <v>非預購款</v>
      </c>
    </row>
    <row r="211" spans="1:60" x14ac:dyDescent="0.25">
      <c r="A211" t="s">
        <v>863</v>
      </c>
      <c r="B211" t="s">
        <v>226</v>
      </c>
      <c r="C211" t="s">
        <v>864</v>
      </c>
      <c r="D211" t="s">
        <v>865</v>
      </c>
      <c r="E211" t="s">
        <v>866</v>
      </c>
      <c r="F211" t="s">
        <v>95</v>
      </c>
      <c r="G211" t="s">
        <v>867</v>
      </c>
      <c r="H211" t="s">
        <v>130</v>
      </c>
      <c r="I211" t="s">
        <v>134</v>
      </c>
      <c r="J211" t="s">
        <v>135</v>
      </c>
      <c r="K211" t="s">
        <v>69</v>
      </c>
      <c r="L211" t="s">
        <v>868</v>
      </c>
      <c r="M211" t="s">
        <v>71</v>
      </c>
      <c r="N211" t="s">
        <v>100</v>
      </c>
      <c r="O211" t="s">
        <v>524</v>
      </c>
      <c r="P211" t="s">
        <v>525</v>
      </c>
      <c r="R211" t="s">
        <v>526</v>
      </c>
      <c r="S211" t="s">
        <v>103</v>
      </c>
      <c r="T211" t="s">
        <v>76</v>
      </c>
      <c r="U211" t="s">
        <v>146</v>
      </c>
      <c r="V211" t="s">
        <v>321</v>
      </c>
      <c r="W211">
        <v>990</v>
      </c>
      <c r="X211">
        <v>39.99</v>
      </c>
      <c r="Y211">
        <v>129</v>
      </c>
      <c r="Z211">
        <v>709000</v>
      </c>
      <c r="AA211">
        <v>262350</v>
      </c>
      <c r="AB211">
        <v>388</v>
      </c>
      <c r="AD211" t="s">
        <v>238</v>
      </c>
      <c r="AE211">
        <v>1</v>
      </c>
      <c r="AF211">
        <v>10</v>
      </c>
      <c r="AI211">
        <v>20</v>
      </c>
      <c r="AJ211">
        <v>60</v>
      </c>
      <c r="AK211">
        <v>90</v>
      </c>
      <c r="AL211">
        <v>265</v>
      </c>
      <c r="AM211">
        <v>94</v>
      </c>
      <c r="AN211">
        <v>1</v>
      </c>
      <c r="AO211">
        <v>95</v>
      </c>
      <c r="AP211" t="s">
        <v>80</v>
      </c>
      <c r="AQ211" t="s">
        <v>624</v>
      </c>
      <c r="AR211" t="s">
        <v>86</v>
      </c>
      <c r="AS211" t="s">
        <v>86</v>
      </c>
      <c r="AT211" t="s">
        <v>240</v>
      </c>
      <c r="AU211" t="s">
        <v>86</v>
      </c>
      <c r="AV211" t="s">
        <v>869</v>
      </c>
      <c r="AW211" t="s">
        <v>69</v>
      </c>
      <c r="AX211" t="s">
        <v>870</v>
      </c>
      <c r="AY211" t="s">
        <v>871</v>
      </c>
      <c r="AZ211" t="s">
        <v>264</v>
      </c>
      <c r="BA211" t="s">
        <v>244</v>
      </c>
      <c r="BB211" t="s">
        <v>245</v>
      </c>
      <c r="BC211" t="s">
        <v>245</v>
      </c>
      <c r="BD211" t="s">
        <v>874</v>
      </c>
      <c r="BE211" t="s">
        <v>873</v>
      </c>
      <c r="BF211" t="s">
        <v>86</v>
      </c>
      <c r="BG211" t="s">
        <v>110</v>
      </c>
      <c r="BH211" t="str">
        <f>IF(COUNTIF(工作表1!A:A, $C211)&gt;0, "預購款", "非預購款")</f>
        <v>非預購款</v>
      </c>
    </row>
    <row r="212" spans="1:60" x14ac:dyDescent="0.25">
      <c r="A212" t="s">
        <v>863</v>
      </c>
      <c r="B212" t="s">
        <v>226</v>
      </c>
      <c r="C212" t="s">
        <v>864</v>
      </c>
      <c r="D212" t="s">
        <v>865</v>
      </c>
      <c r="E212" t="s">
        <v>866</v>
      </c>
      <c r="F212" t="s">
        <v>95</v>
      </c>
      <c r="G212" t="s">
        <v>867</v>
      </c>
      <c r="H212" t="s">
        <v>132</v>
      </c>
      <c r="I212" t="s">
        <v>134</v>
      </c>
      <c r="J212" t="s">
        <v>135</v>
      </c>
      <c r="K212" t="s">
        <v>69</v>
      </c>
      <c r="L212" t="s">
        <v>868</v>
      </c>
      <c r="M212" t="s">
        <v>71</v>
      </c>
      <c r="N212" t="s">
        <v>100</v>
      </c>
      <c r="O212" t="s">
        <v>524</v>
      </c>
      <c r="P212" t="s">
        <v>525</v>
      </c>
      <c r="R212" t="s">
        <v>526</v>
      </c>
      <c r="S212" t="s">
        <v>103</v>
      </c>
      <c r="T212" t="s">
        <v>76</v>
      </c>
      <c r="U212" t="s">
        <v>146</v>
      </c>
      <c r="V212" t="s">
        <v>321</v>
      </c>
      <c r="W212">
        <v>990</v>
      </c>
      <c r="X212">
        <v>39.99</v>
      </c>
      <c r="Y212">
        <v>129</v>
      </c>
      <c r="Z212">
        <v>709000</v>
      </c>
      <c r="AA212">
        <v>262350</v>
      </c>
      <c r="AB212">
        <v>388</v>
      </c>
      <c r="AD212" t="s">
        <v>238</v>
      </c>
      <c r="AE212">
        <v>1</v>
      </c>
      <c r="AF212">
        <v>0</v>
      </c>
      <c r="AI212">
        <v>10</v>
      </c>
      <c r="AJ212">
        <v>30</v>
      </c>
      <c r="AK212">
        <v>40</v>
      </c>
      <c r="AL212">
        <v>265</v>
      </c>
      <c r="AM212">
        <v>48</v>
      </c>
      <c r="AN212">
        <v>1</v>
      </c>
      <c r="AO212">
        <v>49</v>
      </c>
      <c r="AP212" t="s">
        <v>80</v>
      </c>
      <c r="AQ212" t="s">
        <v>624</v>
      </c>
      <c r="AR212" t="s">
        <v>86</v>
      </c>
      <c r="AS212" t="s">
        <v>86</v>
      </c>
      <c r="AT212" t="s">
        <v>240</v>
      </c>
      <c r="AU212" t="s">
        <v>86</v>
      </c>
      <c r="AV212" t="s">
        <v>869</v>
      </c>
      <c r="AW212" t="s">
        <v>69</v>
      </c>
      <c r="AX212" t="s">
        <v>870</v>
      </c>
      <c r="AY212" t="s">
        <v>871</v>
      </c>
      <c r="AZ212" t="s">
        <v>264</v>
      </c>
      <c r="BA212" t="s">
        <v>244</v>
      </c>
      <c r="BB212" t="s">
        <v>245</v>
      </c>
      <c r="BC212" t="s">
        <v>245</v>
      </c>
      <c r="BD212" t="s">
        <v>875</v>
      </c>
      <c r="BE212" t="s">
        <v>873</v>
      </c>
      <c r="BF212" t="s">
        <v>86</v>
      </c>
      <c r="BG212" t="s">
        <v>110</v>
      </c>
      <c r="BH212" t="str">
        <f>IF(COUNTIF(工作表1!A:A, $C212)&gt;0, "預購款", "非預購款")</f>
        <v>非預購款</v>
      </c>
    </row>
    <row r="213" spans="1:60" x14ac:dyDescent="0.25">
      <c r="A213" t="s">
        <v>877</v>
      </c>
      <c r="B213" t="s">
        <v>301</v>
      </c>
      <c r="C213" t="s">
        <v>878</v>
      </c>
      <c r="D213" t="s">
        <v>879</v>
      </c>
      <c r="E213" t="s">
        <v>880</v>
      </c>
      <c r="F213" t="s">
        <v>95</v>
      </c>
      <c r="G213" t="s">
        <v>881</v>
      </c>
      <c r="H213" t="s">
        <v>119</v>
      </c>
      <c r="I213" t="s">
        <v>162</v>
      </c>
      <c r="J213" t="s">
        <v>163</v>
      </c>
      <c r="K213" t="s">
        <v>69</v>
      </c>
      <c r="L213" t="s">
        <v>882</v>
      </c>
      <c r="M213" t="s">
        <v>71</v>
      </c>
      <c r="N213" t="s">
        <v>100</v>
      </c>
      <c r="O213" t="s">
        <v>101</v>
      </c>
      <c r="P213" t="s">
        <v>102</v>
      </c>
      <c r="R213" t="s">
        <v>734</v>
      </c>
      <c r="S213" t="s">
        <v>103</v>
      </c>
      <c r="T213" t="s">
        <v>76</v>
      </c>
      <c r="U213" t="s">
        <v>150</v>
      </c>
      <c r="V213" t="s">
        <v>366</v>
      </c>
      <c r="W213">
        <v>690</v>
      </c>
      <c r="X213">
        <v>29.99</v>
      </c>
      <c r="Y213">
        <v>89</v>
      </c>
      <c r="Z213">
        <v>499000</v>
      </c>
      <c r="AA213">
        <v>231150</v>
      </c>
      <c r="AB213">
        <v>250</v>
      </c>
      <c r="AD213" t="s">
        <v>238</v>
      </c>
      <c r="AE213">
        <v>1</v>
      </c>
      <c r="AF213">
        <v>5</v>
      </c>
      <c r="AI213">
        <v>30</v>
      </c>
      <c r="AJ213">
        <v>150</v>
      </c>
      <c r="AK213">
        <v>185</v>
      </c>
      <c r="AL213">
        <v>335</v>
      </c>
      <c r="AM213">
        <v>200</v>
      </c>
      <c r="AN213">
        <v>0</v>
      </c>
      <c r="AO213">
        <v>200</v>
      </c>
      <c r="AP213" t="s">
        <v>80</v>
      </c>
      <c r="AQ213" t="s">
        <v>630</v>
      </c>
      <c r="AR213" t="s">
        <v>86</v>
      </c>
      <c r="AS213" t="s">
        <v>86</v>
      </c>
      <c r="AT213" t="s">
        <v>86</v>
      </c>
      <c r="AU213" t="s">
        <v>86</v>
      </c>
      <c r="AV213" t="s">
        <v>308</v>
      </c>
      <c r="AW213" t="s">
        <v>69</v>
      </c>
      <c r="AX213" t="s">
        <v>126</v>
      </c>
      <c r="AY213" t="s">
        <v>883</v>
      </c>
      <c r="AZ213" t="s">
        <v>310</v>
      </c>
      <c r="BA213" t="s">
        <v>244</v>
      </c>
      <c r="BB213" t="s">
        <v>244</v>
      </c>
      <c r="BC213" t="s">
        <v>264</v>
      </c>
      <c r="BD213" t="s">
        <v>884</v>
      </c>
      <c r="BE213" t="s">
        <v>885</v>
      </c>
      <c r="BF213" t="s">
        <v>86</v>
      </c>
      <c r="BG213" t="s">
        <v>87</v>
      </c>
      <c r="BH213" t="str">
        <f>IF(COUNTIF(工作表1!A:A, $C213)&gt;0, "預購款", "非預購款")</f>
        <v>非預購款</v>
      </c>
    </row>
    <row r="214" spans="1:60" x14ac:dyDescent="0.25">
      <c r="A214" t="s">
        <v>877</v>
      </c>
      <c r="B214" t="s">
        <v>301</v>
      </c>
      <c r="C214" t="s">
        <v>878</v>
      </c>
      <c r="D214" t="s">
        <v>879</v>
      </c>
      <c r="E214" t="s">
        <v>880</v>
      </c>
      <c r="F214" t="s">
        <v>95</v>
      </c>
      <c r="G214" t="s">
        <v>881</v>
      </c>
      <c r="H214" t="s">
        <v>130</v>
      </c>
      <c r="I214" t="s">
        <v>162</v>
      </c>
      <c r="J214" t="s">
        <v>163</v>
      </c>
      <c r="K214" t="s">
        <v>69</v>
      </c>
      <c r="L214" t="s">
        <v>882</v>
      </c>
      <c r="M214" t="s">
        <v>71</v>
      </c>
      <c r="N214" t="s">
        <v>100</v>
      </c>
      <c r="O214" t="s">
        <v>101</v>
      </c>
      <c r="P214" t="s">
        <v>102</v>
      </c>
      <c r="R214" t="s">
        <v>734</v>
      </c>
      <c r="S214" t="s">
        <v>103</v>
      </c>
      <c r="T214" t="s">
        <v>76</v>
      </c>
      <c r="U214" t="s">
        <v>150</v>
      </c>
      <c r="V214" t="s">
        <v>366</v>
      </c>
      <c r="W214">
        <v>690</v>
      </c>
      <c r="X214">
        <v>29.99</v>
      </c>
      <c r="Y214">
        <v>89</v>
      </c>
      <c r="Z214">
        <v>499000</v>
      </c>
      <c r="AA214">
        <v>231150</v>
      </c>
      <c r="AB214">
        <v>250</v>
      </c>
      <c r="AD214" t="s">
        <v>238</v>
      </c>
      <c r="AE214">
        <v>1</v>
      </c>
      <c r="AF214">
        <v>0</v>
      </c>
      <c r="AI214">
        <v>20</v>
      </c>
      <c r="AJ214">
        <v>130</v>
      </c>
      <c r="AK214">
        <v>150</v>
      </c>
      <c r="AL214">
        <v>335</v>
      </c>
      <c r="AM214">
        <v>159</v>
      </c>
      <c r="AN214">
        <v>0</v>
      </c>
      <c r="AO214">
        <v>159</v>
      </c>
      <c r="AP214" t="s">
        <v>80</v>
      </c>
      <c r="AQ214" t="s">
        <v>630</v>
      </c>
      <c r="AR214" t="s">
        <v>86</v>
      </c>
      <c r="AS214" t="s">
        <v>86</v>
      </c>
      <c r="AT214" t="s">
        <v>86</v>
      </c>
      <c r="AU214" t="s">
        <v>86</v>
      </c>
      <c r="AV214" t="s">
        <v>308</v>
      </c>
      <c r="AW214" t="s">
        <v>69</v>
      </c>
      <c r="AX214" t="s">
        <v>126</v>
      </c>
      <c r="AY214" t="s">
        <v>883</v>
      </c>
      <c r="AZ214" t="s">
        <v>310</v>
      </c>
      <c r="BA214" t="s">
        <v>244</v>
      </c>
      <c r="BB214" t="s">
        <v>244</v>
      </c>
      <c r="BC214" t="s">
        <v>264</v>
      </c>
      <c r="BD214" t="s">
        <v>886</v>
      </c>
      <c r="BE214" t="s">
        <v>885</v>
      </c>
      <c r="BF214" t="s">
        <v>86</v>
      </c>
      <c r="BG214" t="s">
        <v>87</v>
      </c>
      <c r="BH214" t="str">
        <f>IF(COUNTIF(工作表1!A:A, $C214)&gt;0, "預購款", "非預購款")</f>
        <v>非預購款</v>
      </c>
    </row>
    <row r="215" spans="1:60" x14ac:dyDescent="0.25">
      <c r="A215" t="s">
        <v>887</v>
      </c>
      <c r="B215" t="s">
        <v>315</v>
      </c>
      <c r="C215" t="s">
        <v>888</v>
      </c>
      <c r="D215" t="s">
        <v>889</v>
      </c>
      <c r="E215" t="s">
        <v>890</v>
      </c>
      <c r="F215" t="s">
        <v>95</v>
      </c>
      <c r="G215" t="s">
        <v>891</v>
      </c>
      <c r="H215" t="s">
        <v>119</v>
      </c>
      <c r="I215" t="s">
        <v>134</v>
      </c>
      <c r="J215" t="s">
        <v>135</v>
      </c>
      <c r="K215" t="s">
        <v>80</v>
      </c>
      <c r="L215" t="s">
        <v>892</v>
      </c>
      <c r="M215" t="s">
        <v>71</v>
      </c>
      <c r="N215" t="s">
        <v>100</v>
      </c>
      <c r="O215" t="s">
        <v>524</v>
      </c>
      <c r="P215" t="s">
        <v>525</v>
      </c>
      <c r="R215" t="s">
        <v>526</v>
      </c>
      <c r="S215" t="s">
        <v>103</v>
      </c>
      <c r="T215" t="s">
        <v>291</v>
      </c>
      <c r="U215" t="s">
        <v>77</v>
      </c>
      <c r="V215" t="s">
        <v>78</v>
      </c>
      <c r="W215">
        <v>890</v>
      </c>
      <c r="X215">
        <v>39.99</v>
      </c>
      <c r="Y215">
        <v>115</v>
      </c>
      <c r="Z215">
        <v>639000</v>
      </c>
      <c r="AA215">
        <v>89000</v>
      </c>
      <c r="AB215">
        <v>490</v>
      </c>
      <c r="AD215" t="s">
        <v>238</v>
      </c>
      <c r="AE215">
        <v>1</v>
      </c>
      <c r="AF215">
        <v>0</v>
      </c>
      <c r="AI215">
        <v>0</v>
      </c>
      <c r="AJ215">
        <v>40</v>
      </c>
      <c r="AK215">
        <v>40</v>
      </c>
      <c r="AL215">
        <v>100</v>
      </c>
      <c r="AM215">
        <v>48</v>
      </c>
      <c r="AN215">
        <v>0</v>
      </c>
      <c r="AO215">
        <v>48</v>
      </c>
      <c r="AP215" t="s">
        <v>80</v>
      </c>
      <c r="AQ215" t="s">
        <v>125</v>
      </c>
      <c r="AT215" t="s">
        <v>86</v>
      </c>
      <c r="AU215" t="s">
        <v>86</v>
      </c>
      <c r="AV215" t="s">
        <v>893</v>
      </c>
      <c r="AW215" t="s">
        <v>69</v>
      </c>
      <c r="AX215" t="s">
        <v>894</v>
      </c>
      <c r="AY215" t="s">
        <v>895</v>
      </c>
      <c r="AZ215" t="s">
        <v>243</v>
      </c>
      <c r="BA215" t="s">
        <v>245</v>
      </c>
      <c r="BB215" t="s">
        <v>245</v>
      </c>
      <c r="BC215" t="s">
        <v>264</v>
      </c>
      <c r="BD215" t="s">
        <v>896</v>
      </c>
      <c r="BE215" t="s">
        <v>897</v>
      </c>
      <c r="BF215" t="s">
        <v>291</v>
      </c>
      <c r="BG215" t="s">
        <v>150</v>
      </c>
      <c r="BH215" t="str">
        <f>IF(COUNTIF(工作表1!A:A, $C215)&gt;0, "預購款", "非預購款")</f>
        <v>非預購款</v>
      </c>
    </row>
    <row r="216" spans="1:60" x14ac:dyDescent="0.25">
      <c r="A216" t="s">
        <v>887</v>
      </c>
      <c r="B216" t="s">
        <v>315</v>
      </c>
      <c r="C216" t="s">
        <v>888</v>
      </c>
      <c r="D216" t="s">
        <v>889</v>
      </c>
      <c r="E216" t="s">
        <v>890</v>
      </c>
      <c r="F216" t="s">
        <v>95</v>
      </c>
      <c r="G216" t="s">
        <v>891</v>
      </c>
      <c r="H216" t="s">
        <v>130</v>
      </c>
      <c r="I216" t="s">
        <v>134</v>
      </c>
      <c r="J216" t="s">
        <v>135</v>
      </c>
      <c r="K216" t="s">
        <v>80</v>
      </c>
      <c r="L216" t="s">
        <v>892</v>
      </c>
      <c r="M216" t="s">
        <v>71</v>
      </c>
      <c r="N216" t="s">
        <v>100</v>
      </c>
      <c r="O216" t="s">
        <v>524</v>
      </c>
      <c r="P216" t="s">
        <v>525</v>
      </c>
      <c r="R216" t="s">
        <v>526</v>
      </c>
      <c r="S216" t="s">
        <v>103</v>
      </c>
      <c r="T216" t="s">
        <v>291</v>
      </c>
      <c r="U216" t="s">
        <v>77</v>
      </c>
      <c r="V216" t="s">
        <v>78</v>
      </c>
      <c r="W216">
        <v>890</v>
      </c>
      <c r="X216">
        <v>39.99</v>
      </c>
      <c r="Y216">
        <v>115</v>
      </c>
      <c r="Z216">
        <v>639000</v>
      </c>
      <c r="AA216">
        <v>89000</v>
      </c>
      <c r="AB216">
        <v>490</v>
      </c>
      <c r="AD216" t="s">
        <v>238</v>
      </c>
      <c r="AE216">
        <v>1</v>
      </c>
      <c r="AF216">
        <v>0</v>
      </c>
      <c r="AI216">
        <v>0</v>
      </c>
      <c r="AJ216">
        <v>30</v>
      </c>
      <c r="AK216">
        <v>30</v>
      </c>
      <c r="AL216">
        <v>100</v>
      </c>
      <c r="AM216">
        <v>39</v>
      </c>
      <c r="AN216">
        <v>0</v>
      </c>
      <c r="AO216">
        <v>39</v>
      </c>
      <c r="AP216" t="s">
        <v>80</v>
      </c>
      <c r="AQ216" t="s">
        <v>125</v>
      </c>
      <c r="AT216" t="s">
        <v>86</v>
      </c>
      <c r="AU216" t="s">
        <v>86</v>
      </c>
      <c r="AV216" t="s">
        <v>893</v>
      </c>
      <c r="AW216" t="s">
        <v>69</v>
      </c>
      <c r="AX216" t="s">
        <v>894</v>
      </c>
      <c r="AY216" t="s">
        <v>895</v>
      </c>
      <c r="AZ216" t="s">
        <v>243</v>
      </c>
      <c r="BA216" t="s">
        <v>245</v>
      </c>
      <c r="BB216" t="s">
        <v>245</v>
      </c>
      <c r="BC216" t="s">
        <v>264</v>
      </c>
      <c r="BD216" t="s">
        <v>898</v>
      </c>
      <c r="BE216" t="s">
        <v>897</v>
      </c>
      <c r="BF216" t="s">
        <v>291</v>
      </c>
      <c r="BG216" t="s">
        <v>150</v>
      </c>
      <c r="BH216" t="str">
        <f>IF(COUNTIF(工作表1!A:A, $C216)&gt;0, "預購款", "非預購款")</f>
        <v>非預購款</v>
      </c>
    </row>
    <row r="217" spans="1:60" x14ac:dyDescent="0.25">
      <c r="A217" t="s">
        <v>887</v>
      </c>
      <c r="B217" t="s">
        <v>315</v>
      </c>
      <c r="C217" t="s">
        <v>888</v>
      </c>
      <c r="D217" t="s">
        <v>889</v>
      </c>
      <c r="E217" t="s">
        <v>890</v>
      </c>
      <c r="F217" t="s">
        <v>95</v>
      </c>
      <c r="G217" t="s">
        <v>891</v>
      </c>
      <c r="H217" t="s">
        <v>132</v>
      </c>
      <c r="I217" t="s">
        <v>134</v>
      </c>
      <c r="J217" t="s">
        <v>135</v>
      </c>
      <c r="K217" t="s">
        <v>80</v>
      </c>
      <c r="L217" t="s">
        <v>892</v>
      </c>
      <c r="M217" t="s">
        <v>71</v>
      </c>
      <c r="N217" t="s">
        <v>100</v>
      </c>
      <c r="O217" t="s">
        <v>524</v>
      </c>
      <c r="P217" t="s">
        <v>525</v>
      </c>
      <c r="R217" t="s">
        <v>526</v>
      </c>
      <c r="S217" t="s">
        <v>103</v>
      </c>
      <c r="T217" t="s">
        <v>291</v>
      </c>
      <c r="U217" t="s">
        <v>77</v>
      </c>
      <c r="V217" t="s">
        <v>78</v>
      </c>
      <c r="W217">
        <v>890</v>
      </c>
      <c r="X217">
        <v>39.99</v>
      </c>
      <c r="Y217">
        <v>115</v>
      </c>
      <c r="Z217">
        <v>639000</v>
      </c>
      <c r="AA217">
        <v>89000</v>
      </c>
      <c r="AB217">
        <v>490</v>
      </c>
      <c r="AD217" t="s">
        <v>238</v>
      </c>
      <c r="AE217">
        <v>1</v>
      </c>
      <c r="AF217">
        <v>0</v>
      </c>
      <c r="AI217">
        <v>10</v>
      </c>
      <c r="AJ217">
        <v>20</v>
      </c>
      <c r="AK217">
        <v>30</v>
      </c>
      <c r="AL217">
        <v>100</v>
      </c>
      <c r="AM217">
        <v>39</v>
      </c>
      <c r="AN217">
        <v>0</v>
      </c>
      <c r="AO217">
        <v>39</v>
      </c>
      <c r="AP217" t="s">
        <v>80</v>
      </c>
      <c r="AQ217" t="s">
        <v>125</v>
      </c>
      <c r="AT217" t="s">
        <v>86</v>
      </c>
      <c r="AU217" t="s">
        <v>86</v>
      </c>
      <c r="AV217" t="s">
        <v>893</v>
      </c>
      <c r="AW217" t="s">
        <v>69</v>
      </c>
      <c r="AX217" t="s">
        <v>894</v>
      </c>
      <c r="AY217" t="s">
        <v>895</v>
      </c>
      <c r="AZ217" t="s">
        <v>243</v>
      </c>
      <c r="BA217" t="s">
        <v>245</v>
      </c>
      <c r="BB217" t="s">
        <v>245</v>
      </c>
      <c r="BC217" t="s">
        <v>264</v>
      </c>
      <c r="BD217" t="s">
        <v>899</v>
      </c>
      <c r="BE217" t="s">
        <v>897</v>
      </c>
      <c r="BF217" t="s">
        <v>291</v>
      </c>
      <c r="BG217" t="s">
        <v>150</v>
      </c>
      <c r="BH217" t="str">
        <f>IF(COUNTIF(工作表1!A:A, $C217)&gt;0, "預購款", "非預購款")</f>
        <v>非預購款</v>
      </c>
    </row>
    <row r="218" spans="1:60" x14ac:dyDescent="0.25">
      <c r="A218" t="s">
        <v>900</v>
      </c>
      <c r="B218" t="s">
        <v>315</v>
      </c>
      <c r="C218" t="s">
        <v>901</v>
      </c>
      <c r="D218" t="s">
        <v>902</v>
      </c>
      <c r="E218" t="s">
        <v>903</v>
      </c>
      <c r="F218" t="s">
        <v>95</v>
      </c>
      <c r="G218" t="s">
        <v>904</v>
      </c>
      <c r="H218" t="s">
        <v>119</v>
      </c>
      <c r="I218" t="s">
        <v>97</v>
      </c>
      <c r="J218" t="s">
        <v>98</v>
      </c>
      <c r="K218" t="s">
        <v>69</v>
      </c>
      <c r="L218" t="s">
        <v>905</v>
      </c>
      <c r="M218" t="s">
        <v>71</v>
      </c>
      <c r="N218" t="s">
        <v>100</v>
      </c>
      <c r="O218" t="s">
        <v>101</v>
      </c>
      <c r="P218" t="s">
        <v>102</v>
      </c>
      <c r="R218" t="s">
        <v>734</v>
      </c>
      <c r="S218" t="s">
        <v>103</v>
      </c>
      <c r="T218" t="s">
        <v>76</v>
      </c>
      <c r="U218" t="s">
        <v>104</v>
      </c>
      <c r="V218" t="s">
        <v>593</v>
      </c>
      <c r="W218">
        <v>490</v>
      </c>
      <c r="X218">
        <v>22.99</v>
      </c>
      <c r="Y218">
        <v>60</v>
      </c>
      <c r="Z218">
        <v>355000</v>
      </c>
      <c r="AA218">
        <v>188650</v>
      </c>
      <c r="AB218">
        <v>160</v>
      </c>
      <c r="AD218" t="s">
        <v>238</v>
      </c>
      <c r="AE218">
        <v>1</v>
      </c>
      <c r="AF218">
        <v>10</v>
      </c>
      <c r="AI218">
        <v>20</v>
      </c>
      <c r="AJ218">
        <v>130</v>
      </c>
      <c r="AK218">
        <v>160</v>
      </c>
      <c r="AL218">
        <v>385</v>
      </c>
      <c r="AM218">
        <v>169</v>
      </c>
      <c r="AN218">
        <v>0</v>
      </c>
      <c r="AO218">
        <v>169</v>
      </c>
      <c r="AP218" t="s">
        <v>80</v>
      </c>
      <c r="AQ218" t="s">
        <v>125</v>
      </c>
      <c r="AR218" t="s">
        <v>86</v>
      </c>
      <c r="AS218" t="s">
        <v>86</v>
      </c>
      <c r="AT218" t="s">
        <v>86</v>
      </c>
      <c r="AU218" t="s">
        <v>86</v>
      </c>
      <c r="AV218" t="s">
        <v>81</v>
      </c>
      <c r="AW218" t="s">
        <v>69</v>
      </c>
      <c r="AX218" t="s">
        <v>126</v>
      </c>
      <c r="AY218" t="s">
        <v>906</v>
      </c>
      <c r="AZ218" t="s">
        <v>245</v>
      </c>
      <c r="BA218" t="s">
        <v>244</v>
      </c>
      <c r="BB218" t="s">
        <v>244</v>
      </c>
      <c r="BC218" t="s">
        <v>244</v>
      </c>
      <c r="BD218" t="s">
        <v>907</v>
      </c>
      <c r="BE218" t="s">
        <v>908</v>
      </c>
      <c r="BF218" t="s">
        <v>86</v>
      </c>
      <c r="BG218" t="s">
        <v>150</v>
      </c>
      <c r="BH218" t="str">
        <f>IF(COUNTIF(工作表1!A:A, $C218)&gt;0, "預購款", "非預購款")</f>
        <v>非預購款</v>
      </c>
    </row>
    <row r="219" spans="1:60" x14ac:dyDescent="0.25">
      <c r="A219" t="s">
        <v>900</v>
      </c>
      <c r="B219" t="s">
        <v>315</v>
      </c>
      <c r="C219" t="s">
        <v>901</v>
      </c>
      <c r="D219" t="s">
        <v>902</v>
      </c>
      <c r="E219" t="s">
        <v>903</v>
      </c>
      <c r="F219" t="s">
        <v>95</v>
      </c>
      <c r="G219" t="s">
        <v>904</v>
      </c>
      <c r="H219" t="s">
        <v>130</v>
      </c>
      <c r="I219" t="s">
        <v>97</v>
      </c>
      <c r="J219" t="s">
        <v>98</v>
      </c>
      <c r="K219" t="s">
        <v>69</v>
      </c>
      <c r="L219" t="s">
        <v>905</v>
      </c>
      <c r="M219" t="s">
        <v>71</v>
      </c>
      <c r="N219" t="s">
        <v>100</v>
      </c>
      <c r="O219" t="s">
        <v>101</v>
      </c>
      <c r="P219" t="s">
        <v>102</v>
      </c>
      <c r="R219" t="s">
        <v>734</v>
      </c>
      <c r="S219" t="s">
        <v>103</v>
      </c>
      <c r="T219" t="s">
        <v>76</v>
      </c>
      <c r="U219" t="s">
        <v>104</v>
      </c>
      <c r="V219" t="s">
        <v>593</v>
      </c>
      <c r="W219">
        <v>490</v>
      </c>
      <c r="X219">
        <v>22.99</v>
      </c>
      <c r="Y219">
        <v>60</v>
      </c>
      <c r="Z219">
        <v>355000</v>
      </c>
      <c r="AA219">
        <v>188650</v>
      </c>
      <c r="AB219">
        <v>160</v>
      </c>
      <c r="AD219" t="s">
        <v>238</v>
      </c>
      <c r="AE219">
        <v>1</v>
      </c>
      <c r="AF219">
        <v>5</v>
      </c>
      <c r="AI219">
        <v>10</v>
      </c>
      <c r="AJ219">
        <v>145</v>
      </c>
      <c r="AK219">
        <v>160</v>
      </c>
      <c r="AL219">
        <v>385</v>
      </c>
      <c r="AM219">
        <v>170</v>
      </c>
      <c r="AN219">
        <v>0</v>
      </c>
      <c r="AO219">
        <v>170</v>
      </c>
      <c r="AP219" t="s">
        <v>80</v>
      </c>
      <c r="AQ219" t="s">
        <v>125</v>
      </c>
      <c r="AR219" t="s">
        <v>86</v>
      </c>
      <c r="AS219" t="s">
        <v>86</v>
      </c>
      <c r="AT219" t="s">
        <v>86</v>
      </c>
      <c r="AU219" t="s">
        <v>86</v>
      </c>
      <c r="AV219" t="s">
        <v>81</v>
      </c>
      <c r="AW219" t="s">
        <v>69</v>
      </c>
      <c r="AX219" t="s">
        <v>126</v>
      </c>
      <c r="AY219" t="s">
        <v>906</v>
      </c>
      <c r="AZ219" t="s">
        <v>245</v>
      </c>
      <c r="BA219" t="s">
        <v>244</v>
      </c>
      <c r="BB219" t="s">
        <v>244</v>
      </c>
      <c r="BC219" t="s">
        <v>244</v>
      </c>
      <c r="BD219" t="s">
        <v>909</v>
      </c>
      <c r="BE219" t="s">
        <v>908</v>
      </c>
      <c r="BF219" t="s">
        <v>86</v>
      </c>
      <c r="BG219" t="s">
        <v>150</v>
      </c>
      <c r="BH219" t="str">
        <f>IF(COUNTIF(工作表1!A:A, $C219)&gt;0, "預購款", "非預購款")</f>
        <v>非預購款</v>
      </c>
    </row>
    <row r="220" spans="1:60" x14ac:dyDescent="0.25">
      <c r="A220" t="s">
        <v>900</v>
      </c>
      <c r="B220" t="s">
        <v>315</v>
      </c>
      <c r="C220" t="s">
        <v>901</v>
      </c>
      <c r="D220" t="s">
        <v>902</v>
      </c>
      <c r="E220" t="s">
        <v>903</v>
      </c>
      <c r="F220" t="s">
        <v>95</v>
      </c>
      <c r="G220" t="s">
        <v>904</v>
      </c>
      <c r="H220" t="s">
        <v>132</v>
      </c>
      <c r="I220" t="s">
        <v>97</v>
      </c>
      <c r="J220" t="s">
        <v>98</v>
      </c>
      <c r="K220" t="s">
        <v>69</v>
      </c>
      <c r="L220" t="s">
        <v>905</v>
      </c>
      <c r="M220" t="s">
        <v>71</v>
      </c>
      <c r="N220" t="s">
        <v>100</v>
      </c>
      <c r="O220" t="s">
        <v>101</v>
      </c>
      <c r="P220" t="s">
        <v>102</v>
      </c>
      <c r="R220" t="s">
        <v>734</v>
      </c>
      <c r="S220" t="s">
        <v>103</v>
      </c>
      <c r="T220" t="s">
        <v>76</v>
      </c>
      <c r="U220" t="s">
        <v>104</v>
      </c>
      <c r="V220" t="s">
        <v>593</v>
      </c>
      <c r="W220">
        <v>490</v>
      </c>
      <c r="X220">
        <v>22.99</v>
      </c>
      <c r="Y220">
        <v>60</v>
      </c>
      <c r="Z220">
        <v>355000</v>
      </c>
      <c r="AA220">
        <v>188650</v>
      </c>
      <c r="AB220">
        <v>160</v>
      </c>
      <c r="AD220" t="s">
        <v>238</v>
      </c>
      <c r="AE220">
        <v>1</v>
      </c>
      <c r="AF220">
        <v>0</v>
      </c>
      <c r="AI220">
        <v>10</v>
      </c>
      <c r="AJ220">
        <v>55</v>
      </c>
      <c r="AK220">
        <v>65</v>
      </c>
      <c r="AL220">
        <v>385</v>
      </c>
      <c r="AM220">
        <v>74</v>
      </c>
      <c r="AN220">
        <v>1</v>
      </c>
      <c r="AO220">
        <v>75</v>
      </c>
      <c r="AP220" t="s">
        <v>80</v>
      </c>
      <c r="AQ220" t="s">
        <v>125</v>
      </c>
      <c r="AR220" t="s">
        <v>86</v>
      </c>
      <c r="AS220" t="s">
        <v>86</v>
      </c>
      <c r="AT220" t="s">
        <v>86</v>
      </c>
      <c r="AU220" t="s">
        <v>86</v>
      </c>
      <c r="AV220" t="s">
        <v>81</v>
      </c>
      <c r="AW220" t="s">
        <v>69</v>
      </c>
      <c r="AX220" t="s">
        <v>126</v>
      </c>
      <c r="AY220" t="s">
        <v>906</v>
      </c>
      <c r="AZ220" t="s">
        <v>245</v>
      </c>
      <c r="BA220" t="s">
        <v>244</v>
      </c>
      <c r="BB220" t="s">
        <v>244</v>
      </c>
      <c r="BC220" t="s">
        <v>244</v>
      </c>
      <c r="BD220" t="s">
        <v>910</v>
      </c>
      <c r="BE220" t="s">
        <v>908</v>
      </c>
      <c r="BF220" t="s">
        <v>86</v>
      </c>
      <c r="BG220" t="s">
        <v>150</v>
      </c>
      <c r="BH220" t="str">
        <f>IF(COUNTIF(工作表1!A:A, $C220)&gt;0, "預購款", "非預購款")</f>
        <v>非預購款</v>
      </c>
    </row>
    <row r="221" spans="1:60" x14ac:dyDescent="0.25">
      <c r="A221" t="s">
        <v>911</v>
      </c>
      <c r="B221" t="s">
        <v>315</v>
      </c>
      <c r="C221" t="s">
        <v>912</v>
      </c>
      <c r="D221" t="s">
        <v>913</v>
      </c>
      <c r="E221" t="s">
        <v>914</v>
      </c>
      <c r="F221" t="s">
        <v>95</v>
      </c>
      <c r="G221" t="s">
        <v>915</v>
      </c>
      <c r="H221" t="s">
        <v>119</v>
      </c>
      <c r="I221" t="s">
        <v>111</v>
      </c>
      <c r="J221" t="s">
        <v>112</v>
      </c>
      <c r="K221" t="s">
        <v>69</v>
      </c>
      <c r="L221" t="s">
        <v>916</v>
      </c>
      <c r="M221" t="s">
        <v>71</v>
      </c>
      <c r="N221" t="s">
        <v>100</v>
      </c>
      <c r="O221" t="s">
        <v>101</v>
      </c>
      <c r="P221" t="s">
        <v>102</v>
      </c>
      <c r="R221" t="s">
        <v>734</v>
      </c>
      <c r="S221" t="s">
        <v>103</v>
      </c>
      <c r="T221" t="s">
        <v>291</v>
      </c>
      <c r="U221" t="s">
        <v>146</v>
      </c>
      <c r="V221" t="s">
        <v>321</v>
      </c>
      <c r="W221">
        <v>790</v>
      </c>
      <c r="X221">
        <v>34.99</v>
      </c>
      <c r="Y221">
        <v>99</v>
      </c>
      <c r="Z221">
        <v>569000</v>
      </c>
      <c r="AA221">
        <v>240950</v>
      </c>
      <c r="AB221">
        <v>290</v>
      </c>
      <c r="AD221" t="s">
        <v>238</v>
      </c>
      <c r="AE221">
        <v>2</v>
      </c>
      <c r="AF221">
        <v>0</v>
      </c>
      <c r="AI221">
        <v>0</v>
      </c>
      <c r="AJ221">
        <v>80</v>
      </c>
      <c r="AK221">
        <v>80</v>
      </c>
      <c r="AL221">
        <v>305</v>
      </c>
      <c r="AM221">
        <v>86</v>
      </c>
      <c r="AN221">
        <v>0</v>
      </c>
      <c r="AO221">
        <v>86</v>
      </c>
      <c r="AP221" t="s">
        <v>80</v>
      </c>
      <c r="AQ221" t="s">
        <v>624</v>
      </c>
      <c r="AT221" t="s">
        <v>240</v>
      </c>
      <c r="AU221" t="s">
        <v>240</v>
      </c>
      <c r="AV221" t="s">
        <v>917</v>
      </c>
      <c r="AW221" t="s">
        <v>69</v>
      </c>
      <c r="AX221" t="s">
        <v>918</v>
      </c>
      <c r="AY221" t="s">
        <v>919</v>
      </c>
      <c r="AZ221" t="s">
        <v>264</v>
      </c>
      <c r="BA221" t="s">
        <v>244</v>
      </c>
      <c r="BB221" t="s">
        <v>245</v>
      </c>
      <c r="BC221" t="s">
        <v>243</v>
      </c>
      <c r="BD221" t="s">
        <v>920</v>
      </c>
      <c r="BE221" t="s">
        <v>921</v>
      </c>
      <c r="BF221" t="s">
        <v>291</v>
      </c>
      <c r="BG221" t="s">
        <v>110</v>
      </c>
      <c r="BH221" t="str">
        <f>IF(COUNTIF(工作表1!A:A, $C221)&gt;0, "預購款", "非預購款")</f>
        <v>非預購款</v>
      </c>
    </row>
    <row r="222" spans="1:60" x14ac:dyDescent="0.25">
      <c r="A222" t="s">
        <v>911</v>
      </c>
      <c r="B222" t="s">
        <v>315</v>
      </c>
      <c r="C222" t="s">
        <v>912</v>
      </c>
      <c r="D222" t="s">
        <v>913</v>
      </c>
      <c r="E222" t="s">
        <v>914</v>
      </c>
      <c r="F222" t="s">
        <v>95</v>
      </c>
      <c r="G222" t="s">
        <v>915</v>
      </c>
      <c r="H222" t="s">
        <v>130</v>
      </c>
      <c r="I222" t="s">
        <v>111</v>
      </c>
      <c r="J222" t="s">
        <v>112</v>
      </c>
      <c r="K222" t="s">
        <v>69</v>
      </c>
      <c r="L222" t="s">
        <v>916</v>
      </c>
      <c r="M222" t="s">
        <v>71</v>
      </c>
      <c r="N222" t="s">
        <v>100</v>
      </c>
      <c r="O222" t="s">
        <v>101</v>
      </c>
      <c r="P222" t="s">
        <v>102</v>
      </c>
      <c r="R222" t="s">
        <v>734</v>
      </c>
      <c r="S222" t="s">
        <v>103</v>
      </c>
      <c r="T222" t="s">
        <v>291</v>
      </c>
      <c r="U222" t="s">
        <v>146</v>
      </c>
      <c r="V222" t="s">
        <v>321</v>
      </c>
      <c r="W222">
        <v>790</v>
      </c>
      <c r="X222">
        <v>34.99</v>
      </c>
      <c r="Y222">
        <v>99</v>
      </c>
      <c r="Z222">
        <v>569000</v>
      </c>
      <c r="AA222">
        <v>240950</v>
      </c>
      <c r="AB222">
        <v>290</v>
      </c>
      <c r="AD222" t="s">
        <v>238</v>
      </c>
      <c r="AE222">
        <v>2</v>
      </c>
      <c r="AF222">
        <v>0</v>
      </c>
      <c r="AI222">
        <v>0</v>
      </c>
      <c r="AJ222">
        <v>50</v>
      </c>
      <c r="AK222">
        <v>50</v>
      </c>
      <c r="AL222">
        <v>305</v>
      </c>
      <c r="AM222">
        <v>55</v>
      </c>
      <c r="AN222">
        <v>0</v>
      </c>
      <c r="AO222">
        <v>55</v>
      </c>
      <c r="AP222" t="s">
        <v>80</v>
      </c>
      <c r="AQ222" t="s">
        <v>624</v>
      </c>
      <c r="AT222" t="s">
        <v>240</v>
      </c>
      <c r="AU222" t="s">
        <v>240</v>
      </c>
      <c r="AV222" t="s">
        <v>917</v>
      </c>
      <c r="AW222" t="s">
        <v>69</v>
      </c>
      <c r="AX222" t="s">
        <v>918</v>
      </c>
      <c r="AY222" t="s">
        <v>919</v>
      </c>
      <c r="AZ222" t="s">
        <v>264</v>
      </c>
      <c r="BA222" t="s">
        <v>244</v>
      </c>
      <c r="BB222" t="s">
        <v>245</v>
      </c>
      <c r="BC222" t="s">
        <v>243</v>
      </c>
      <c r="BD222" t="s">
        <v>922</v>
      </c>
      <c r="BE222" t="s">
        <v>921</v>
      </c>
      <c r="BF222" t="s">
        <v>291</v>
      </c>
      <c r="BG222" t="s">
        <v>110</v>
      </c>
      <c r="BH222" t="str">
        <f>IF(COUNTIF(工作表1!A:A, $C222)&gt;0, "預購款", "非預購款")</f>
        <v>非預購款</v>
      </c>
    </row>
    <row r="223" spans="1:60" x14ac:dyDescent="0.25">
      <c r="A223" t="s">
        <v>911</v>
      </c>
      <c r="B223" t="s">
        <v>315</v>
      </c>
      <c r="C223" t="s">
        <v>912</v>
      </c>
      <c r="D223" t="s">
        <v>913</v>
      </c>
      <c r="E223" t="s">
        <v>914</v>
      </c>
      <c r="F223" t="s">
        <v>95</v>
      </c>
      <c r="G223" t="s">
        <v>915</v>
      </c>
      <c r="H223" t="s">
        <v>132</v>
      </c>
      <c r="I223" t="s">
        <v>111</v>
      </c>
      <c r="J223" t="s">
        <v>112</v>
      </c>
      <c r="K223" t="s">
        <v>69</v>
      </c>
      <c r="L223" t="s">
        <v>916</v>
      </c>
      <c r="M223" t="s">
        <v>71</v>
      </c>
      <c r="N223" t="s">
        <v>100</v>
      </c>
      <c r="O223" t="s">
        <v>101</v>
      </c>
      <c r="P223" t="s">
        <v>102</v>
      </c>
      <c r="R223" t="s">
        <v>734</v>
      </c>
      <c r="S223" t="s">
        <v>103</v>
      </c>
      <c r="T223" t="s">
        <v>291</v>
      </c>
      <c r="U223" t="s">
        <v>146</v>
      </c>
      <c r="V223" t="s">
        <v>321</v>
      </c>
      <c r="W223">
        <v>790</v>
      </c>
      <c r="X223">
        <v>34.99</v>
      </c>
      <c r="Y223">
        <v>99</v>
      </c>
      <c r="Z223">
        <v>569000</v>
      </c>
      <c r="AA223">
        <v>240950</v>
      </c>
      <c r="AB223">
        <v>290</v>
      </c>
      <c r="AD223" t="s">
        <v>238</v>
      </c>
      <c r="AE223">
        <v>2</v>
      </c>
      <c r="AF223">
        <v>0</v>
      </c>
      <c r="AI223">
        <v>0</v>
      </c>
      <c r="AJ223">
        <v>15</v>
      </c>
      <c r="AK223">
        <v>15</v>
      </c>
      <c r="AL223">
        <v>305</v>
      </c>
      <c r="AM223">
        <v>22</v>
      </c>
      <c r="AN223">
        <v>0</v>
      </c>
      <c r="AO223">
        <v>22</v>
      </c>
      <c r="AP223" t="s">
        <v>80</v>
      </c>
      <c r="AQ223" t="s">
        <v>624</v>
      </c>
      <c r="AT223" t="s">
        <v>240</v>
      </c>
      <c r="AU223" t="s">
        <v>240</v>
      </c>
      <c r="AV223" t="s">
        <v>917</v>
      </c>
      <c r="AW223" t="s">
        <v>69</v>
      </c>
      <c r="AX223" t="s">
        <v>918</v>
      </c>
      <c r="AY223" t="s">
        <v>919</v>
      </c>
      <c r="AZ223" t="s">
        <v>264</v>
      </c>
      <c r="BA223" t="s">
        <v>244</v>
      </c>
      <c r="BB223" t="s">
        <v>245</v>
      </c>
      <c r="BC223" t="s">
        <v>243</v>
      </c>
      <c r="BD223" t="s">
        <v>923</v>
      </c>
      <c r="BE223" t="s">
        <v>921</v>
      </c>
      <c r="BF223" t="s">
        <v>291</v>
      </c>
      <c r="BG223" t="s">
        <v>110</v>
      </c>
      <c r="BH223" t="str">
        <f>IF(COUNTIF(工作表1!A:A, $C223)&gt;0, "預購款", "非預購款")</f>
        <v>非預購款</v>
      </c>
    </row>
    <row r="224" spans="1:60" x14ac:dyDescent="0.25">
      <c r="A224" t="s">
        <v>911</v>
      </c>
      <c r="B224" t="s">
        <v>315</v>
      </c>
      <c r="C224" t="s">
        <v>912</v>
      </c>
      <c r="D224" t="s">
        <v>913</v>
      </c>
      <c r="E224" t="s">
        <v>914</v>
      </c>
      <c r="F224" t="s">
        <v>95</v>
      </c>
      <c r="G224" t="s">
        <v>915</v>
      </c>
      <c r="H224" t="s">
        <v>119</v>
      </c>
      <c r="I224" t="s">
        <v>134</v>
      </c>
      <c r="J224" t="s">
        <v>135</v>
      </c>
      <c r="K224" t="s">
        <v>69</v>
      </c>
      <c r="L224" t="s">
        <v>916</v>
      </c>
      <c r="M224" t="s">
        <v>71</v>
      </c>
      <c r="N224" t="s">
        <v>100</v>
      </c>
      <c r="O224" t="s">
        <v>101</v>
      </c>
      <c r="P224" t="s">
        <v>102</v>
      </c>
      <c r="R224" t="s">
        <v>734</v>
      </c>
      <c r="S224" t="s">
        <v>103</v>
      </c>
      <c r="T224" t="s">
        <v>291</v>
      </c>
      <c r="U224" t="s">
        <v>146</v>
      </c>
      <c r="V224" t="s">
        <v>321</v>
      </c>
      <c r="W224">
        <v>790</v>
      </c>
      <c r="X224">
        <v>34.99</v>
      </c>
      <c r="Y224">
        <v>99</v>
      </c>
      <c r="Z224">
        <v>569000</v>
      </c>
      <c r="AA224">
        <v>240950</v>
      </c>
      <c r="AB224">
        <v>290</v>
      </c>
      <c r="AD224" t="s">
        <v>238</v>
      </c>
      <c r="AE224">
        <v>2</v>
      </c>
      <c r="AF224">
        <v>0</v>
      </c>
      <c r="AI224">
        <v>0</v>
      </c>
      <c r="AJ224">
        <v>80</v>
      </c>
      <c r="AK224">
        <v>80</v>
      </c>
      <c r="AL224">
        <v>305</v>
      </c>
      <c r="AM224">
        <v>80</v>
      </c>
      <c r="AN224">
        <v>0</v>
      </c>
      <c r="AO224">
        <v>80</v>
      </c>
      <c r="AP224" t="s">
        <v>80</v>
      </c>
      <c r="AQ224" t="s">
        <v>624</v>
      </c>
      <c r="AT224" t="s">
        <v>240</v>
      </c>
      <c r="AU224" t="s">
        <v>240</v>
      </c>
      <c r="AV224" t="s">
        <v>917</v>
      </c>
      <c r="AW224" t="s">
        <v>69</v>
      </c>
      <c r="AX224" t="s">
        <v>918</v>
      </c>
      <c r="AY224" t="s">
        <v>919</v>
      </c>
      <c r="AZ224" t="s">
        <v>264</v>
      </c>
      <c r="BA224" t="s">
        <v>244</v>
      </c>
      <c r="BB224" t="s">
        <v>245</v>
      </c>
      <c r="BC224" t="s">
        <v>243</v>
      </c>
      <c r="BD224" t="s">
        <v>924</v>
      </c>
      <c r="BE224" t="s">
        <v>921</v>
      </c>
      <c r="BF224" t="s">
        <v>291</v>
      </c>
      <c r="BG224" t="s">
        <v>110</v>
      </c>
      <c r="BH224" t="str">
        <f>IF(COUNTIF(工作表1!A:A, $C224)&gt;0, "預購款", "非預購款")</f>
        <v>非預購款</v>
      </c>
    </row>
    <row r="225" spans="1:60" x14ac:dyDescent="0.25">
      <c r="A225" t="s">
        <v>911</v>
      </c>
      <c r="B225" t="s">
        <v>315</v>
      </c>
      <c r="C225" t="s">
        <v>912</v>
      </c>
      <c r="D225" t="s">
        <v>913</v>
      </c>
      <c r="E225" t="s">
        <v>914</v>
      </c>
      <c r="F225" t="s">
        <v>95</v>
      </c>
      <c r="G225" t="s">
        <v>915</v>
      </c>
      <c r="H225" t="s">
        <v>130</v>
      </c>
      <c r="I225" t="s">
        <v>134</v>
      </c>
      <c r="J225" t="s">
        <v>135</v>
      </c>
      <c r="K225" t="s">
        <v>69</v>
      </c>
      <c r="L225" t="s">
        <v>916</v>
      </c>
      <c r="M225" t="s">
        <v>71</v>
      </c>
      <c r="N225" t="s">
        <v>100</v>
      </c>
      <c r="O225" t="s">
        <v>101</v>
      </c>
      <c r="P225" t="s">
        <v>102</v>
      </c>
      <c r="R225" t="s">
        <v>734</v>
      </c>
      <c r="S225" t="s">
        <v>103</v>
      </c>
      <c r="T225" t="s">
        <v>291</v>
      </c>
      <c r="U225" t="s">
        <v>146</v>
      </c>
      <c r="V225" t="s">
        <v>321</v>
      </c>
      <c r="W225">
        <v>790</v>
      </c>
      <c r="X225">
        <v>34.99</v>
      </c>
      <c r="Y225">
        <v>99</v>
      </c>
      <c r="Z225">
        <v>569000</v>
      </c>
      <c r="AA225">
        <v>240950</v>
      </c>
      <c r="AB225">
        <v>290</v>
      </c>
      <c r="AD225" t="s">
        <v>238</v>
      </c>
      <c r="AE225">
        <v>2</v>
      </c>
      <c r="AF225">
        <v>0</v>
      </c>
      <c r="AI225">
        <v>0</v>
      </c>
      <c r="AJ225">
        <v>55</v>
      </c>
      <c r="AK225">
        <v>55</v>
      </c>
      <c r="AL225">
        <v>305</v>
      </c>
      <c r="AM225">
        <v>56</v>
      </c>
      <c r="AN225">
        <v>0</v>
      </c>
      <c r="AO225">
        <v>56</v>
      </c>
      <c r="AP225" t="s">
        <v>80</v>
      </c>
      <c r="AQ225" t="s">
        <v>624</v>
      </c>
      <c r="AT225" t="s">
        <v>240</v>
      </c>
      <c r="AU225" t="s">
        <v>240</v>
      </c>
      <c r="AV225" t="s">
        <v>917</v>
      </c>
      <c r="AW225" t="s">
        <v>69</v>
      </c>
      <c r="AX225" t="s">
        <v>918</v>
      </c>
      <c r="AY225" t="s">
        <v>919</v>
      </c>
      <c r="AZ225" t="s">
        <v>264</v>
      </c>
      <c r="BA225" t="s">
        <v>244</v>
      </c>
      <c r="BB225" t="s">
        <v>245</v>
      </c>
      <c r="BC225" t="s">
        <v>243</v>
      </c>
      <c r="BD225" t="s">
        <v>925</v>
      </c>
      <c r="BE225" t="s">
        <v>921</v>
      </c>
      <c r="BF225" t="s">
        <v>291</v>
      </c>
      <c r="BG225" t="s">
        <v>110</v>
      </c>
      <c r="BH225" t="str">
        <f>IF(COUNTIF(工作表1!A:A, $C225)&gt;0, "預購款", "非預購款")</f>
        <v>非預購款</v>
      </c>
    </row>
    <row r="226" spans="1:60" x14ac:dyDescent="0.25">
      <c r="A226" t="s">
        <v>911</v>
      </c>
      <c r="B226" t="s">
        <v>315</v>
      </c>
      <c r="C226" t="s">
        <v>912</v>
      </c>
      <c r="D226" t="s">
        <v>913</v>
      </c>
      <c r="E226" t="s">
        <v>914</v>
      </c>
      <c r="F226" t="s">
        <v>95</v>
      </c>
      <c r="G226" t="s">
        <v>915</v>
      </c>
      <c r="H226" t="s">
        <v>132</v>
      </c>
      <c r="I226" t="s">
        <v>134</v>
      </c>
      <c r="J226" t="s">
        <v>135</v>
      </c>
      <c r="K226" t="s">
        <v>69</v>
      </c>
      <c r="L226" t="s">
        <v>916</v>
      </c>
      <c r="M226" t="s">
        <v>71</v>
      </c>
      <c r="N226" t="s">
        <v>100</v>
      </c>
      <c r="O226" t="s">
        <v>101</v>
      </c>
      <c r="P226" t="s">
        <v>102</v>
      </c>
      <c r="R226" t="s">
        <v>734</v>
      </c>
      <c r="S226" t="s">
        <v>103</v>
      </c>
      <c r="T226" t="s">
        <v>291</v>
      </c>
      <c r="U226" t="s">
        <v>146</v>
      </c>
      <c r="V226" t="s">
        <v>321</v>
      </c>
      <c r="W226">
        <v>790</v>
      </c>
      <c r="X226">
        <v>34.99</v>
      </c>
      <c r="Y226">
        <v>99</v>
      </c>
      <c r="Z226">
        <v>569000</v>
      </c>
      <c r="AA226">
        <v>240950</v>
      </c>
      <c r="AB226">
        <v>290</v>
      </c>
      <c r="AD226" t="s">
        <v>238</v>
      </c>
      <c r="AE226">
        <v>2</v>
      </c>
      <c r="AF226">
        <v>0</v>
      </c>
      <c r="AI226">
        <v>0</v>
      </c>
      <c r="AJ226">
        <v>25</v>
      </c>
      <c r="AK226">
        <v>25</v>
      </c>
      <c r="AL226">
        <v>305</v>
      </c>
      <c r="AM226">
        <v>25</v>
      </c>
      <c r="AN226">
        <v>0</v>
      </c>
      <c r="AO226">
        <v>25</v>
      </c>
      <c r="AP226" t="s">
        <v>80</v>
      </c>
      <c r="AQ226" t="s">
        <v>624</v>
      </c>
      <c r="AT226" t="s">
        <v>240</v>
      </c>
      <c r="AU226" t="s">
        <v>240</v>
      </c>
      <c r="AV226" t="s">
        <v>917</v>
      </c>
      <c r="AW226" t="s">
        <v>69</v>
      </c>
      <c r="AX226" t="s">
        <v>918</v>
      </c>
      <c r="AY226" t="s">
        <v>919</v>
      </c>
      <c r="AZ226" t="s">
        <v>264</v>
      </c>
      <c r="BA226" t="s">
        <v>244</v>
      </c>
      <c r="BB226" t="s">
        <v>245</v>
      </c>
      <c r="BC226" t="s">
        <v>243</v>
      </c>
      <c r="BD226" t="s">
        <v>926</v>
      </c>
      <c r="BE226" t="s">
        <v>921</v>
      </c>
      <c r="BF226" t="s">
        <v>291</v>
      </c>
      <c r="BG226" t="s">
        <v>110</v>
      </c>
      <c r="BH226" t="str">
        <f>IF(COUNTIF(工作表1!A:A, $C226)&gt;0, "預購款", "非預購款")</f>
        <v>非預購款</v>
      </c>
    </row>
    <row r="227" spans="1:60" x14ac:dyDescent="0.25">
      <c r="A227" t="s">
        <v>927</v>
      </c>
      <c r="B227" t="s">
        <v>315</v>
      </c>
      <c r="C227" t="s">
        <v>928</v>
      </c>
      <c r="D227" t="s">
        <v>929</v>
      </c>
      <c r="E227" t="s">
        <v>930</v>
      </c>
      <c r="F227" t="s">
        <v>95</v>
      </c>
      <c r="G227" t="s">
        <v>931</v>
      </c>
      <c r="H227" t="s">
        <v>66</v>
      </c>
      <c r="I227" t="s">
        <v>111</v>
      </c>
      <c r="J227" t="s">
        <v>112</v>
      </c>
      <c r="K227" t="s">
        <v>80</v>
      </c>
      <c r="L227" t="s">
        <v>932</v>
      </c>
      <c r="M227" t="s">
        <v>71</v>
      </c>
      <c r="N227" t="s">
        <v>100</v>
      </c>
      <c r="O227" t="s">
        <v>101</v>
      </c>
      <c r="P227" t="s">
        <v>102</v>
      </c>
      <c r="R227" t="s">
        <v>734</v>
      </c>
      <c r="S227" t="s">
        <v>103</v>
      </c>
      <c r="T227" t="s">
        <v>291</v>
      </c>
      <c r="U227" t="s">
        <v>77</v>
      </c>
      <c r="V227" t="s">
        <v>933</v>
      </c>
      <c r="W227">
        <v>990</v>
      </c>
      <c r="X227">
        <v>39.99</v>
      </c>
      <c r="Y227">
        <v>129</v>
      </c>
      <c r="Z227">
        <v>709000</v>
      </c>
      <c r="AA227">
        <v>168300</v>
      </c>
      <c r="AB227">
        <v>720</v>
      </c>
      <c r="AD227" t="s">
        <v>238</v>
      </c>
      <c r="AE227">
        <v>2</v>
      </c>
      <c r="AF227">
        <v>0</v>
      </c>
      <c r="AI227">
        <v>0</v>
      </c>
      <c r="AJ227">
        <v>60</v>
      </c>
      <c r="AK227">
        <v>60</v>
      </c>
      <c r="AL227">
        <v>170</v>
      </c>
      <c r="AM227">
        <v>63</v>
      </c>
      <c r="AN227">
        <v>0</v>
      </c>
      <c r="AO227">
        <v>63</v>
      </c>
      <c r="AP227" t="s">
        <v>80</v>
      </c>
      <c r="AQ227" t="s">
        <v>624</v>
      </c>
      <c r="AT227" t="s">
        <v>86</v>
      </c>
      <c r="AU227" t="s">
        <v>86</v>
      </c>
      <c r="AV227" t="s">
        <v>934</v>
      </c>
      <c r="AW227" t="s">
        <v>69</v>
      </c>
      <c r="AX227" t="s">
        <v>126</v>
      </c>
      <c r="AY227" t="s">
        <v>935</v>
      </c>
      <c r="AZ227" t="s">
        <v>264</v>
      </c>
      <c r="BA227" t="s">
        <v>310</v>
      </c>
      <c r="BB227" t="s">
        <v>245</v>
      </c>
      <c r="BC227" t="s">
        <v>243</v>
      </c>
      <c r="BD227" t="s">
        <v>936</v>
      </c>
      <c r="BE227" t="s">
        <v>937</v>
      </c>
      <c r="BF227" t="s">
        <v>291</v>
      </c>
      <c r="BG227" t="s">
        <v>110</v>
      </c>
      <c r="BH227" t="str">
        <f>IF(COUNTIF(工作表1!A:A, $C227)&gt;0, "預購款", "非預購款")</f>
        <v>非預購款</v>
      </c>
    </row>
    <row r="228" spans="1:60" x14ac:dyDescent="0.25">
      <c r="A228" t="s">
        <v>927</v>
      </c>
      <c r="B228" t="s">
        <v>315</v>
      </c>
      <c r="C228" t="s">
        <v>928</v>
      </c>
      <c r="D228" t="s">
        <v>929</v>
      </c>
      <c r="E228" t="s">
        <v>930</v>
      </c>
      <c r="F228" t="s">
        <v>95</v>
      </c>
      <c r="G228" t="s">
        <v>931</v>
      </c>
      <c r="H228" t="s">
        <v>66</v>
      </c>
      <c r="I228" t="s">
        <v>134</v>
      </c>
      <c r="J228" t="s">
        <v>135</v>
      </c>
      <c r="K228" t="s">
        <v>69</v>
      </c>
      <c r="L228" t="s">
        <v>932</v>
      </c>
      <c r="M228" t="s">
        <v>71</v>
      </c>
      <c r="N228" t="s">
        <v>100</v>
      </c>
      <c r="O228" t="s">
        <v>101</v>
      </c>
      <c r="P228" t="s">
        <v>102</v>
      </c>
      <c r="R228" t="s">
        <v>734</v>
      </c>
      <c r="S228" t="s">
        <v>103</v>
      </c>
      <c r="T228" t="s">
        <v>291</v>
      </c>
      <c r="U228" t="s">
        <v>77</v>
      </c>
      <c r="V228" t="s">
        <v>933</v>
      </c>
      <c r="W228">
        <v>990</v>
      </c>
      <c r="X228">
        <v>39.99</v>
      </c>
      <c r="Y228">
        <v>129</v>
      </c>
      <c r="Z228">
        <v>709000</v>
      </c>
      <c r="AA228">
        <v>168300</v>
      </c>
      <c r="AB228">
        <v>720</v>
      </c>
      <c r="AD228" t="s">
        <v>238</v>
      </c>
      <c r="AE228">
        <v>2</v>
      </c>
      <c r="AF228">
        <v>0</v>
      </c>
      <c r="AI228">
        <v>0</v>
      </c>
      <c r="AJ228">
        <v>110</v>
      </c>
      <c r="AK228">
        <v>110</v>
      </c>
      <c r="AL228">
        <v>170</v>
      </c>
      <c r="AM228">
        <v>109</v>
      </c>
      <c r="AN228">
        <v>0</v>
      </c>
      <c r="AO228">
        <v>109</v>
      </c>
      <c r="AP228" t="s">
        <v>80</v>
      </c>
      <c r="AQ228" t="s">
        <v>624</v>
      </c>
      <c r="AT228" t="s">
        <v>86</v>
      </c>
      <c r="AU228" t="s">
        <v>86</v>
      </c>
      <c r="AV228" t="s">
        <v>934</v>
      </c>
      <c r="AW228" t="s">
        <v>69</v>
      </c>
      <c r="AX228" t="s">
        <v>126</v>
      </c>
      <c r="AY228" t="s">
        <v>935</v>
      </c>
      <c r="AZ228" t="s">
        <v>264</v>
      </c>
      <c r="BA228" t="s">
        <v>310</v>
      </c>
      <c r="BB228" t="s">
        <v>245</v>
      </c>
      <c r="BC228" t="s">
        <v>243</v>
      </c>
      <c r="BD228" t="s">
        <v>938</v>
      </c>
      <c r="BE228" t="s">
        <v>937</v>
      </c>
      <c r="BF228" t="s">
        <v>291</v>
      </c>
      <c r="BG228" t="s">
        <v>110</v>
      </c>
      <c r="BH228" t="str">
        <f>IF(COUNTIF(工作表1!A:A, $C228)&gt;0, "預購款", "非預購款")</f>
        <v>非預購款</v>
      </c>
    </row>
    <row r="229" spans="1:60" x14ac:dyDescent="0.25">
      <c r="A229" t="s">
        <v>939</v>
      </c>
      <c r="B229" t="s">
        <v>339</v>
      </c>
      <c r="C229" t="s">
        <v>940</v>
      </c>
      <c r="D229" t="s">
        <v>941</v>
      </c>
      <c r="E229" t="s">
        <v>942</v>
      </c>
      <c r="F229" t="s">
        <v>95</v>
      </c>
      <c r="G229" t="s">
        <v>943</v>
      </c>
      <c r="H229" t="s">
        <v>119</v>
      </c>
      <c r="I229" t="s">
        <v>214</v>
      </c>
      <c r="J229" t="s">
        <v>215</v>
      </c>
      <c r="K229" t="s">
        <v>69</v>
      </c>
      <c r="L229" t="s">
        <v>944</v>
      </c>
      <c r="M229" t="s">
        <v>71</v>
      </c>
      <c r="N229" t="s">
        <v>100</v>
      </c>
      <c r="O229" t="s">
        <v>524</v>
      </c>
      <c r="P229" t="s">
        <v>525</v>
      </c>
      <c r="R229" t="s">
        <v>526</v>
      </c>
      <c r="S229" t="s">
        <v>103</v>
      </c>
      <c r="T229" t="s">
        <v>76</v>
      </c>
      <c r="U229" t="s">
        <v>150</v>
      </c>
      <c r="V229" t="s">
        <v>307</v>
      </c>
      <c r="W229">
        <v>890</v>
      </c>
      <c r="X229">
        <v>39.99</v>
      </c>
      <c r="Y229">
        <v>115</v>
      </c>
      <c r="Z229">
        <v>639000</v>
      </c>
      <c r="AA229">
        <v>422750</v>
      </c>
      <c r="AB229">
        <v>242</v>
      </c>
      <c r="AD229" t="s">
        <v>238</v>
      </c>
      <c r="AE229">
        <v>2</v>
      </c>
      <c r="AF229">
        <v>25</v>
      </c>
      <c r="AI229">
        <v>50</v>
      </c>
      <c r="AJ229">
        <v>120</v>
      </c>
      <c r="AK229">
        <v>195</v>
      </c>
      <c r="AL229">
        <v>475</v>
      </c>
      <c r="AM229">
        <v>198</v>
      </c>
      <c r="AN229">
        <v>0</v>
      </c>
      <c r="AO229">
        <v>198</v>
      </c>
      <c r="AP229" t="s">
        <v>80</v>
      </c>
      <c r="AQ229" t="s">
        <v>624</v>
      </c>
      <c r="AR229" t="s">
        <v>86</v>
      </c>
      <c r="AS229" t="s">
        <v>86</v>
      </c>
      <c r="AT229" t="s">
        <v>86</v>
      </c>
      <c r="AU229" t="s">
        <v>240</v>
      </c>
      <c r="AV229" t="s">
        <v>275</v>
      </c>
      <c r="AW229" t="s">
        <v>69</v>
      </c>
      <c r="AX229" t="s">
        <v>126</v>
      </c>
      <c r="AY229" t="s">
        <v>945</v>
      </c>
      <c r="AZ229" t="s">
        <v>310</v>
      </c>
      <c r="BA229" t="s">
        <v>245</v>
      </c>
      <c r="BB229" t="s">
        <v>244</v>
      </c>
      <c r="BC229" t="s">
        <v>264</v>
      </c>
      <c r="BD229" t="s">
        <v>946</v>
      </c>
      <c r="BE229" t="s">
        <v>947</v>
      </c>
      <c r="BF229" t="s">
        <v>86</v>
      </c>
      <c r="BG229" t="s">
        <v>87</v>
      </c>
      <c r="BH229" t="str">
        <f>IF(COUNTIF(工作表1!A:A, $C229)&gt;0, "預購款", "非預購款")</f>
        <v>非預購款</v>
      </c>
    </row>
    <row r="230" spans="1:60" x14ac:dyDescent="0.25">
      <c r="A230" t="s">
        <v>939</v>
      </c>
      <c r="B230" t="s">
        <v>339</v>
      </c>
      <c r="C230" t="s">
        <v>940</v>
      </c>
      <c r="D230" t="s">
        <v>941</v>
      </c>
      <c r="E230" t="s">
        <v>942</v>
      </c>
      <c r="F230" t="s">
        <v>95</v>
      </c>
      <c r="G230" t="s">
        <v>943</v>
      </c>
      <c r="H230" t="s">
        <v>130</v>
      </c>
      <c r="I230" t="s">
        <v>214</v>
      </c>
      <c r="J230" t="s">
        <v>215</v>
      </c>
      <c r="K230" t="s">
        <v>69</v>
      </c>
      <c r="L230" t="s">
        <v>944</v>
      </c>
      <c r="M230" t="s">
        <v>71</v>
      </c>
      <c r="N230" t="s">
        <v>100</v>
      </c>
      <c r="O230" t="s">
        <v>524</v>
      </c>
      <c r="P230" t="s">
        <v>525</v>
      </c>
      <c r="R230" t="s">
        <v>526</v>
      </c>
      <c r="S230" t="s">
        <v>103</v>
      </c>
      <c r="T230" t="s">
        <v>76</v>
      </c>
      <c r="U230" t="s">
        <v>150</v>
      </c>
      <c r="V230" t="s">
        <v>307</v>
      </c>
      <c r="W230">
        <v>890</v>
      </c>
      <c r="X230">
        <v>39.99</v>
      </c>
      <c r="Y230">
        <v>115</v>
      </c>
      <c r="Z230">
        <v>639000</v>
      </c>
      <c r="AA230">
        <v>422750</v>
      </c>
      <c r="AB230">
        <v>242</v>
      </c>
      <c r="AD230" t="s">
        <v>238</v>
      </c>
      <c r="AE230">
        <v>2</v>
      </c>
      <c r="AF230">
        <v>10</v>
      </c>
      <c r="AI230">
        <v>10</v>
      </c>
      <c r="AJ230">
        <v>40</v>
      </c>
      <c r="AK230">
        <v>60</v>
      </c>
      <c r="AL230">
        <v>475</v>
      </c>
      <c r="AM230">
        <v>63</v>
      </c>
      <c r="AN230">
        <v>0</v>
      </c>
      <c r="AO230">
        <v>63</v>
      </c>
      <c r="AP230" t="s">
        <v>80</v>
      </c>
      <c r="AQ230" t="s">
        <v>624</v>
      </c>
      <c r="AR230" t="s">
        <v>86</v>
      </c>
      <c r="AS230" t="s">
        <v>86</v>
      </c>
      <c r="AT230" t="s">
        <v>86</v>
      </c>
      <c r="AU230" t="s">
        <v>240</v>
      </c>
      <c r="AV230" t="s">
        <v>275</v>
      </c>
      <c r="AW230" t="s">
        <v>69</v>
      </c>
      <c r="AX230" t="s">
        <v>126</v>
      </c>
      <c r="AY230" t="s">
        <v>945</v>
      </c>
      <c r="AZ230" t="s">
        <v>310</v>
      </c>
      <c r="BA230" t="s">
        <v>245</v>
      </c>
      <c r="BB230" t="s">
        <v>244</v>
      </c>
      <c r="BC230" t="s">
        <v>264</v>
      </c>
      <c r="BD230" t="s">
        <v>948</v>
      </c>
      <c r="BE230" t="s">
        <v>947</v>
      </c>
      <c r="BF230" t="s">
        <v>86</v>
      </c>
      <c r="BG230" t="s">
        <v>87</v>
      </c>
      <c r="BH230" t="str">
        <f>IF(COUNTIF(工作表1!A:A, $C230)&gt;0, "預購款", "非預購款")</f>
        <v>非預購款</v>
      </c>
    </row>
    <row r="231" spans="1:60" x14ac:dyDescent="0.25">
      <c r="A231" t="s">
        <v>939</v>
      </c>
      <c r="B231" t="s">
        <v>339</v>
      </c>
      <c r="C231" t="s">
        <v>940</v>
      </c>
      <c r="D231" t="s">
        <v>941</v>
      </c>
      <c r="E231" t="s">
        <v>942</v>
      </c>
      <c r="F231" t="s">
        <v>95</v>
      </c>
      <c r="G231" t="s">
        <v>943</v>
      </c>
      <c r="H231" t="s">
        <v>119</v>
      </c>
      <c r="I231" t="s">
        <v>171</v>
      </c>
      <c r="J231" t="s">
        <v>172</v>
      </c>
      <c r="K231" t="s">
        <v>69</v>
      </c>
      <c r="L231" t="s">
        <v>944</v>
      </c>
      <c r="M231" t="s">
        <v>71</v>
      </c>
      <c r="N231" t="s">
        <v>100</v>
      </c>
      <c r="O231" t="s">
        <v>524</v>
      </c>
      <c r="P231" t="s">
        <v>525</v>
      </c>
      <c r="R231" t="s">
        <v>526</v>
      </c>
      <c r="S231" t="s">
        <v>103</v>
      </c>
      <c r="T231" t="s">
        <v>76</v>
      </c>
      <c r="U231" t="s">
        <v>150</v>
      </c>
      <c r="V231" t="s">
        <v>307</v>
      </c>
      <c r="W231">
        <v>890</v>
      </c>
      <c r="X231">
        <v>39.99</v>
      </c>
      <c r="Y231">
        <v>115</v>
      </c>
      <c r="Z231">
        <v>639000</v>
      </c>
      <c r="AA231">
        <v>422750</v>
      </c>
      <c r="AB231">
        <v>242</v>
      </c>
      <c r="AD231" t="s">
        <v>238</v>
      </c>
      <c r="AE231">
        <v>2</v>
      </c>
      <c r="AF231">
        <v>15</v>
      </c>
      <c r="AI231">
        <v>30</v>
      </c>
      <c r="AJ231">
        <v>120</v>
      </c>
      <c r="AK231">
        <v>165</v>
      </c>
      <c r="AL231">
        <v>475</v>
      </c>
      <c r="AM231">
        <v>165</v>
      </c>
      <c r="AN231">
        <v>0</v>
      </c>
      <c r="AO231">
        <v>165</v>
      </c>
      <c r="AP231" t="s">
        <v>80</v>
      </c>
      <c r="AQ231" t="s">
        <v>624</v>
      </c>
      <c r="AR231" t="s">
        <v>86</v>
      </c>
      <c r="AS231" t="s">
        <v>86</v>
      </c>
      <c r="AT231" t="s">
        <v>86</v>
      </c>
      <c r="AU231" t="s">
        <v>240</v>
      </c>
      <c r="AV231" t="s">
        <v>275</v>
      </c>
      <c r="AW231" t="s">
        <v>69</v>
      </c>
      <c r="AX231" t="s">
        <v>126</v>
      </c>
      <c r="AY231" t="s">
        <v>945</v>
      </c>
      <c r="AZ231" t="s">
        <v>310</v>
      </c>
      <c r="BA231" t="s">
        <v>245</v>
      </c>
      <c r="BB231" t="s">
        <v>244</v>
      </c>
      <c r="BC231" t="s">
        <v>264</v>
      </c>
      <c r="BD231" t="s">
        <v>949</v>
      </c>
      <c r="BE231" t="s">
        <v>947</v>
      </c>
      <c r="BF231" t="s">
        <v>86</v>
      </c>
      <c r="BG231" t="s">
        <v>87</v>
      </c>
      <c r="BH231" t="str">
        <f>IF(COUNTIF(工作表1!A:A, $C231)&gt;0, "預購款", "非預購款")</f>
        <v>非預購款</v>
      </c>
    </row>
    <row r="232" spans="1:60" x14ac:dyDescent="0.25">
      <c r="A232" t="s">
        <v>939</v>
      </c>
      <c r="B232" t="s">
        <v>339</v>
      </c>
      <c r="C232" t="s">
        <v>940</v>
      </c>
      <c r="D232" t="s">
        <v>941</v>
      </c>
      <c r="E232" t="s">
        <v>942</v>
      </c>
      <c r="F232" t="s">
        <v>95</v>
      </c>
      <c r="G232" t="s">
        <v>943</v>
      </c>
      <c r="H232" t="s">
        <v>130</v>
      </c>
      <c r="I232" t="s">
        <v>171</v>
      </c>
      <c r="J232" t="s">
        <v>172</v>
      </c>
      <c r="K232" t="s">
        <v>69</v>
      </c>
      <c r="L232" t="s">
        <v>944</v>
      </c>
      <c r="M232" t="s">
        <v>71</v>
      </c>
      <c r="N232" t="s">
        <v>100</v>
      </c>
      <c r="O232" t="s">
        <v>524</v>
      </c>
      <c r="P232" t="s">
        <v>525</v>
      </c>
      <c r="R232" t="s">
        <v>526</v>
      </c>
      <c r="S232" t="s">
        <v>103</v>
      </c>
      <c r="T232" t="s">
        <v>76</v>
      </c>
      <c r="U232" t="s">
        <v>150</v>
      </c>
      <c r="V232" t="s">
        <v>307</v>
      </c>
      <c r="W232">
        <v>890</v>
      </c>
      <c r="X232">
        <v>39.99</v>
      </c>
      <c r="Y232">
        <v>115</v>
      </c>
      <c r="Z232">
        <v>639000</v>
      </c>
      <c r="AA232">
        <v>422750</v>
      </c>
      <c r="AB232">
        <v>242</v>
      </c>
      <c r="AD232" t="s">
        <v>238</v>
      </c>
      <c r="AE232">
        <v>2</v>
      </c>
      <c r="AF232">
        <v>5</v>
      </c>
      <c r="AI232">
        <v>10</v>
      </c>
      <c r="AJ232">
        <v>40</v>
      </c>
      <c r="AK232">
        <v>55</v>
      </c>
      <c r="AL232">
        <v>475</v>
      </c>
      <c r="AM232">
        <v>56</v>
      </c>
      <c r="AN232">
        <v>0</v>
      </c>
      <c r="AO232">
        <v>56</v>
      </c>
      <c r="AP232" t="s">
        <v>80</v>
      </c>
      <c r="AQ232" t="s">
        <v>624</v>
      </c>
      <c r="AR232" t="s">
        <v>86</v>
      </c>
      <c r="AS232" t="s">
        <v>86</v>
      </c>
      <c r="AT232" t="s">
        <v>86</v>
      </c>
      <c r="AU232" t="s">
        <v>240</v>
      </c>
      <c r="AV232" t="s">
        <v>275</v>
      </c>
      <c r="AW232" t="s">
        <v>69</v>
      </c>
      <c r="AX232" t="s">
        <v>126</v>
      </c>
      <c r="AY232" t="s">
        <v>945</v>
      </c>
      <c r="AZ232" t="s">
        <v>310</v>
      </c>
      <c r="BA232" t="s">
        <v>245</v>
      </c>
      <c r="BB232" t="s">
        <v>244</v>
      </c>
      <c r="BC232" t="s">
        <v>264</v>
      </c>
      <c r="BD232" t="s">
        <v>950</v>
      </c>
      <c r="BE232" t="s">
        <v>947</v>
      </c>
      <c r="BF232" t="s">
        <v>86</v>
      </c>
      <c r="BG232" t="s">
        <v>87</v>
      </c>
      <c r="BH232" t="str">
        <f>IF(COUNTIF(工作表1!A:A, $C232)&gt;0, "預購款", "非預購款")</f>
        <v>非預購款</v>
      </c>
    </row>
    <row r="233" spans="1:60" x14ac:dyDescent="0.25">
      <c r="A233" t="s">
        <v>719</v>
      </c>
      <c r="B233" t="s">
        <v>488</v>
      </c>
      <c r="C233" t="s">
        <v>720</v>
      </c>
      <c r="D233" t="s">
        <v>721</v>
      </c>
      <c r="E233" t="s">
        <v>722</v>
      </c>
      <c r="F233" t="s">
        <v>142</v>
      </c>
      <c r="G233" t="s">
        <v>723</v>
      </c>
      <c r="H233" t="s">
        <v>119</v>
      </c>
      <c r="I233" t="s">
        <v>120</v>
      </c>
      <c r="J233" t="s">
        <v>121</v>
      </c>
      <c r="K233" t="s">
        <v>69</v>
      </c>
      <c r="L233" t="s">
        <v>724</v>
      </c>
      <c r="M233" t="s">
        <v>71</v>
      </c>
      <c r="N233" t="s">
        <v>72</v>
      </c>
      <c r="O233" t="s">
        <v>725</v>
      </c>
      <c r="P233" t="s">
        <v>726</v>
      </c>
      <c r="R233" t="s">
        <v>727</v>
      </c>
      <c r="S233" t="s">
        <v>145</v>
      </c>
      <c r="T233" t="s">
        <v>258</v>
      </c>
      <c r="U233" t="s">
        <v>383</v>
      </c>
      <c r="V233" t="s">
        <v>384</v>
      </c>
      <c r="W233">
        <v>1180</v>
      </c>
      <c r="X233">
        <v>49.99</v>
      </c>
      <c r="Y233">
        <v>155</v>
      </c>
      <c r="Z233">
        <v>859000</v>
      </c>
      <c r="AA233">
        <v>123900</v>
      </c>
      <c r="AB233">
        <v>560</v>
      </c>
      <c r="AD233" t="s">
        <v>238</v>
      </c>
      <c r="AE233">
        <v>1</v>
      </c>
      <c r="AF233">
        <v>0</v>
      </c>
      <c r="AI233">
        <v>0</v>
      </c>
      <c r="AJ233">
        <v>60</v>
      </c>
      <c r="AK233">
        <v>60</v>
      </c>
      <c r="AL233">
        <v>105</v>
      </c>
      <c r="AM233">
        <v>56</v>
      </c>
      <c r="AN233">
        <v>0</v>
      </c>
      <c r="AO233">
        <v>56</v>
      </c>
      <c r="AP233" t="s">
        <v>80</v>
      </c>
      <c r="AQ233" t="s">
        <v>167</v>
      </c>
      <c r="AR233" t="s">
        <v>86</v>
      </c>
      <c r="AS233" t="s">
        <v>261</v>
      </c>
      <c r="AT233" t="s">
        <v>240</v>
      </c>
      <c r="AU233" t="s">
        <v>86</v>
      </c>
      <c r="AV233" t="s">
        <v>81</v>
      </c>
      <c r="AW233" t="s">
        <v>69</v>
      </c>
      <c r="AX233" t="s">
        <v>728</v>
      </c>
      <c r="AY233" t="s">
        <v>729</v>
      </c>
      <c r="AZ233" t="s">
        <v>245</v>
      </c>
      <c r="BA233" t="s">
        <v>245</v>
      </c>
      <c r="BB233" t="s">
        <v>244</v>
      </c>
      <c r="BC233" t="s">
        <v>245</v>
      </c>
      <c r="BD233" t="s">
        <v>955</v>
      </c>
      <c r="BE233" t="s">
        <v>956</v>
      </c>
      <c r="BF233" t="s">
        <v>240</v>
      </c>
      <c r="BG233" t="s">
        <v>110</v>
      </c>
      <c r="BH233" t="str">
        <f>IF(COUNTIF(工作表1!A:A, $C233)&gt;0, "預購款", "非預購款")</f>
        <v>非預購款</v>
      </c>
    </row>
    <row r="234" spans="1:60" x14ac:dyDescent="0.25">
      <c r="A234" t="s">
        <v>719</v>
      </c>
      <c r="B234" t="s">
        <v>488</v>
      </c>
      <c r="C234" t="s">
        <v>720</v>
      </c>
      <c r="D234" t="s">
        <v>721</v>
      </c>
      <c r="E234" t="s">
        <v>722</v>
      </c>
      <c r="F234" t="s">
        <v>142</v>
      </c>
      <c r="G234" t="s">
        <v>723</v>
      </c>
      <c r="H234" t="s">
        <v>130</v>
      </c>
      <c r="I234" t="s">
        <v>120</v>
      </c>
      <c r="J234" t="s">
        <v>121</v>
      </c>
      <c r="K234" t="s">
        <v>69</v>
      </c>
      <c r="L234" t="s">
        <v>724</v>
      </c>
      <c r="M234" t="s">
        <v>71</v>
      </c>
      <c r="N234" t="s">
        <v>72</v>
      </c>
      <c r="O234" t="s">
        <v>725</v>
      </c>
      <c r="P234" t="s">
        <v>726</v>
      </c>
      <c r="R234" t="s">
        <v>727</v>
      </c>
      <c r="S234" t="s">
        <v>145</v>
      </c>
      <c r="T234" t="s">
        <v>258</v>
      </c>
      <c r="U234" t="s">
        <v>383</v>
      </c>
      <c r="V234" t="s">
        <v>384</v>
      </c>
      <c r="W234">
        <v>1180</v>
      </c>
      <c r="X234">
        <v>49.99</v>
      </c>
      <c r="Y234">
        <v>155</v>
      </c>
      <c r="Z234">
        <v>859000</v>
      </c>
      <c r="AA234">
        <v>123900</v>
      </c>
      <c r="AB234">
        <v>560</v>
      </c>
      <c r="AD234" t="s">
        <v>238</v>
      </c>
      <c r="AE234">
        <v>1</v>
      </c>
      <c r="AF234">
        <v>0</v>
      </c>
      <c r="AI234">
        <v>0</v>
      </c>
      <c r="AJ234">
        <v>30</v>
      </c>
      <c r="AK234">
        <v>30</v>
      </c>
      <c r="AL234">
        <v>105</v>
      </c>
      <c r="AM234">
        <v>24</v>
      </c>
      <c r="AN234">
        <v>0</v>
      </c>
      <c r="AO234">
        <v>24</v>
      </c>
      <c r="AP234" t="s">
        <v>80</v>
      </c>
      <c r="AQ234" t="s">
        <v>167</v>
      </c>
      <c r="AR234" t="s">
        <v>86</v>
      </c>
      <c r="AS234" t="s">
        <v>261</v>
      </c>
      <c r="AT234" t="s">
        <v>240</v>
      </c>
      <c r="AU234" t="s">
        <v>86</v>
      </c>
      <c r="AV234" t="s">
        <v>81</v>
      </c>
      <c r="AW234" t="s">
        <v>69</v>
      </c>
      <c r="AX234" t="s">
        <v>728</v>
      </c>
      <c r="AY234" t="s">
        <v>729</v>
      </c>
      <c r="AZ234" t="s">
        <v>245</v>
      </c>
      <c r="BA234" t="s">
        <v>245</v>
      </c>
      <c r="BB234" t="s">
        <v>244</v>
      </c>
      <c r="BC234" t="s">
        <v>245</v>
      </c>
      <c r="BD234" t="s">
        <v>957</v>
      </c>
      <c r="BE234" t="s">
        <v>956</v>
      </c>
      <c r="BF234" t="s">
        <v>240</v>
      </c>
      <c r="BG234" t="s">
        <v>110</v>
      </c>
      <c r="BH234" t="str">
        <f>IF(COUNTIF(工作表1!A:A, $C234)&gt;0, "預購款", "非預購款")</f>
        <v>非預購款</v>
      </c>
    </row>
    <row r="235" spans="1:60" x14ac:dyDescent="0.25">
      <c r="A235" t="s">
        <v>719</v>
      </c>
      <c r="B235" t="s">
        <v>488</v>
      </c>
      <c r="C235" t="s">
        <v>720</v>
      </c>
      <c r="D235" t="s">
        <v>721</v>
      </c>
      <c r="E235" t="s">
        <v>722</v>
      </c>
      <c r="F235" t="s">
        <v>142</v>
      </c>
      <c r="G235" t="s">
        <v>723</v>
      </c>
      <c r="H235" t="s">
        <v>132</v>
      </c>
      <c r="I235" t="s">
        <v>120</v>
      </c>
      <c r="J235" t="s">
        <v>121</v>
      </c>
      <c r="K235" t="s">
        <v>69</v>
      </c>
      <c r="L235" t="s">
        <v>724</v>
      </c>
      <c r="M235" t="s">
        <v>71</v>
      </c>
      <c r="N235" t="s">
        <v>72</v>
      </c>
      <c r="O235" t="s">
        <v>725</v>
      </c>
      <c r="P235" t="s">
        <v>726</v>
      </c>
      <c r="R235" t="s">
        <v>727</v>
      </c>
      <c r="S235" t="s">
        <v>145</v>
      </c>
      <c r="T235" t="s">
        <v>258</v>
      </c>
      <c r="U235" t="s">
        <v>383</v>
      </c>
      <c r="V235" t="s">
        <v>384</v>
      </c>
      <c r="W235">
        <v>1180</v>
      </c>
      <c r="X235">
        <v>49.99</v>
      </c>
      <c r="Y235">
        <v>155</v>
      </c>
      <c r="Z235">
        <v>859000</v>
      </c>
      <c r="AA235">
        <v>123900</v>
      </c>
      <c r="AB235">
        <v>560</v>
      </c>
      <c r="AD235" t="s">
        <v>238</v>
      </c>
      <c r="AE235">
        <v>1</v>
      </c>
      <c r="AF235">
        <v>0</v>
      </c>
      <c r="AI235">
        <v>0</v>
      </c>
      <c r="AJ235">
        <v>15</v>
      </c>
      <c r="AK235">
        <v>15</v>
      </c>
      <c r="AL235">
        <v>105</v>
      </c>
      <c r="AM235">
        <v>13</v>
      </c>
      <c r="AN235">
        <v>0</v>
      </c>
      <c r="AO235">
        <v>13</v>
      </c>
      <c r="AP235" t="s">
        <v>80</v>
      </c>
      <c r="AQ235" t="s">
        <v>167</v>
      </c>
      <c r="AR235" t="s">
        <v>86</v>
      </c>
      <c r="AS235" t="s">
        <v>261</v>
      </c>
      <c r="AT235" t="s">
        <v>240</v>
      </c>
      <c r="AU235" t="s">
        <v>86</v>
      </c>
      <c r="AV235" t="s">
        <v>81</v>
      </c>
      <c r="AW235" t="s">
        <v>69</v>
      </c>
      <c r="AX235" t="s">
        <v>728</v>
      </c>
      <c r="AY235" t="s">
        <v>729</v>
      </c>
      <c r="AZ235" t="s">
        <v>245</v>
      </c>
      <c r="BA235" t="s">
        <v>245</v>
      </c>
      <c r="BB235" t="s">
        <v>244</v>
      </c>
      <c r="BC235" t="s">
        <v>245</v>
      </c>
      <c r="BD235" t="s">
        <v>958</v>
      </c>
      <c r="BE235" t="s">
        <v>956</v>
      </c>
      <c r="BF235" t="s">
        <v>240</v>
      </c>
      <c r="BG235" t="s">
        <v>110</v>
      </c>
      <c r="BH235" t="str">
        <f>IF(COUNTIF(工作表1!A:A, $C235)&gt;0, "預購款", "非預購款")</f>
        <v>非預購款</v>
      </c>
    </row>
    <row r="236" spans="1:60" x14ac:dyDescent="0.25">
      <c r="A236" t="s">
        <v>959</v>
      </c>
      <c r="B236" t="s">
        <v>759</v>
      </c>
      <c r="C236" t="s">
        <v>960</v>
      </c>
      <c r="D236" t="s">
        <v>961</v>
      </c>
      <c r="E236" t="s">
        <v>962</v>
      </c>
      <c r="F236" t="s">
        <v>142</v>
      </c>
      <c r="G236" t="s">
        <v>963</v>
      </c>
      <c r="H236" t="s">
        <v>119</v>
      </c>
      <c r="I236" t="s">
        <v>97</v>
      </c>
      <c r="J236" t="s">
        <v>98</v>
      </c>
      <c r="K236" t="s">
        <v>69</v>
      </c>
      <c r="L236" t="s">
        <v>964</v>
      </c>
      <c r="M236" t="s">
        <v>71</v>
      </c>
      <c r="N236" t="s">
        <v>100</v>
      </c>
      <c r="O236" t="s">
        <v>101</v>
      </c>
      <c r="P236" t="s">
        <v>102</v>
      </c>
      <c r="R236" t="s">
        <v>734</v>
      </c>
      <c r="S236" t="s">
        <v>145</v>
      </c>
      <c r="T236" t="s">
        <v>291</v>
      </c>
      <c r="U236" t="s">
        <v>104</v>
      </c>
      <c r="V236" t="s">
        <v>965</v>
      </c>
      <c r="W236">
        <v>490</v>
      </c>
      <c r="X236">
        <v>22.99</v>
      </c>
      <c r="Y236">
        <v>60</v>
      </c>
      <c r="Z236">
        <v>355000</v>
      </c>
      <c r="AA236">
        <v>98000</v>
      </c>
      <c r="AB236">
        <v>190</v>
      </c>
      <c r="AD236" t="s">
        <v>238</v>
      </c>
      <c r="AE236">
        <v>1</v>
      </c>
      <c r="AF236">
        <v>0</v>
      </c>
      <c r="AI236">
        <v>55</v>
      </c>
      <c r="AJ236">
        <v>45</v>
      </c>
      <c r="AK236">
        <v>100</v>
      </c>
      <c r="AL236">
        <v>200</v>
      </c>
      <c r="AM236">
        <v>106</v>
      </c>
      <c r="AN236">
        <v>0</v>
      </c>
      <c r="AO236">
        <v>106</v>
      </c>
      <c r="AP236" t="s">
        <v>80</v>
      </c>
      <c r="AQ236" t="s">
        <v>624</v>
      </c>
      <c r="AT236" t="s">
        <v>86</v>
      </c>
      <c r="AU236" t="s">
        <v>240</v>
      </c>
      <c r="AV236" t="s">
        <v>966</v>
      </c>
      <c r="AW236" t="s">
        <v>69</v>
      </c>
      <c r="AX236" t="s">
        <v>967</v>
      </c>
      <c r="AY236" t="s">
        <v>968</v>
      </c>
      <c r="AZ236" t="s">
        <v>243</v>
      </c>
      <c r="BA236" t="s">
        <v>264</v>
      </c>
      <c r="BB236" t="s">
        <v>244</v>
      </c>
      <c r="BC236" t="s">
        <v>264</v>
      </c>
      <c r="BD236" t="s">
        <v>969</v>
      </c>
      <c r="BE236" t="s">
        <v>970</v>
      </c>
      <c r="BF236" t="s">
        <v>971</v>
      </c>
      <c r="BG236" t="s">
        <v>150</v>
      </c>
      <c r="BH236" t="str">
        <f>IF(COUNTIF(工作表1!A:A, $C236)&gt;0, "預購款", "非預購款")</f>
        <v>非預購款</v>
      </c>
    </row>
    <row r="237" spans="1:60" x14ac:dyDescent="0.25">
      <c r="A237" t="s">
        <v>959</v>
      </c>
      <c r="B237" t="s">
        <v>759</v>
      </c>
      <c r="C237" t="s">
        <v>960</v>
      </c>
      <c r="D237" t="s">
        <v>961</v>
      </c>
      <c r="E237" t="s">
        <v>962</v>
      </c>
      <c r="F237" t="s">
        <v>142</v>
      </c>
      <c r="G237" t="s">
        <v>963</v>
      </c>
      <c r="H237" t="s">
        <v>130</v>
      </c>
      <c r="I237" t="s">
        <v>97</v>
      </c>
      <c r="J237" t="s">
        <v>98</v>
      </c>
      <c r="K237" t="s">
        <v>69</v>
      </c>
      <c r="L237" t="s">
        <v>964</v>
      </c>
      <c r="M237" t="s">
        <v>71</v>
      </c>
      <c r="N237" t="s">
        <v>100</v>
      </c>
      <c r="O237" t="s">
        <v>101</v>
      </c>
      <c r="P237" t="s">
        <v>102</v>
      </c>
      <c r="R237" t="s">
        <v>734</v>
      </c>
      <c r="S237" t="s">
        <v>145</v>
      </c>
      <c r="T237" t="s">
        <v>291</v>
      </c>
      <c r="U237" t="s">
        <v>104</v>
      </c>
      <c r="V237" t="s">
        <v>965</v>
      </c>
      <c r="W237">
        <v>490</v>
      </c>
      <c r="X237">
        <v>22.99</v>
      </c>
      <c r="Y237">
        <v>60</v>
      </c>
      <c r="Z237">
        <v>355000</v>
      </c>
      <c r="AA237">
        <v>98000</v>
      </c>
      <c r="AB237">
        <v>190</v>
      </c>
      <c r="AD237" t="s">
        <v>238</v>
      </c>
      <c r="AE237">
        <v>1</v>
      </c>
      <c r="AF237">
        <v>0</v>
      </c>
      <c r="AI237">
        <v>25</v>
      </c>
      <c r="AJ237">
        <v>45</v>
      </c>
      <c r="AK237">
        <v>70</v>
      </c>
      <c r="AL237">
        <v>200</v>
      </c>
      <c r="AM237">
        <v>75</v>
      </c>
      <c r="AN237">
        <v>0</v>
      </c>
      <c r="AO237">
        <v>75</v>
      </c>
      <c r="AP237" t="s">
        <v>80</v>
      </c>
      <c r="AQ237" t="s">
        <v>624</v>
      </c>
      <c r="AT237" t="s">
        <v>86</v>
      </c>
      <c r="AU237" t="s">
        <v>240</v>
      </c>
      <c r="AV237" t="s">
        <v>966</v>
      </c>
      <c r="AW237" t="s">
        <v>69</v>
      </c>
      <c r="AX237" t="s">
        <v>967</v>
      </c>
      <c r="AY237" t="s">
        <v>968</v>
      </c>
      <c r="AZ237" t="s">
        <v>243</v>
      </c>
      <c r="BA237" t="s">
        <v>264</v>
      </c>
      <c r="BB237" t="s">
        <v>244</v>
      </c>
      <c r="BC237" t="s">
        <v>264</v>
      </c>
      <c r="BD237" t="s">
        <v>972</v>
      </c>
      <c r="BE237" t="s">
        <v>970</v>
      </c>
      <c r="BF237" t="s">
        <v>971</v>
      </c>
      <c r="BG237" t="s">
        <v>150</v>
      </c>
      <c r="BH237" t="str">
        <f>IF(COUNTIF(工作表1!A:A, $C237)&gt;0, "預購款", "非預購款")</f>
        <v>非預購款</v>
      </c>
    </row>
    <row r="238" spans="1:60" x14ac:dyDescent="0.25">
      <c r="A238" t="s">
        <v>959</v>
      </c>
      <c r="B238" t="s">
        <v>759</v>
      </c>
      <c r="C238" t="s">
        <v>960</v>
      </c>
      <c r="D238" t="s">
        <v>961</v>
      </c>
      <c r="E238" t="s">
        <v>962</v>
      </c>
      <c r="F238" t="s">
        <v>142</v>
      </c>
      <c r="G238" t="s">
        <v>963</v>
      </c>
      <c r="H238" t="s">
        <v>132</v>
      </c>
      <c r="I238" t="s">
        <v>97</v>
      </c>
      <c r="J238" t="s">
        <v>98</v>
      </c>
      <c r="K238" t="s">
        <v>69</v>
      </c>
      <c r="L238" t="s">
        <v>964</v>
      </c>
      <c r="M238" t="s">
        <v>71</v>
      </c>
      <c r="N238" t="s">
        <v>100</v>
      </c>
      <c r="O238" t="s">
        <v>101</v>
      </c>
      <c r="P238" t="s">
        <v>102</v>
      </c>
      <c r="R238" t="s">
        <v>734</v>
      </c>
      <c r="S238" t="s">
        <v>145</v>
      </c>
      <c r="T238" t="s">
        <v>291</v>
      </c>
      <c r="U238" t="s">
        <v>104</v>
      </c>
      <c r="V238" t="s">
        <v>965</v>
      </c>
      <c r="W238">
        <v>490</v>
      </c>
      <c r="X238">
        <v>22.99</v>
      </c>
      <c r="Y238">
        <v>60</v>
      </c>
      <c r="Z238">
        <v>355000</v>
      </c>
      <c r="AA238">
        <v>98000</v>
      </c>
      <c r="AB238">
        <v>190</v>
      </c>
      <c r="AD238" t="s">
        <v>238</v>
      </c>
      <c r="AE238">
        <v>1</v>
      </c>
      <c r="AF238">
        <v>0</v>
      </c>
      <c r="AI238">
        <v>15</v>
      </c>
      <c r="AJ238">
        <v>15</v>
      </c>
      <c r="AK238">
        <v>30</v>
      </c>
      <c r="AL238">
        <v>200</v>
      </c>
      <c r="AM238">
        <v>31</v>
      </c>
      <c r="AN238">
        <v>0</v>
      </c>
      <c r="AO238">
        <v>31</v>
      </c>
      <c r="AP238" t="s">
        <v>80</v>
      </c>
      <c r="AQ238" t="s">
        <v>624</v>
      </c>
      <c r="AT238" t="s">
        <v>86</v>
      </c>
      <c r="AU238" t="s">
        <v>240</v>
      </c>
      <c r="AV238" t="s">
        <v>966</v>
      </c>
      <c r="AW238" t="s">
        <v>69</v>
      </c>
      <c r="AX238" t="s">
        <v>967</v>
      </c>
      <c r="AY238" t="s">
        <v>968</v>
      </c>
      <c r="AZ238" t="s">
        <v>243</v>
      </c>
      <c r="BA238" t="s">
        <v>264</v>
      </c>
      <c r="BB238" t="s">
        <v>244</v>
      </c>
      <c r="BC238" t="s">
        <v>264</v>
      </c>
      <c r="BD238" t="s">
        <v>973</v>
      </c>
      <c r="BE238" t="s">
        <v>970</v>
      </c>
      <c r="BF238" t="s">
        <v>971</v>
      </c>
      <c r="BG238" t="s">
        <v>150</v>
      </c>
      <c r="BH238" t="str">
        <f>IF(COUNTIF(工作表1!A:A, $C238)&gt;0, "預購款", "非預購款")</f>
        <v>非預購款</v>
      </c>
    </row>
    <row r="239" spans="1:60" x14ac:dyDescent="0.25">
      <c r="A239" t="s">
        <v>974</v>
      </c>
      <c r="B239" t="s">
        <v>776</v>
      </c>
      <c r="C239" t="s">
        <v>975</v>
      </c>
      <c r="D239" t="s">
        <v>976</v>
      </c>
      <c r="E239" t="s">
        <v>977</v>
      </c>
      <c r="F239" t="s">
        <v>142</v>
      </c>
      <c r="G239" t="s">
        <v>978</v>
      </c>
      <c r="H239" t="s">
        <v>119</v>
      </c>
      <c r="I239" t="s">
        <v>134</v>
      </c>
      <c r="J239" t="s">
        <v>135</v>
      </c>
      <c r="K239" t="s">
        <v>69</v>
      </c>
      <c r="L239" t="s">
        <v>979</v>
      </c>
      <c r="M239" t="s">
        <v>71</v>
      </c>
      <c r="N239" t="s">
        <v>100</v>
      </c>
      <c r="O239" t="s">
        <v>980</v>
      </c>
      <c r="P239" t="s">
        <v>981</v>
      </c>
      <c r="R239" t="s">
        <v>982</v>
      </c>
      <c r="S239" t="s">
        <v>145</v>
      </c>
      <c r="T239" t="s">
        <v>76</v>
      </c>
      <c r="U239" t="s">
        <v>383</v>
      </c>
      <c r="V239" t="s">
        <v>384</v>
      </c>
      <c r="W239">
        <v>990</v>
      </c>
      <c r="X239">
        <v>39.99</v>
      </c>
      <c r="Y239">
        <v>129</v>
      </c>
      <c r="Z239">
        <v>709000</v>
      </c>
      <c r="AA239">
        <v>207900</v>
      </c>
      <c r="AB239">
        <v>352</v>
      </c>
      <c r="AD239" t="s">
        <v>238</v>
      </c>
      <c r="AE239">
        <v>1</v>
      </c>
      <c r="AF239">
        <v>0</v>
      </c>
      <c r="AI239">
        <v>30</v>
      </c>
      <c r="AJ239">
        <v>80</v>
      </c>
      <c r="AK239">
        <v>110</v>
      </c>
      <c r="AL239">
        <v>210</v>
      </c>
      <c r="AM239">
        <v>114</v>
      </c>
      <c r="AN239">
        <v>0</v>
      </c>
      <c r="AO239">
        <v>114</v>
      </c>
      <c r="AP239" t="s">
        <v>80</v>
      </c>
      <c r="AQ239" t="s">
        <v>630</v>
      </c>
      <c r="AT239" t="s">
        <v>86</v>
      </c>
      <c r="AU239" t="s">
        <v>261</v>
      </c>
      <c r="AV239" t="s">
        <v>983</v>
      </c>
      <c r="AW239" t="s">
        <v>69</v>
      </c>
      <c r="AX239" t="s">
        <v>126</v>
      </c>
      <c r="AY239" t="s">
        <v>984</v>
      </c>
      <c r="AZ239" t="s">
        <v>264</v>
      </c>
      <c r="BA239" t="s">
        <v>243</v>
      </c>
      <c r="BB239" t="s">
        <v>264</v>
      </c>
      <c r="BC239" t="s">
        <v>245</v>
      </c>
      <c r="BD239" t="s">
        <v>985</v>
      </c>
      <c r="BE239" t="s">
        <v>986</v>
      </c>
      <c r="BF239" t="s">
        <v>86</v>
      </c>
      <c r="BG239" t="s">
        <v>110</v>
      </c>
      <c r="BH239" t="str">
        <f>IF(COUNTIF(工作表1!A:A, $C239)&gt;0, "預購款", "非預購款")</f>
        <v>非預購款</v>
      </c>
    </row>
    <row r="240" spans="1:60" x14ac:dyDescent="0.25">
      <c r="A240" t="s">
        <v>974</v>
      </c>
      <c r="B240" t="s">
        <v>776</v>
      </c>
      <c r="C240" t="s">
        <v>975</v>
      </c>
      <c r="D240" t="s">
        <v>976</v>
      </c>
      <c r="E240" t="s">
        <v>977</v>
      </c>
      <c r="F240" t="s">
        <v>142</v>
      </c>
      <c r="G240" t="s">
        <v>978</v>
      </c>
      <c r="H240" t="s">
        <v>130</v>
      </c>
      <c r="I240" t="s">
        <v>134</v>
      </c>
      <c r="J240" t="s">
        <v>135</v>
      </c>
      <c r="K240" t="s">
        <v>69</v>
      </c>
      <c r="L240" t="s">
        <v>979</v>
      </c>
      <c r="M240" t="s">
        <v>71</v>
      </c>
      <c r="N240" t="s">
        <v>100</v>
      </c>
      <c r="O240" t="s">
        <v>980</v>
      </c>
      <c r="P240" t="s">
        <v>981</v>
      </c>
      <c r="R240" t="s">
        <v>982</v>
      </c>
      <c r="S240" t="s">
        <v>145</v>
      </c>
      <c r="T240" t="s">
        <v>76</v>
      </c>
      <c r="U240" t="s">
        <v>383</v>
      </c>
      <c r="V240" t="s">
        <v>384</v>
      </c>
      <c r="W240">
        <v>990</v>
      </c>
      <c r="X240">
        <v>39.99</v>
      </c>
      <c r="Y240">
        <v>129</v>
      </c>
      <c r="Z240">
        <v>709000</v>
      </c>
      <c r="AA240">
        <v>207900</v>
      </c>
      <c r="AB240">
        <v>352</v>
      </c>
      <c r="AD240" t="s">
        <v>238</v>
      </c>
      <c r="AE240">
        <v>1</v>
      </c>
      <c r="AF240">
        <v>0</v>
      </c>
      <c r="AI240">
        <v>20</v>
      </c>
      <c r="AJ240">
        <v>50</v>
      </c>
      <c r="AK240">
        <v>70</v>
      </c>
      <c r="AL240">
        <v>210</v>
      </c>
      <c r="AM240">
        <v>72</v>
      </c>
      <c r="AN240">
        <v>0</v>
      </c>
      <c r="AO240">
        <v>72</v>
      </c>
      <c r="AP240" t="s">
        <v>80</v>
      </c>
      <c r="AQ240" t="s">
        <v>630</v>
      </c>
      <c r="AT240" t="s">
        <v>86</v>
      </c>
      <c r="AU240" t="s">
        <v>261</v>
      </c>
      <c r="AV240" t="s">
        <v>983</v>
      </c>
      <c r="AW240" t="s">
        <v>69</v>
      </c>
      <c r="AX240" t="s">
        <v>126</v>
      </c>
      <c r="AY240" t="s">
        <v>984</v>
      </c>
      <c r="AZ240" t="s">
        <v>264</v>
      </c>
      <c r="BA240" t="s">
        <v>243</v>
      </c>
      <c r="BB240" t="s">
        <v>264</v>
      </c>
      <c r="BC240" t="s">
        <v>245</v>
      </c>
      <c r="BD240" t="s">
        <v>987</v>
      </c>
      <c r="BE240" t="s">
        <v>986</v>
      </c>
      <c r="BF240" t="s">
        <v>86</v>
      </c>
      <c r="BG240" t="s">
        <v>110</v>
      </c>
      <c r="BH240" t="str">
        <f>IF(COUNTIF(工作表1!A:A, $C240)&gt;0, "預購款", "非預購款")</f>
        <v>非預購款</v>
      </c>
    </row>
    <row r="241" spans="1:60" x14ac:dyDescent="0.25">
      <c r="A241" t="s">
        <v>974</v>
      </c>
      <c r="B241" t="s">
        <v>776</v>
      </c>
      <c r="C241" t="s">
        <v>975</v>
      </c>
      <c r="D241" t="s">
        <v>976</v>
      </c>
      <c r="E241" t="s">
        <v>977</v>
      </c>
      <c r="F241" t="s">
        <v>142</v>
      </c>
      <c r="G241" t="s">
        <v>978</v>
      </c>
      <c r="H241" t="s">
        <v>132</v>
      </c>
      <c r="I241" t="s">
        <v>134</v>
      </c>
      <c r="J241" t="s">
        <v>135</v>
      </c>
      <c r="K241" t="s">
        <v>69</v>
      </c>
      <c r="L241" t="s">
        <v>979</v>
      </c>
      <c r="M241" t="s">
        <v>71</v>
      </c>
      <c r="N241" t="s">
        <v>100</v>
      </c>
      <c r="O241" t="s">
        <v>980</v>
      </c>
      <c r="P241" t="s">
        <v>981</v>
      </c>
      <c r="R241" t="s">
        <v>982</v>
      </c>
      <c r="S241" t="s">
        <v>145</v>
      </c>
      <c r="T241" t="s">
        <v>76</v>
      </c>
      <c r="U241" t="s">
        <v>383</v>
      </c>
      <c r="V241" t="s">
        <v>384</v>
      </c>
      <c r="W241">
        <v>990</v>
      </c>
      <c r="X241">
        <v>39.99</v>
      </c>
      <c r="Y241">
        <v>129</v>
      </c>
      <c r="Z241">
        <v>709000</v>
      </c>
      <c r="AA241">
        <v>207900</v>
      </c>
      <c r="AB241">
        <v>352</v>
      </c>
      <c r="AD241" t="s">
        <v>238</v>
      </c>
      <c r="AE241">
        <v>1</v>
      </c>
      <c r="AF241">
        <v>0</v>
      </c>
      <c r="AI241">
        <v>20</v>
      </c>
      <c r="AJ241">
        <v>10</v>
      </c>
      <c r="AK241">
        <v>30</v>
      </c>
      <c r="AL241">
        <v>210</v>
      </c>
      <c r="AM241">
        <v>36</v>
      </c>
      <c r="AN241">
        <v>0</v>
      </c>
      <c r="AO241">
        <v>36</v>
      </c>
      <c r="AP241" t="s">
        <v>80</v>
      </c>
      <c r="AQ241" t="s">
        <v>630</v>
      </c>
      <c r="AT241" t="s">
        <v>86</v>
      </c>
      <c r="AU241" t="s">
        <v>261</v>
      </c>
      <c r="AV241" t="s">
        <v>983</v>
      </c>
      <c r="AW241" t="s">
        <v>69</v>
      </c>
      <c r="AX241" t="s">
        <v>126</v>
      </c>
      <c r="AY241" t="s">
        <v>984</v>
      </c>
      <c r="AZ241" t="s">
        <v>264</v>
      </c>
      <c r="BA241" t="s">
        <v>243</v>
      </c>
      <c r="BB241" t="s">
        <v>264</v>
      </c>
      <c r="BC241" t="s">
        <v>245</v>
      </c>
      <c r="BD241" t="s">
        <v>988</v>
      </c>
      <c r="BE241" t="s">
        <v>986</v>
      </c>
      <c r="BF241" t="s">
        <v>86</v>
      </c>
      <c r="BG241" t="s">
        <v>110</v>
      </c>
      <c r="BH241" t="str">
        <f>IF(COUNTIF(工作表1!A:A, $C241)&gt;0, "預購款", "非預購款")</f>
        <v>非預購款</v>
      </c>
    </row>
    <row r="242" spans="1:60" x14ac:dyDescent="0.25">
      <c r="A242" t="s">
        <v>989</v>
      </c>
      <c r="B242" t="s">
        <v>226</v>
      </c>
      <c r="C242" t="s">
        <v>990</v>
      </c>
      <c r="D242" t="s">
        <v>991</v>
      </c>
      <c r="E242" t="s">
        <v>992</v>
      </c>
      <c r="F242" t="s">
        <v>142</v>
      </c>
      <c r="G242" t="s">
        <v>993</v>
      </c>
      <c r="H242" t="s">
        <v>119</v>
      </c>
      <c r="I242" t="s">
        <v>97</v>
      </c>
      <c r="J242" t="s">
        <v>98</v>
      </c>
      <c r="K242" t="s">
        <v>69</v>
      </c>
      <c r="L242" t="s">
        <v>994</v>
      </c>
      <c r="M242" t="s">
        <v>71</v>
      </c>
      <c r="N242" t="s">
        <v>100</v>
      </c>
      <c r="O242" t="s">
        <v>980</v>
      </c>
      <c r="P242" t="s">
        <v>981</v>
      </c>
      <c r="R242" t="s">
        <v>982</v>
      </c>
      <c r="S242" t="s">
        <v>145</v>
      </c>
      <c r="T242" t="s">
        <v>258</v>
      </c>
      <c r="U242" t="s">
        <v>146</v>
      </c>
      <c r="V242" t="s">
        <v>321</v>
      </c>
      <c r="W242">
        <v>690</v>
      </c>
      <c r="X242">
        <v>29.99</v>
      </c>
      <c r="Y242">
        <v>89</v>
      </c>
      <c r="Z242">
        <v>499000</v>
      </c>
      <c r="AA242">
        <v>193200</v>
      </c>
      <c r="AB242">
        <v>240</v>
      </c>
      <c r="AD242" t="s">
        <v>238</v>
      </c>
      <c r="AE242">
        <v>1</v>
      </c>
      <c r="AF242">
        <v>12</v>
      </c>
      <c r="AI242">
        <v>20</v>
      </c>
      <c r="AJ242">
        <v>160</v>
      </c>
      <c r="AK242">
        <v>192</v>
      </c>
      <c r="AL242">
        <v>280</v>
      </c>
      <c r="AM242">
        <v>208</v>
      </c>
      <c r="AN242">
        <v>0</v>
      </c>
      <c r="AO242">
        <v>208</v>
      </c>
      <c r="AP242" t="s">
        <v>80</v>
      </c>
      <c r="AQ242" t="s">
        <v>954</v>
      </c>
      <c r="AR242" t="s">
        <v>86</v>
      </c>
      <c r="AS242" t="s">
        <v>240</v>
      </c>
      <c r="AT242" t="s">
        <v>240</v>
      </c>
      <c r="AU242" t="s">
        <v>240</v>
      </c>
      <c r="AV242" t="s">
        <v>995</v>
      </c>
      <c r="AW242" t="s">
        <v>69</v>
      </c>
      <c r="AX242" t="s">
        <v>262</v>
      </c>
      <c r="AY242" t="s">
        <v>996</v>
      </c>
      <c r="AZ242" t="s">
        <v>264</v>
      </c>
      <c r="BA242" t="s">
        <v>245</v>
      </c>
      <c r="BB242" t="s">
        <v>245</v>
      </c>
      <c r="BC242" t="s">
        <v>244</v>
      </c>
      <c r="BD242" t="s">
        <v>997</v>
      </c>
      <c r="BE242" t="s">
        <v>998</v>
      </c>
      <c r="BF242" t="s">
        <v>240</v>
      </c>
      <c r="BG242" t="s">
        <v>110</v>
      </c>
      <c r="BH242" t="str">
        <f>IF(COUNTIF(工作表1!A:A, $C242)&gt;0, "預購款", "非預購款")</f>
        <v>非預購款</v>
      </c>
    </row>
    <row r="243" spans="1:60" x14ac:dyDescent="0.25">
      <c r="A243" t="s">
        <v>989</v>
      </c>
      <c r="B243" t="s">
        <v>226</v>
      </c>
      <c r="C243" t="s">
        <v>990</v>
      </c>
      <c r="D243" t="s">
        <v>991</v>
      </c>
      <c r="E243" t="s">
        <v>992</v>
      </c>
      <c r="F243" t="s">
        <v>142</v>
      </c>
      <c r="G243" t="s">
        <v>993</v>
      </c>
      <c r="H243" t="s">
        <v>130</v>
      </c>
      <c r="I243" t="s">
        <v>97</v>
      </c>
      <c r="J243" t="s">
        <v>98</v>
      </c>
      <c r="K243" t="s">
        <v>69</v>
      </c>
      <c r="L243" t="s">
        <v>994</v>
      </c>
      <c r="M243" t="s">
        <v>71</v>
      </c>
      <c r="N243" t="s">
        <v>100</v>
      </c>
      <c r="O243" t="s">
        <v>980</v>
      </c>
      <c r="P243" t="s">
        <v>981</v>
      </c>
      <c r="R243" t="s">
        <v>982</v>
      </c>
      <c r="S243" t="s">
        <v>145</v>
      </c>
      <c r="T243" t="s">
        <v>258</v>
      </c>
      <c r="U243" t="s">
        <v>146</v>
      </c>
      <c r="V243" t="s">
        <v>321</v>
      </c>
      <c r="W243">
        <v>690</v>
      </c>
      <c r="X243">
        <v>29.99</v>
      </c>
      <c r="Y243">
        <v>89</v>
      </c>
      <c r="Z243">
        <v>499000</v>
      </c>
      <c r="AA243">
        <v>193200</v>
      </c>
      <c r="AB243">
        <v>240</v>
      </c>
      <c r="AD243" t="s">
        <v>238</v>
      </c>
      <c r="AE243">
        <v>1</v>
      </c>
      <c r="AF243">
        <v>8</v>
      </c>
      <c r="AI243">
        <v>0</v>
      </c>
      <c r="AJ243">
        <v>65</v>
      </c>
      <c r="AK243">
        <v>73</v>
      </c>
      <c r="AL243">
        <v>280</v>
      </c>
      <c r="AM243">
        <v>83</v>
      </c>
      <c r="AN243">
        <v>0</v>
      </c>
      <c r="AO243">
        <v>83</v>
      </c>
      <c r="AP243" t="s">
        <v>80</v>
      </c>
      <c r="AQ243" t="s">
        <v>954</v>
      </c>
      <c r="AR243" t="s">
        <v>86</v>
      </c>
      <c r="AS243" t="s">
        <v>240</v>
      </c>
      <c r="AT243" t="s">
        <v>240</v>
      </c>
      <c r="AU243" t="s">
        <v>240</v>
      </c>
      <c r="AV243" t="s">
        <v>995</v>
      </c>
      <c r="AW243" t="s">
        <v>69</v>
      </c>
      <c r="AX243" t="s">
        <v>262</v>
      </c>
      <c r="AY243" t="s">
        <v>996</v>
      </c>
      <c r="AZ243" t="s">
        <v>264</v>
      </c>
      <c r="BA243" t="s">
        <v>245</v>
      </c>
      <c r="BB243" t="s">
        <v>245</v>
      </c>
      <c r="BC243" t="s">
        <v>244</v>
      </c>
      <c r="BD243" t="s">
        <v>999</v>
      </c>
      <c r="BE243" t="s">
        <v>998</v>
      </c>
      <c r="BF243" t="s">
        <v>240</v>
      </c>
      <c r="BG243" t="s">
        <v>110</v>
      </c>
      <c r="BH243" t="str">
        <f>IF(COUNTIF(工作表1!A:A, $C243)&gt;0, "預購款", "非預購款")</f>
        <v>非預購款</v>
      </c>
    </row>
    <row r="244" spans="1:60" x14ac:dyDescent="0.25">
      <c r="A244" t="s">
        <v>989</v>
      </c>
      <c r="B244" t="s">
        <v>226</v>
      </c>
      <c r="C244" t="s">
        <v>990</v>
      </c>
      <c r="D244" t="s">
        <v>991</v>
      </c>
      <c r="E244" t="s">
        <v>992</v>
      </c>
      <c r="F244" t="s">
        <v>142</v>
      </c>
      <c r="G244" t="s">
        <v>993</v>
      </c>
      <c r="H244" t="s">
        <v>132</v>
      </c>
      <c r="I244" t="s">
        <v>97</v>
      </c>
      <c r="J244" t="s">
        <v>98</v>
      </c>
      <c r="K244" t="s">
        <v>69</v>
      </c>
      <c r="L244" t="s">
        <v>994</v>
      </c>
      <c r="M244" t="s">
        <v>71</v>
      </c>
      <c r="N244" t="s">
        <v>100</v>
      </c>
      <c r="O244" t="s">
        <v>980</v>
      </c>
      <c r="P244" t="s">
        <v>981</v>
      </c>
      <c r="R244" t="s">
        <v>982</v>
      </c>
      <c r="S244" t="s">
        <v>145</v>
      </c>
      <c r="T244" t="s">
        <v>258</v>
      </c>
      <c r="U244" t="s">
        <v>146</v>
      </c>
      <c r="V244" t="s">
        <v>321</v>
      </c>
      <c r="W244">
        <v>690</v>
      </c>
      <c r="X244">
        <v>29.99</v>
      </c>
      <c r="Y244">
        <v>89</v>
      </c>
      <c r="Z244">
        <v>499000</v>
      </c>
      <c r="AA244">
        <v>193200</v>
      </c>
      <c r="AB244">
        <v>240</v>
      </c>
      <c r="AD244" t="s">
        <v>238</v>
      </c>
      <c r="AE244">
        <v>1</v>
      </c>
      <c r="AF244">
        <v>0</v>
      </c>
      <c r="AI244">
        <v>0</v>
      </c>
      <c r="AJ244">
        <v>15</v>
      </c>
      <c r="AK244">
        <v>15</v>
      </c>
      <c r="AL244">
        <v>280</v>
      </c>
      <c r="AM244">
        <v>24</v>
      </c>
      <c r="AN244">
        <v>0</v>
      </c>
      <c r="AO244">
        <v>24</v>
      </c>
      <c r="AP244" t="s">
        <v>80</v>
      </c>
      <c r="AQ244" t="s">
        <v>954</v>
      </c>
      <c r="AR244" t="s">
        <v>86</v>
      </c>
      <c r="AS244" t="s">
        <v>240</v>
      </c>
      <c r="AT244" t="s">
        <v>240</v>
      </c>
      <c r="AU244" t="s">
        <v>240</v>
      </c>
      <c r="AV244" t="s">
        <v>995</v>
      </c>
      <c r="AW244" t="s">
        <v>69</v>
      </c>
      <c r="AX244" t="s">
        <v>262</v>
      </c>
      <c r="AY244" t="s">
        <v>996</v>
      </c>
      <c r="AZ244" t="s">
        <v>264</v>
      </c>
      <c r="BA244" t="s">
        <v>245</v>
      </c>
      <c r="BB244" t="s">
        <v>245</v>
      </c>
      <c r="BC244" t="s">
        <v>244</v>
      </c>
      <c r="BD244" t="s">
        <v>1000</v>
      </c>
      <c r="BE244" t="s">
        <v>998</v>
      </c>
      <c r="BF244" t="s">
        <v>240</v>
      </c>
      <c r="BG244" t="s">
        <v>110</v>
      </c>
      <c r="BH244" t="str">
        <f>IF(COUNTIF(工作表1!A:A, $C244)&gt;0, "預購款", "非預購款")</f>
        <v>非預購款</v>
      </c>
    </row>
    <row r="245" spans="1:60" x14ac:dyDescent="0.25">
      <c r="A245" t="s">
        <v>1001</v>
      </c>
      <c r="B245" t="s">
        <v>226</v>
      </c>
      <c r="C245" t="s">
        <v>1002</v>
      </c>
      <c r="D245" t="s">
        <v>1003</v>
      </c>
      <c r="E245" t="s">
        <v>1004</v>
      </c>
      <c r="F245" t="s">
        <v>142</v>
      </c>
      <c r="G245" t="s">
        <v>1005</v>
      </c>
      <c r="H245" t="s">
        <v>119</v>
      </c>
      <c r="I245" t="s">
        <v>111</v>
      </c>
      <c r="J245" t="s">
        <v>112</v>
      </c>
      <c r="K245" t="s">
        <v>69</v>
      </c>
      <c r="L245" t="s">
        <v>841</v>
      </c>
      <c r="M245" t="s">
        <v>71</v>
      </c>
      <c r="N245" t="s">
        <v>100</v>
      </c>
      <c r="O245" t="s">
        <v>101</v>
      </c>
      <c r="P245" t="s">
        <v>102</v>
      </c>
      <c r="R245" t="s">
        <v>734</v>
      </c>
      <c r="S245" t="s">
        <v>145</v>
      </c>
      <c r="T245" t="s">
        <v>76</v>
      </c>
      <c r="U245" t="s">
        <v>383</v>
      </c>
      <c r="V245" t="s">
        <v>384</v>
      </c>
      <c r="W245">
        <v>1180</v>
      </c>
      <c r="X245">
        <v>49.99</v>
      </c>
      <c r="Y245">
        <v>155</v>
      </c>
      <c r="Z245">
        <v>859000</v>
      </c>
      <c r="AA245">
        <v>200600</v>
      </c>
      <c r="AB245">
        <v>652</v>
      </c>
      <c r="AD245" t="s">
        <v>238</v>
      </c>
      <c r="AE245">
        <v>1</v>
      </c>
      <c r="AF245">
        <v>0</v>
      </c>
      <c r="AI245">
        <v>0</v>
      </c>
      <c r="AJ245">
        <v>100</v>
      </c>
      <c r="AK245">
        <v>100</v>
      </c>
      <c r="AL245">
        <v>170</v>
      </c>
      <c r="AM245">
        <v>98</v>
      </c>
      <c r="AN245">
        <v>0</v>
      </c>
      <c r="AO245">
        <v>98</v>
      </c>
      <c r="AP245" t="s">
        <v>80</v>
      </c>
      <c r="AQ245" t="s">
        <v>624</v>
      </c>
      <c r="AR245" t="s">
        <v>86</v>
      </c>
      <c r="AS245" t="s">
        <v>86</v>
      </c>
      <c r="AT245" t="s">
        <v>86</v>
      </c>
      <c r="AU245" t="s">
        <v>86</v>
      </c>
      <c r="AV245" t="s">
        <v>799</v>
      </c>
      <c r="AW245" t="s">
        <v>69</v>
      </c>
      <c r="AX245" t="s">
        <v>387</v>
      </c>
      <c r="AY245" t="s">
        <v>1006</v>
      </c>
      <c r="AZ245" t="s">
        <v>264</v>
      </c>
      <c r="BA245" t="s">
        <v>245</v>
      </c>
      <c r="BB245" t="s">
        <v>245</v>
      </c>
      <c r="BC245" t="s">
        <v>245</v>
      </c>
      <c r="BD245" t="s">
        <v>1007</v>
      </c>
      <c r="BE245" t="s">
        <v>1008</v>
      </c>
      <c r="BF245" t="s">
        <v>86</v>
      </c>
      <c r="BG245" t="s">
        <v>110</v>
      </c>
      <c r="BH245" t="str">
        <f>IF(COUNTIF(工作表1!A:A, $C245)&gt;0, "預購款", "非預購款")</f>
        <v>非預購款</v>
      </c>
    </row>
    <row r="246" spans="1:60" x14ac:dyDescent="0.25">
      <c r="A246" t="s">
        <v>1001</v>
      </c>
      <c r="B246" t="s">
        <v>226</v>
      </c>
      <c r="C246" t="s">
        <v>1002</v>
      </c>
      <c r="D246" t="s">
        <v>1003</v>
      </c>
      <c r="E246" t="s">
        <v>1004</v>
      </c>
      <c r="F246" t="s">
        <v>142</v>
      </c>
      <c r="G246" t="s">
        <v>1005</v>
      </c>
      <c r="H246" t="s">
        <v>130</v>
      </c>
      <c r="I246" t="s">
        <v>111</v>
      </c>
      <c r="J246" t="s">
        <v>112</v>
      </c>
      <c r="K246" t="s">
        <v>69</v>
      </c>
      <c r="L246" t="s">
        <v>841</v>
      </c>
      <c r="M246" t="s">
        <v>71</v>
      </c>
      <c r="N246" t="s">
        <v>100</v>
      </c>
      <c r="O246" t="s">
        <v>101</v>
      </c>
      <c r="P246" t="s">
        <v>102</v>
      </c>
      <c r="R246" t="s">
        <v>734</v>
      </c>
      <c r="S246" t="s">
        <v>145</v>
      </c>
      <c r="T246" t="s">
        <v>76</v>
      </c>
      <c r="U246" t="s">
        <v>383</v>
      </c>
      <c r="V246" t="s">
        <v>384</v>
      </c>
      <c r="W246">
        <v>1180</v>
      </c>
      <c r="X246">
        <v>49.99</v>
      </c>
      <c r="Y246">
        <v>155</v>
      </c>
      <c r="Z246">
        <v>859000</v>
      </c>
      <c r="AA246">
        <v>200600</v>
      </c>
      <c r="AB246">
        <v>652</v>
      </c>
      <c r="AD246" t="s">
        <v>238</v>
      </c>
      <c r="AE246">
        <v>1</v>
      </c>
      <c r="AF246">
        <v>0</v>
      </c>
      <c r="AI246">
        <v>0</v>
      </c>
      <c r="AJ246">
        <v>60</v>
      </c>
      <c r="AK246">
        <v>60</v>
      </c>
      <c r="AL246">
        <v>170</v>
      </c>
      <c r="AM246">
        <v>59</v>
      </c>
      <c r="AN246">
        <v>0</v>
      </c>
      <c r="AO246">
        <v>59</v>
      </c>
      <c r="AP246" t="s">
        <v>80</v>
      </c>
      <c r="AQ246" t="s">
        <v>624</v>
      </c>
      <c r="AR246" t="s">
        <v>86</v>
      </c>
      <c r="AS246" t="s">
        <v>86</v>
      </c>
      <c r="AT246" t="s">
        <v>86</v>
      </c>
      <c r="AU246" t="s">
        <v>86</v>
      </c>
      <c r="AV246" t="s">
        <v>799</v>
      </c>
      <c r="AW246" t="s">
        <v>69</v>
      </c>
      <c r="AX246" t="s">
        <v>387</v>
      </c>
      <c r="AY246" t="s">
        <v>1006</v>
      </c>
      <c r="AZ246" t="s">
        <v>264</v>
      </c>
      <c r="BA246" t="s">
        <v>245</v>
      </c>
      <c r="BB246" t="s">
        <v>245</v>
      </c>
      <c r="BC246" t="s">
        <v>245</v>
      </c>
      <c r="BD246" t="s">
        <v>1009</v>
      </c>
      <c r="BE246" t="s">
        <v>1008</v>
      </c>
      <c r="BF246" t="s">
        <v>86</v>
      </c>
      <c r="BG246" t="s">
        <v>110</v>
      </c>
      <c r="BH246" t="str">
        <f>IF(COUNTIF(工作表1!A:A, $C246)&gt;0, "預購款", "非預購款")</f>
        <v>非預購款</v>
      </c>
    </row>
    <row r="247" spans="1:60" x14ac:dyDescent="0.25">
      <c r="A247" t="s">
        <v>1001</v>
      </c>
      <c r="B247" t="s">
        <v>226</v>
      </c>
      <c r="C247" t="s">
        <v>1002</v>
      </c>
      <c r="D247" t="s">
        <v>1003</v>
      </c>
      <c r="E247" t="s">
        <v>1004</v>
      </c>
      <c r="F247" t="s">
        <v>142</v>
      </c>
      <c r="G247" t="s">
        <v>1005</v>
      </c>
      <c r="H247" t="s">
        <v>132</v>
      </c>
      <c r="I247" t="s">
        <v>111</v>
      </c>
      <c r="J247" t="s">
        <v>112</v>
      </c>
      <c r="K247" t="s">
        <v>69</v>
      </c>
      <c r="L247" t="s">
        <v>841</v>
      </c>
      <c r="M247" t="s">
        <v>71</v>
      </c>
      <c r="N247" t="s">
        <v>100</v>
      </c>
      <c r="O247" t="s">
        <v>101</v>
      </c>
      <c r="P247" t="s">
        <v>102</v>
      </c>
      <c r="R247" t="s">
        <v>734</v>
      </c>
      <c r="S247" t="s">
        <v>145</v>
      </c>
      <c r="T247" t="s">
        <v>76</v>
      </c>
      <c r="U247" t="s">
        <v>383</v>
      </c>
      <c r="V247" t="s">
        <v>384</v>
      </c>
      <c r="W247">
        <v>1180</v>
      </c>
      <c r="X247">
        <v>49.99</v>
      </c>
      <c r="Y247">
        <v>155</v>
      </c>
      <c r="Z247">
        <v>859000</v>
      </c>
      <c r="AA247">
        <v>200600</v>
      </c>
      <c r="AB247">
        <v>652</v>
      </c>
      <c r="AD247" t="s">
        <v>238</v>
      </c>
      <c r="AE247">
        <v>1</v>
      </c>
      <c r="AF247">
        <v>0</v>
      </c>
      <c r="AI247">
        <v>0</v>
      </c>
      <c r="AJ247">
        <v>10</v>
      </c>
      <c r="AK247">
        <v>10</v>
      </c>
      <c r="AL247">
        <v>170</v>
      </c>
      <c r="AM247">
        <v>9</v>
      </c>
      <c r="AN247">
        <v>0</v>
      </c>
      <c r="AO247">
        <v>9</v>
      </c>
      <c r="AP247" t="s">
        <v>80</v>
      </c>
      <c r="AQ247" t="s">
        <v>624</v>
      </c>
      <c r="AR247" t="s">
        <v>86</v>
      </c>
      <c r="AS247" t="s">
        <v>86</v>
      </c>
      <c r="AT247" t="s">
        <v>86</v>
      </c>
      <c r="AU247" t="s">
        <v>86</v>
      </c>
      <c r="AV247" t="s">
        <v>799</v>
      </c>
      <c r="AW247" t="s">
        <v>69</v>
      </c>
      <c r="AX247" t="s">
        <v>387</v>
      </c>
      <c r="AY247" t="s">
        <v>1006</v>
      </c>
      <c r="AZ247" t="s">
        <v>264</v>
      </c>
      <c r="BA247" t="s">
        <v>245</v>
      </c>
      <c r="BB247" t="s">
        <v>245</v>
      </c>
      <c r="BC247" t="s">
        <v>245</v>
      </c>
      <c r="BD247" t="s">
        <v>1010</v>
      </c>
      <c r="BE247" t="s">
        <v>1008</v>
      </c>
      <c r="BF247" t="s">
        <v>86</v>
      </c>
      <c r="BG247" t="s">
        <v>110</v>
      </c>
      <c r="BH247" t="str">
        <f>IF(COUNTIF(工作表1!A:A, $C247)&gt;0, "預購款", "非預購款")</f>
        <v>非預購款</v>
      </c>
    </row>
    <row r="248" spans="1:60" x14ac:dyDescent="0.25">
      <c r="A248" t="s">
        <v>1011</v>
      </c>
      <c r="B248" t="s">
        <v>226</v>
      </c>
      <c r="C248" t="s">
        <v>1012</v>
      </c>
      <c r="D248" t="s">
        <v>1013</v>
      </c>
      <c r="E248" t="s">
        <v>1014</v>
      </c>
      <c r="F248" t="s">
        <v>142</v>
      </c>
      <c r="G248" t="s">
        <v>1015</v>
      </c>
      <c r="H248" t="s">
        <v>119</v>
      </c>
      <c r="I248" t="s">
        <v>171</v>
      </c>
      <c r="J248" t="s">
        <v>172</v>
      </c>
      <c r="K248" t="s">
        <v>69</v>
      </c>
      <c r="L248" t="s">
        <v>1016</v>
      </c>
      <c r="M248" t="s">
        <v>71</v>
      </c>
      <c r="N248" t="s">
        <v>100</v>
      </c>
      <c r="O248" t="s">
        <v>980</v>
      </c>
      <c r="P248" t="s">
        <v>981</v>
      </c>
      <c r="R248" t="s">
        <v>982</v>
      </c>
      <c r="S248" t="s">
        <v>145</v>
      </c>
      <c r="T248" t="s">
        <v>76</v>
      </c>
      <c r="U248" t="s">
        <v>77</v>
      </c>
      <c r="V248" t="s">
        <v>78</v>
      </c>
      <c r="W248">
        <v>990</v>
      </c>
      <c r="X248">
        <v>39.99</v>
      </c>
      <c r="Y248">
        <v>129</v>
      </c>
      <c r="Z248">
        <v>709000</v>
      </c>
      <c r="AA248">
        <v>252450</v>
      </c>
      <c r="AB248">
        <v>496</v>
      </c>
      <c r="AD248" t="s">
        <v>238</v>
      </c>
      <c r="AE248">
        <v>2</v>
      </c>
      <c r="AF248">
        <v>0</v>
      </c>
      <c r="AI248">
        <v>0</v>
      </c>
      <c r="AJ248">
        <v>60</v>
      </c>
      <c r="AK248">
        <v>60</v>
      </c>
      <c r="AL248">
        <v>255</v>
      </c>
      <c r="AM248">
        <v>54</v>
      </c>
      <c r="AN248">
        <v>0</v>
      </c>
      <c r="AO248">
        <v>54</v>
      </c>
      <c r="AP248" t="s">
        <v>80</v>
      </c>
      <c r="AQ248" t="s">
        <v>167</v>
      </c>
      <c r="AR248" t="s">
        <v>86</v>
      </c>
      <c r="AS248" t="s">
        <v>86</v>
      </c>
      <c r="AT248" t="s">
        <v>86</v>
      </c>
      <c r="AU248" t="s">
        <v>86</v>
      </c>
      <c r="AV248" t="s">
        <v>1017</v>
      </c>
      <c r="AW248" t="s">
        <v>80</v>
      </c>
      <c r="AX248" t="s">
        <v>82</v>
      </c>
      <c r="AY248" t="s">
        <v>1018</v>
      </c>
      <c r="AZ248" t="s">
        <v>245</v>
      </c>
      <c r="BA248" t="s">
        <v>245</v>
      </c>
      <c r="BB248" t="s">
        <v>245</v>
      </c>
      <c r="BC248" t="s">
        <v>244</v>
      </c>
      <c r="BD248" t="s">
        <v>1019</v>
      </c>
      <c r="BE248" t="s">
        <v>1020</v>
      </c>
      <c r="BF248" t="s">
        <v>86</v>
      </c>
      <c r="BG248" t="s">
        <v>150</v>
      </c>
      <c r="BH248" t="str">
        <f>IF(COUNTIF(工作表1!A:A, $C248)&gt;0, "預購款", "非預購款")</f>
        <v>非預購款</v>
      </c>
    </row>
    <row r="249" spans="1:60" x14ac:dyDescent="0.25">
      <c r="A249" t="s">
        <v>1011</v>
      </c>
      <c r="B249" t="s">
        <v>226</v>
      </c>
      <c r="C249" t="s">
        <v>1012</v>
      </c>
      <c r="D249" t="s">
        <v>1013</v>
      </c>
      <c r="E249" t="s">
        <v>1014</v>
      </c>
      <c r="F249" t="s">
        <v>142</v>
      </c>
      <c r="G249" t="s">
        <v>1015</v>
      </c>
      <c r="H249" t="s">
        <v>130</v>
      </c>
      <c r="I249" t="s">
        <v>171</v>
      </c>
      <c r="J249" t="s">
        <v>172</v>
      </c>
      <c r="K249" t="s">
        <v>69</v>
      </c>
      <c r="L249" t="s">
        <v>1016</v>
      </c>
      <c r="M249" t="s">
        <v>71</v>
      </c>
      <c r="N249" t="s">
        <v>100</v>
      </c>
      <c r="O249" t="s">
        <v>980</v>
      </c>
      <c r="P249" t="s">
        <v>981</v>
      </c>
      <c r="R249" t="s">
        <v>982</v>
      </c>
      <c r="S249" t="s">
        <v>145</v>
      </c>
      <c r="T249" t="s">
        <v>76</v>
      </c>
      <c r="U249" t="s">
        <v>77</v>
      </c>
      <c r="V249" t="s">
        <v>78</v>
      </c>
      <c r="W249">
        <v>990</v>
      </c>
      <c r="X249">
        <v>39.99</v>
      </c>
      <c r="Y249">
        <v>129</v>
      </c>
      <c r="Z249">
        <v>709000</v>
      </c>
      <c r="AA249">
        <v>252450</v>
      </c>
      <c r="AB249">
        <v>496</v>
      </c>
      <c r="AD249" t="s">
        <v>238</v>
      </c>
      <c r="AE249">
        <v>2</v>
      </c>
      <c r="AF249">
        <v>0</v>
      </c>
      <c r="AI249">
        <v>0</v>
      </c>
      <c r="AJ249">
        <v>50</v>
      </c>
      <c r="AK249">
        <v>50</v>
      </c>
      <c r="AL249">
        <v>255</v>
      </c>
      <c r="AM249">
        <v>45</v>
      </c>
      <c r="AN249">
        <v>0</v>
      </c>
      <c r="AO249">
        <v>45</v>
      </c>
      <c r="AP249" t="s">
        <v>80</v>
      </c>
      <c r="AQ249" t="s">
        <v>167</v>
      </c>
      <c r="AR249" t="s">
        <v>86</v>
      </c>
      <c r="AS249" t="s">
        <v>86</v>
      </c>
      <c r="AT249" t="s">
        <v>86</v>
      </c>
      <c r="AU249" t="s">
        <v>86</v>
      </c>
      <c r="AV249" t="s">
        <v>1017</v>
      </c>
      <c r="AW249" t="s">
        <v>80</v>
      </c>
      <c r="AX249" t="s">
        <v>82</v>
      </c>
      <c r="AY249" t="s">
        <v>1018</v>
      </c>
      <c r="AZ249" t="s">
        <v>245</v>
      </c>
      <c r="BA249" t="s">
        <v>245</v>
      </c>
      <c r="BB249" t="s">
        <v>245</v>
      </c>
      <c r="BC249" t="s">
        <v>244</v>
      </c>
      <c r="BD249" t="s">
        <v>1021</v>
      </c>
      <c r="BE249" t="s">
        <v>1020</v>
      </c>
      <c r="BF249" t="s">
        <v>86</v>
      </c>
      <c r="BG249" t="s">
        <v>150</v>
      </c>
      <c r="BH249" t="str">
        <f>IF(COUNTIF(工作表1!A:A, $C249)&gt;0, "預購款", "非預購款")</f>
        <v>非預購款</v>
      </c>
    </row>
    <row r="250" spans="1:60" x14ac:dyDescent="0.25">
      <c r="A250" t="s">
        <v>1011</v>
      </c>
      <c r="B250" t="s">
        <v>226</v>
      </c>
      <c r="C250" t="s">
        <v>1012</v>
      </c>
      <c r="D250" t="s">
        <v>1013</v>
      </c>
      <c r="E250" t="s">
        <v>1014</v>
      </c>
      <c r="F250" t="s">
        <v>142</v>
      </c>
      <c r="G250" t="s">
        <v>1015</v>
      </c>
      <c r="H250" t="s">
        <v>132</v>
      </c>
      <c r="I250" t="s">
        <v>171</v>
      </c>
      <c r="J250" t="s">
        <v>172</v>
      </c>
      <c r="K250" t="s">
        <v>69</v>
      </c>
      <c r="L250" t="s">
        <v>1016</v>
      </c>
      <c r="M250" t="s">
        <v>71</v>
      </c>
      <c r="N250" t="s">
        <v>100</v>
      </c>
      <c r="O250" t="s">
        <v>980</v>
      </c>
      <c r="P250" t="s">
        <v>981</v>
      </c>
      <c r="R250" t="s">
        <v>982</v>
      </c>
      <c r="S250" t="s">
        <v>145</v>
      </c>
      <c r="T250" t="s">
        <v>76</v>
      </c>
      <c r="U250" t="s">
        <v>77</v>
      </c>
      <c r="V250" t="s">
        <v>78</v>
      </c>
      <c r="W250">
        <v>990</v>
      </c>
      <c r="X250">
        <v>39.99</v>
      </c>
      <c r="Y250">
        <v>129</v>
      </c>
      <c r="Z250">
        <v>709000</v>
      </c>
      <c r="AA250">
        <v>252450</v>
      </c>
      <c r="AB250">
        <v>496</v>
      </c>
      <c r="AD250" t="s">
        <v>238</v>
      </c>
      <c r="AE250">
        <v>2</v>
      </c>
      <c r="AF250">
        <v>0</v>
      </c>
      <c r="AI250">
        <v>0</v>
      </c>
      <c r="AJ250">
        <v>20</v>
      </c>
      <c r="AK250">
        <v>20</v>
      </c>
      <c r="AL250">
        <v>255</v>
      </c>
      <c r="AM250">
        <v>17</v>
      </c>
      <c r="AN250">
        <v>0</v>
      </c>
      <c r="AO250">
        <v>17</v>
      </c>
      <c r="AP250" t="s">
        <v>80</v>
      </c>
      <c r="AQ250" t="s">
        <v>167</v>
      </c>
      <c r="AR250" t="s">
        <v>86</v>
      </c>
      <c r="AS250" t="s">
        <v>86</v>
      </c>
      <c r="AT250" t="s">
        <v>86</v>
      </c>
      <c r="AU250" t="s">
        <v>86</v>
      </c>
      <c r="AV250" t="s">
        <v>1017</v>
      </c>
      <c r="AW250" t="s">
        <v>80</v>
      </c>
      <c r="AX250" t="s">
        <v>82</v>
      </c>
      <c r="AY250" t="s">
        <v>1018</v>
      </c>
      <c r="AZ250" t="s">
        <v>245</v>
      </c>
      <c r="BA250" t="s">
        <v>245</v>
      </c>
      <c r="BB250" t="s">
        <v>245</v>
      </c>
      <c r="BC250" t="s">
        <v>244</v>
      </c>
      <c r="BD250" t="s">
        <v>1022</v>
      </c>
      <c r="BE250" t="s">
        <v>1020</v>
      </c>
      <c r="BF250" t="s">
        <v>86</v>
      </c>
      <c r="BG250" t="s">
        <v>150</v>
      </c>
      <c r="BH250" t="str">
        <f>IF(COUNTIF(工作表1!A:A, $C250)&gt;0, "預購款", "非預購款")</f>
        <v>非預購款</v>
      </c>
    </row>
    <row r="251" spans="1:60" x14ac:dyDescent="0.25">
      <c r="A251" t="s">
        <v>1011</v>
      </c>
      <c r="B251" t="s">
        <v>226</v>
      </c>
      <c r="C251" t="s">
        <v>1012</v>
      </c>
      <c r="D251" t="s">
        <v>1013</v>
      </c>
      <c r="E251" t="s">
        <v>1014</v>
      </c>
      <c r="F251" t="s">
        <v>142</v>
      </c>
      <c r="G251" t="s">
        <v>1015</v>
      </c>
      <c r="H251" t="s">
        <v>119</v>
      </c>
      <c r="I251" t="s">
        <v>88</v>
      </c>
      <c r="J251" t="s">
        <v>89</v>
      </c>
      <c r="K251" t="s">
        <v>69</v>
      </c>
      <c r="L251" t="s">
        <v>1016</v>
      </c>
      <c r="M251" t="s">
        <v>71</v>
      </c>
      <c r="N251" t="s">
        <v>100</v>
      </c>
      <c r="O251" t="s">
        <v>980</v>
      </c>
      <c r="P251" t="s">
        <v>981</v>
      </c>
      <c r="R251" t="s">
        <v>982</v>
      </c>
      <c r="S251" t="s">
        <v>145</v>
      </c>
      <c r="T251" t="s">
        <v>76</v>
      </c>
      <c r="U251" t="s">
        <v>77</v>
      </c>
      <c r="V251" t="s">
        <v>78</v>
      </c>
      <c r="W251">
        <v>990</v>
      </c>
      <c r="X251">
        <v>39.99</v>
      </c>
      <c r="Y251">
        <v>129</v>
      </c>
      <c r="Z251">
        <v>709000</v>
      </c>
      <c r="AA251">
        <v>252450</v>
      </c>
      <c r="AB251">
        <v>496</v>
      </c>
      <c r="AD251" t="s">
        <v>238</v>
      </c>
      <c r="AE251">
        <v>2</v>
      </c>
      <c r="AF251">
        <v>0</v>
      </c>
      <c r="AI251">
        <v>0</v>
      </c>
      <c r="AJ251">
        <v>60</v>
      </c>
      <c r="AK251">
        <v>60</v>
      </c>
      <c r="AL251">
        <v>255</v>
      </c>
      <c r="AM251">
        <v>56</v>
      </c>
      <c r="AN251">
        <v>0</v>
      </c>
      <c r="AO251">
        <v>56</v>
      </c>
      <c r="AP251" t="s">
        <v>80</v>
      </c>
      <c r="AQ251" t="s">
        <v>167</v>
      </c>
      <c r="AR251" t="s">
        <v>86</v>
      </c>
      <c r="AS251" t="s">
        <v>86</v>
      </c>
      <c r="AT251" t="s">
        <v>86</v>
      </c>
      <c r="AU251" t="s">
        <v>86</v>
      </c>
      <c r="AV251" t="s">
        <v>1017</v>
      </c>
      <c r="AW251" t="s">
        <v>80</v>
      </c>
      <c r="AX251" t="s">
        <v>82</v>
      </c>
      <c r="AY251" t="s">
        <v>1018</v>
      </c>
      <c r="AZ251" t="s">
        <v>245</v>
      </c>
      <c r="BA251" t="s">
        <v>245</v>
      </c>
      <c r="BB251" t="s">
        <v>245</v>
      </c>
      <c r="BC251" t="s">
        <v>244</v>
      </c>
      <c r="BD251" t="s">
        <v>1023</v>
      </c>
      <c r="BE251" t="s">
        <v>1020</v>
      </c>
      <c r="BF251" t="s">
        <v>86</v>
      </c>
      <c r="BG251" t="s">
        <v>150</v>
      </c>
      <c r="BH251" t="str">
        <f>IF(COUNTIF(工作表1!A:A, $C251)&gt;0, "預購款", "非預購款")</f>
        <v>非預購款</v>
      </c>
    </row>
    <row r="252" spans="1:60" x14ac:dyDescent="0.25">
      <c r="A252" t="s">
        <v>1011</v>
      </c>
      <c r="B252" t="s">
        <v>226</v>
      </c>
      <c r="C252" t="s">
        <v>1012</v>
      </c>
      <c r="D252" t="s">
        <v>1013</v>
      </c>
      <c r="E252" t="s">
        <v>1014</v>
      </c>
      <c r="F252" t="s">
        <v>142</v>
      </c>
      <c r="G252" t="s">
        <v>1015</v>
      </c>
      <c r="H252" t="s">
        <v>130</v>
      </c>
      <c r="I252" t="s">
        <v>88</v>
      </c>
      <c r="J252" t="s">
        <v>89</v>
      </c>
      <c r="K252" t="s">
        <v>69</v>
      </c>
      <c r="L252" t="s">
        <v>1016</v>
      </c>
      <c r="M252" t="s">
        <v>71</v>
      </c>
      <c r="N252" t="s">
        <v>100</v>
      </c>
      <c r="O252" t="s">
        <v>980</v>
      </c>
      <c r="P252" t="s">
        <v>981</v>
      </c>
      <c r="R252" t="s">
        <v>982</v>
      </c>
      <c r="S252" t="s">
        <v>145</v>
      </c>
      <c r="T252" t="s">
        <v>76</v>
      </c>
      <c r="U252" t="s">
        <v>77</v>
      </c>
      <c r="V252" t="s">
        <v>78</v>
      </c>
      <c r="W252">
        <v>990</v>
      </c>
      <c r="X252">
        <v>39.99</v>
      </c>
      <c r="Y252">
        <v>129</v>
      </c>
      <c r="Z252">
        <v>709000</v>
      </c>
      <c r="AA252">
        <v>252450</v>
      </c>
      <c r="AB252">
        <v>496</v>
      </c>
      <c r="AD252" t="s">
        <v>238</v>
      </c>
      <c r="AE252">
        <v>2</v>
      </c>
      <c r="AF252">
        <v>0</v>
      </c>
      <c r="AI252">
        <v>0</v>
      </c>
      <c r="AJ252">
        <v>45</v>
      </c>
      <c r="AK252">
        <v>45</v>
      </c>
      <c r="AL252">
        <v>255</v>
      </c>
      <c r="AM252">
        <v>42</v>
      </c>
      <c r="AN252">
        <v>0</v>
      </c>
      <c r="AO252">
        <v>42</v>
      </c>
      <c r="AP252" t="s">
        <v>80</v>
      </c>
      <c r="AQ252" t="s">
        <v>167</v>
      </c>
      <c r="AR252" t="s">
        <v>86</v>
      </c>
      <c r="AS252" t="s">
        <v>86</v>
      </c>
      <c r="AT252" t="s">
        <v>86</v>
      </c>
      <c r="AU252" t="s">
        <v>86</v>
      </c>
      <c r="AV252" t="s">
        <v>1017</v>
      </c>
      <c r="AW252" t="s">
        <v>80</v>
      </c>
      <c r="AX252" t="s">
        <v>82</v>
      </c>
      <c r="AY252" t="s">
        <v>1018</v>
      </c>
      <c r="AZ252" t="s">
        <v>245</v>
      </c>
      <c r="BA252" t="s">
        <v>245</v>
      </c>
      <c r="BB252" t="s">
        <v>245</v>
      </c>
      <c r="BC252" t="s">
        <v>244</v>
      </c>
      <c r="BD252" t="s">
        <v>1024</v>
      </c>
      <c r="BE252" t="s">
        <v>1020</v>
      </c>
      <c r="BF252" t="s">
        <v>86</v>
      </c>
      <c r="BG252" t="s">
        <v>150</v>
      </c>
      <c r="BH252" t="str">
        <f>IF(COUNTIF(工作表1!A:A, $C252)&gt;0, "預購款", "非預購款")</f>
        <v>非預購款</v>
      </c>
    </row>
    <row r="253" spans="1:60" x14ac:dyDescent="0.25">
      <c r="A253" t="s">
        <v>1011</v>
      </c>
      <c r="B253" t="s">
        <v>226</v>
      </c>
      <c r="C253" t="s">
        <v>1012</v>
      </c>
      <c r="D253" t="s">
        <v>1013</v>
      </c>
      <c r="E253" t="s">
        <v>1014</v>
      </c>
      <c r="F253" t="s">
        <v>142</v>
      </c>
      <c r="G253" t="s">
        <v>1015</v>
      </c>
      <c r="H253" t="s">
        <v>132</v>
      </c>
      <c r="I253" t="s">
        <v>88</v>
      </c>
      <c r="J253" t="s">
        <v>89</v>
      </c>
      <c r="K253" t="s">
        <v>69</v>
      </c>
      <c r="L253" t="s">
        <v>1016</v>
      </c>
      <c r="M253" t="s">
        <v>71</v>
      </c>
      <c r="N253" t="s">
        <v>100</v>
      </c>
      <c r="O253" t="s">
        <v>980</v>
      </c>
      <c r="P253" t="s">
        <v>981</v>
      </c>
      <c r="R253" t="s">
        <v>982</v>
      </c>
      <c r="S253" t="s">
        <v>145</v>
      </c>
      <c r="T253" t="s">
        <v>76</v>
      </c>
      <c r="U253" t="s">
        <v>77</v>
      </c>
      <c r="V253" t="s">
        <v>78</v>
      </c>
      <c r="W253">
        <v>990</v>
      </c>
      <c r="X253">
        <v>39.99</v>
      </c>
      <c r="Y253">
        <v>129</v>
      </c>
      <c r="Z253">
        <v>709000</v>
      </c>
      <c r="AA253">
        <v>252450</v>
      </c>
      <c r="AB253">
        <v>496</v>
      </c>
      <c r="AD253" t="s">
        <v>238</v>
      </c>
      <c r="AE253">
        <v>2</v>
      </c>
      <c r="AF253">
        <v>0</v>
      </c>
      <c r="AI253">
        <v>0</v>
      </c>
      <c r="AJ253">
        <v>20</v>
      </c>
      <c r="AK253">
        <v>20</v>
      </c>
      <c r="AL253">
        <v>255</v>
      </c>
      <c r="AM253">
        <v>17</v>
      </c>
      <c r="AN253">
        <v>0</v>
      </c>
      <c r="AO253">
        <v>17</v>
      </c>
      <c r="AP253" t="s">
        <v>80</v>
      </c>
      <c r="AQ253" t="s">
        <v>167</v>
      </c>
      <c r="AR253" t="s">
        <v>86</v>
      </c>
      <c r="AS253" t="s">
        <v>86</v>
      </c>
      <c r="AT253" t="s">
        <v>86</v>
      </c>
      <c r="AU253" t="s">
        <v>86</v>
      </c>
      <c r="AV253" t="s">
        <v>1017</v>
      </c>
      <c r="AW253" t="s">
        <v>80</v>
      </c>
      <c r="AX253" t="s">
        <v>82</v>
      </c>
      <c r="AY253" t="s">
        <v>1018</v>
      </c>
      <c r="AZ253" t="s">
        <v>245</v>
      </c>
      <c r="BA253" t="s">
        <v>245</v>
      </c>
      <c r="BB253" t="s">
        <v>245</v>
      </c>
      <c r="BC253" t="s">
        <v>244</v>
      </c>
      <c r="BD253" t="s">
        <v>1025</v>
      </c>
      <c r="BE253" t="s">
        <v>1020</v>
      </c>
      <c r="BF253" t="s">
        <v>86</v>
      </c>
      <c r="BG253" t="s">
        <v>150</v>
      </c>
      <c r="BH253" t="str">
        <f>IF(COUNTIF(工作表1!A:A, $C253)&gt;0, "預購款", "非預購款")</f>
        <v>非預購款</v>
      </c>
    </row>
    <row r="254" spans="1:60" x14ac:dyDescent="0.25">
      <c r="A254" t="s">
        <v>1039</v>
      </c>
      <c r="B254" t="s">
        <v>283</v>
      </c>
      <c r="C254" t="s">
        <v>1040</v>
      </c>
      <c r="D254" t="s">
        <v>1041</v>
      </c>
      <c r="E254" t="s">
        <v>1042</v>
      </c>
      <c r="F254" t="s">
        <v>142</v>
      </c>
      <c r="G254" t="s">
        <v>1043</v>
      </c>
      <c r="H254" t="s">
        <v>119</v>
      </c>
      <c r="I254" t="s">
        <v>97</v>
      </c>
      <c r="J254" t="s">
        <v>98</v>
      </c>
      <c r="K254" t="s">
        <v>69</v>
      </c>
      <c r="L254" t="s">
        <v>1044</v>
      </c>
      <c r="M254" t="s">
        <v>71</v>
      </c>
      <c r="N254" t="s">
        <v>100</v>
      </c>
      <c r="O254" t="s">
        <v>980</v>
      </c>
      <c r="P254" t="s">
        <v>981</v>
      </c>
      <c r="R254" t="s">
        <v>982</v>
      </c>
      <c r="S254" t="s">
        <v>145</v>
      </c>
      <c r="T254" t="s">
        <v>76</v>
      </c>
      <c r="U254" t="s">
        <v>104</v>
      </c>
      <c r="V254" t="s">
        <v>292</v>
      </c>
      <c r="W254">
        <v>490</v>
      </c>
      <c r="X254">
        <v>22.99</v>
      </c>
      <c r="Y254">
        <v>60</v>
      </c>
      <c r="Z254">
        <v>355000</v>
      </c>
      <c r="AA254">
        <v>154350</v>
      </c>
      <c r="AB254">
        <v>142</v>
      </c>
      <c r="AD254" t="s">
        <v>238</v>
      </c>
      <c r="AE254">
        <v>2</v>
      </c>
      <c r="AF254">
        <v>0</v>
      </c>
      <c r="AI254">
        <v>0</v>
      </c>
      <c r="AJ254">
        <v>80</v>
      </c>
      <c r="AK254">
        <v>80</v>
      </c>
      <c r="AL254">
        <v>315</v>
      </c>
      <c r="AM254">
        <v>74</v>
      </c>
      <c r="AN254">
        <v>0</v>
      </c>
      <c r="AO254">
        <v>74</v>
      </c>
      <c r="AP254" t="s">
        <v>80</v>
      </c>
      <c r="AQ254" t="s">
        <v>125</v>
      </c>
      <c r="AR254" t="s">
        <v>86</v>
      </c>
      <c r="AS254" t="s">
        <v>240</v>
      </c>
      <c r="AT254" t="s">
        <v>240</v>
      </c>
      <c r="AU254" t="s">
        <v>240</v>
      </c>
      <c r="AV254" t="s">
        <v>81</v>
      </c>
      <c r="AW254" t="s">
        <v>69</v>
      </c>
      <c r="AX254" t="s">
        <v>126</v>
      </c>
      <c r="AY254" t="s">
        <v>1045</v>
      </c>
      <c r="AZ254" t="s">
        <v>245</v>
      </c>
      <c r="BA254" t="s">
        <v>244</v>
      </c>
      <c r="BB254" t="s">
        <v>264</v>
      </c>
      <c r="BC254" t="s">
        <v>244</v>
      </c>
      <c r="BD254" t="s">
        <v>1046</v>
      </c>
      <c r="BE254" t="s">
        <v>1047</v>
      </c>
      <c r="BF254" t="s">
        <v>86</v>
      </c>
      <c r="BG254" t="s">
        <v>150</v>
      </c>
      <c r="BH254" t="str">
        <f>IF(COUNTIF(工作表1!A:A, $C254)&gt;0, "預購款", "非預購款")</f>
        <v>非預購款</v>
      </c>
    </row>
    <row r="255" spans="1:60" x14ac:dyDescent="0.25">
      <c r="A255" t="s">
        <v>1039</v>
      </c>
      <c r="B255" t="s">
        <v>283</v>
      </c>
      <c r="C255" t="s">
        <v>1040</v>
      </c>
      <c r="D255" t="s">
        <v>1041</v>
      </c>
      <c r="E255" t="s">
        <v>1042</v>
      </c>
      <c r="F255" t="s">
        <v>142</v>
      </c>
      <c r="G255" t="s">
        <v>1043</v>
      </c>
      <c r="H255" t="s">
        <v>130</v>
      </c>
      <c r="I255" t="s">
        <v>97</v>
      </c>
      <c r="J255" t="s">
        <v>98</v>
      </c>
      <c r="K255" t="s">
        <v>69</v>
      </c>
      <c r="L255" t="s">
        <v>1044</v>
      </c>
      <c r="M255" t="s">
        <v>71</v>
      </c>
      <c r="N255" t="s">
        <v>100</v>
      </c>
      <c r="O255" t="s">
        <v>980</v>
      </c>
      <c r="P255" t="s">
        <v>981</v>
      </c>
      <c r="R255" t="s">
        <v>982</v>
      </c>
      <c r="S255" t="s">
        <v>145</v>
      </c>
      <c r="T255" t="s">
        <v>76</v>
      </c>
      <c r="U255" t="s">
        <v>104</v>
      </c>
      <c r="V255" t="s">
        <v>292</v>
      </c>
      <c r="W255">
        <v>490</v>
      </c>
      <c r="X255">
        <v>22.99</v>
      </c>
      <c r="Y255">
        <v>60</v>
      </c>
      <c r="Z255">
        <v>355000</v>
      </c>
      <c r="AA255">
        <v>154350</v>
      </c>
      <c r="AB255">
        <v>142</v>
      </c>
      <c r="AD255" t="s">
        <v>238</v>
      </c>
      <c r="AE255">
        <v>2</v>
      </c>
      <c r="AF255">
        <v>0</v>
      </c>
      <c r="AI255">
        <v>0</v>
      </c>
      <c r="AJ255">
        <v>70</v>
      </c>
      <c r="AK255">
        <v>70</v>
      </c>
      <c r="AL255">
        <v>315</v>
      </c>
      <c r="AM255">
        <v>66</v>
      </c>
      <c r="AN255">
        <v>0</v>
      </c>
      <c r="AO255">
        <v>66</v>
      </c>
      <c r="AP255" t="s">
        <v>80</v>
      </c>
      <c r="AQ255" t="s">
        <v>125</v>
      </c>
      <c r="AR255" t="s">
        <v>86</v>
      </c>
      <c r="AS255" t="s">
        <v>240</v>
      </c>
      <c r="AT255" t="s">
        <v>240</v>
      </c>
      <c r="AU255" t="s">
        <v>240</v>
      </c>
      <c r="AV255" t="s">
        <v>81</v>
      </c>
      <c r="AW255" t="s">
        <v>69</v>
      </c>
      <c r="AX255" t="s">
        <v>126</v>
      </c>
      <c r="AY255" t="s">
        <v>1045</v>
      </c>
      <c r="AZ255" t="s">
        <v>245</v>
      </c>
      <c r="BA255" t="s">
        <v>244</v>
      </c>
      <c r="BB255" t="s">
        <v>264</v>
      </c>
      <c r="BC255" t="s">
        <v>244</v>
      </c>
      <c r="BD255" t="s">
        <v>1048</v>
      </c>
      <c r="BE255" t="s">
        <v>1047</v>
      </c>
      <c r="BF255" t="s">
        <v>86</v>
      </c>
      <c r="BG255" t="s">
        <v>150</v>
      </c>
      <c r="BH255" t="str">
        <f>IF(COUNTIF(工作表1!A:A, $C255)&gt;0, "預購款", "非預購款")</f>
        <v>非預購款</v>
      </c>
    </row>
    <row r="256" spans="1:60" x14ac:dyDescent="0.25">
      <c r="A256" t="s">
        <v>1039</v>
      </c>
      <c r="B256" t="s">
        <v>283</v>
      </c>
      <c r="C256" t="s">
        <v>1040</v>
      </c>
      <c r="D256" t="s">
        <v>1041</v>
      </c>
      <c r="E256" t="s">
        <v>1042</v>
      </c>
      <c r="F256" t="s">
        <v>142</v>
      </c>
      <c r="G256" t="s">
        <v>1043</v>
      </c>
      <c r="H256" t="s">
        <v>132</v>
      </c>
      <c r="I256" t="s">
        <v>97</v>
      </c>
      <c r="J256" t="s">
        <v>98</v>
      </c>
      <c r="K256" t="s">
        <v>69</v>
      </c>
      <c r="L256" t="s">
        <v>1044</v>
      </c>
      <c r="M256" t="s">
        <v>71</v>
      </c>
      <c r="N256" t="s">
        <v>100</v>
      </c>
      <c r="O256" t="s">
        <v>980</v>
      </c>
      <c r="P256" t="s">
        <v>981</v>
      </c>
      <c r="R256" t="s">
        <v>982</v>
      </c>
      <c r="S256" t="s">
        <v>145</v>
      </c>
      <c r="T256" t="s">
        <v>76</v>
      </c>
      <c r="U256" t="s">
        <v>104</v>
      </c>
      <c r="V256" t="s">
        <v>292</v>
      </c>
      <c r="W256">
        <v>490</v>
      </c>
      <c r="X256">
        <v>22.99</v>
      </c>
      <c r="Y256">
        <v>60</v>
      </c>
      <c r="Z256">
        <v>355000</v>
      </c>
      <c r="AA256">
        <v>154350</v>
      </c>
      <c r="AB256">
        <v>142</v>
      </c>
      <c r="AD256" t="s">
        <v>238</v>
      </c>
      <c r="AE256">
        <v>2</v>
      </c>
      <c r="AF256">
        <v>0</v>
      </c>
      <c r="AI256">
        <v>0</v>
      </c>
      <c r="AJ256">
        <v>30</v>
      </c>
      <c r="AK256">
        <v>30</v>
      </c>
      <c r="AL256">
        <v>315</v>
      </c>
      <c r="AM256">
        <v>26</v>
      </c>
      <c r="AN256">
        <v>0</v>
      </c>
      <c r="AO256">
        <v>26</v>
      </c>
      <c r="AP256" t="s">
        <v>80</v>
      </c>
      <c r="AQ256" t="s">
        <v>125</v>
      </c>
      <c r="AR256" t="s">
        <v>86</v>
      </c>
      <c r="AS256" t="s">
        <v>240</v>
      </c>
      <c r="AT256" t="s">
        <v>240</v>
      </c>
      <c r="AU256" t="s">
        <v>240</v>
      </c>
      <c r="AV256" t="s">
        <v>81</v>
      </c>
      <c r="AW256" t="s">
        <v>69</v>
      </c>
      <c r="AX256" t="s">
        <v>126</v>
      </c>
      <c r="AY256" t="s">
        <v>1045</v>
      </c>
      <c r="AZ256" t="s">
        <v>245</v>
      </c>
      <c r="BA256" t="s">
        <v>244</v>
      </c>
      <c r="BB256" t="s">
        <v>264</v>
      </c>
      <c r="BC256" t="s">
        <v>244</v>
      </c>
      <c r="BD256" t="s">
        <v>1049</v>
      </c>
      <c r="BE256" t="s">
        <v>1047</v>
      </c>
      <c r="BF256" t="s">
        <v>86</v>
      </c>
      <c r="BG256" t="s">
        <v>150</v>
      </c>
      <c r="BH256" t="str">
        <f>IF(COUNTIF(工作表1!A:A, $C256)&gt;0, "預購款", "非預購款")</f>
        <v>非預購款</v>
      </c>
    </row>
    <row r="257" spans="1:60" x14ac:dyDescent="0.25">
      <c r="A257" t="s">
        <v>1039</v>
      </c>
      <c r="B257" t="s">
        <v>283</v>
      </c>
      <c r="C257" t="s">
        <v>1040</v>
      </c>
      <c r="D257" t="s">
        <v>1041</v>
      </c>
      <c r="E257" t="s">
        <v>1042</v>
      </c>
      <c r="F257" t="s">
        <v>142</v>
      </c>
      <c r="G257" t="s">
        <v>1043</v>
      </c>
      <c r="H257" t="s">
        <v>119</v>
      </c>
      <c r="I257" t="s">
        <v>88</v>
      </c>
      <c r="J257" t="s">
        <v>89</v>
      </c>
      <c r="K257" t="s">
        <v>69</v>
      </c>
      <c r="L257" t="s">
        <v>1044</v>
      </c>
      <c r="M257" t="s">
        <v>71</v>
      </c>
      <c r="N257" t="s">
        <v>100</v>
      </c>
      <c r="O257" t="s">
        <v>980</v>
      </c>
      <c r="P257" t="s">
        <v>981</v>
      </c>
      <c r="R257" t="s">
        <v>982</v>
      </c>
      <c r="S257" t="s">
        <v>145</v>
      </c>
      <c r="T257" t="s">
        <v>76</v>
      </c>
      <c r="U257" t="s">
        <v>104</v>
      </c>
      <c r="V257" t="s">
        <v>292</v>
      </c>
      <c r="W257">
        <v>490</v>
      </c>
      <c r="X257">
        <v>22.99</v>
      </c>
      <c r="Y257">
        <v>60</v>
      </c>
      <c r="Z257">
        <v>355000</v>
      </c>
      <c r="AA257">
        <v>154350</v>
      </c>
      <c r="AB257">
        <v>142</v>
      </c>
      <c r="AD257" t="s">
        <v>238</v>
      </c>
      <c r="AE257">
        <v>2</v>
      </c>
      <c r="AF257">
        <v>0</v>
      </c>
      <c r="AI257">
        <v>0</v>
      </c>
      <c r="AJ257">
        <v>60</v>
      </c>
      <c r="AK257">
        <v>60</v>
      </c>
      <c r="AL257">
        <v>315</v>
      </c>
      <c r="AM257">
        <v>58</v>
      </c>
      <c r="AN257">
        <v>0</v>
      </c>
      <c r="AO257">
        <v>58</v>
      </c>
      <c r="AP257" t="s">
        <v>80</v>
      </c>
      <c r="AQ257" t="s">
        <v>125</v>
      </c>
      <c r="AR257" t="s">
        <v>86</v>
      </c>
      <c r="AS257" t="s">
        <v>240</v>
      </c>
      <c r="AT257" t="s">
        <v>240</v>
      </c>
      <c r="AU257" t="s">
        <v>240</v>
      </c>
      <c r="AV257" t="s">
        <v>81</v>
      </c>
      <c r="AW257" t="s">
        <v>69</v>
      </c>
      <c r="AX257" t="s">
        <v>126</v>
      </c>
      <c r="AY257" t="s">
        <v>1045</v>
      </c>
      <c r="AZ257" t="s">
        <v>245</v>
      </c>
      <c r="BA257" t="s">
        <v>244</v>
      </c>
      <c r="BB257" t="s">
        <v>264</v>
      </c>
      <c r="BC257" t="s">
        <v>244</v>
      </c>
      <c r="BD257" t="s">
        <v>1050</v>
      </c>
      <c r="BE257" t="s">
        <v>1047</v>
      </c>
      <c r="BF257" t="s">
        <v>86</v>
      </c>
      <c r="BG257" t="s">
        <v>150</v>
      </c>
      <c r="BH257" t="str">
        <f>IF(COUNTIF(工作表1!A:A, $C257)&gt;0, "預購款", "非預購款")</f>
        <v>非預購款</v>
      </c>
    </row>
    <row r="258" spans="1:60" x14ac:dyDescent="0.25">
      <c r="A258" t="s">
        <v>1039</v>
      </c>
      <c r="B258" t="s">
        <v>283</v>
      </c>
      <c r="C258" t="s">
        <v>1040</v>
      </c>
      <c r="D258" t="s">
        <v>1041</v>
      </c>
      <c r="E258" t="s">
        <v>1042</v>
      </c>
      <c r="F258" t="s">
        <v>142</v>
      </c>
      <c r="G258" t="s">
        <v>1043</v>
      </c>
      <c r="H258" t="s">
        <v>130</v>
      </c>
      <c r="I258" t="s">
        <v>88</v>
      </c>
      <c r="J258" t="s">
        <v>89</v>
      </c>
      <c r="K258" t="s">
        <v>69</v>
      </c>
      <c r="L258" t="s">
        <v>1044</v>
      </c>
      <c r="M258" t="s">
        <v>71</v>
      </c>
      <c r="N258" t="s">
        <v>100</v>
      </c>
      <c r="O258" t="s">
        <v>980</v>
      </c>
      <c r="P258" t="s">
        <v>981</v>
      </c>
      <c r="R258" t="s">
        <v>982</v>
      </c>
      <c r="S258" t="s">
        <v>145</v>
      </c>
      <c r="T258" t="s">
        <v>76</v>
      </c>
      <c r="U258" t="s">
        <v>104</v>
      </c>
      <c r="V258" t="s">
        <v>292</v>
      </c>
      <c r="W258">
        <v>490</v>
      </c>
      <c r="X258">
        <v>22.99</v>
      </c>
      <c r="Y258">
        <v>60</v>
      </c>
      <c r="Z258">
        <v>355000</v>
      </c>
      <c r="AA258">
        <v>154350</v>
      </c>
      <c r="AB258">
        <v>142</v>
      </c>
      <c r="AD258" t="s">
        <v>238</v>
      </c>
      <c r="AE258">
        <v>2</v>
      </c>
      <c r="AF258">
        <v>0</v>
      </c>
      <c r="AI258">
        <v>0</v>
      </c>
      <c r="AJ258">
        <v>50</v>
      </c>
      <c r="AK258">
        <v>50</v>
      </c>
      <c r="AL258">
        <v>315</v>
      </c>
      <c r="AM258">
        <v>48</v>
      </c>
      <c r="AN258">
        <v>0</v>
      </c>
      <c r="AO258">
        <v>48</v>
      </c>
      <c r="AP258" t="s">
        <v>80</v>
      </c>
      <c r="AQ258" t="s">
        <v>125</v>
      </c>
      <c r="AR258" t="s">
        <v>86</v>
      </c>
      <c r="AS258" t="s">
        <v>240</v>
      </c>
      <c r="AT258" t="s">
        <v>240</v>
      </c>
      <c r="AU258" t="s">
        <v>240</v>
      </c>
      <c r="AV258" t="s">
        <v>81</v>
      </c>
      <c r="AW258" t="s">
        <v>69</v>
      </c>
      <c r="AX258" t="s">
        <v>126</v>
      </c>
      <c r="AY258" t="s">
        <v>1045</v>
      </c>
      <c r="AZ258" t="s">
        <v>245</v>
      </c>
      <c r="BA258" t="s">
        <v>244</v>
      </c>
      <c r="BB258" t="s">
        <v>264</v>
      </c>
      <c r="BC258" t="s">
        <v>244</v>
      </c>
      <c r="BD258" t="s">
        <v>1051</v>
      </c>
      <c r="BE258" t="s">
        <v>1047</v>
      </c>
      <c r="BF258" t="s">
        <v>86</v>
      </c>
      <c r="BG258" t="s">
        <v>150</v>
      </c>
      <c r="BH258" t="str">
        <f>IF(COUNTIF(工作表1!A:A, $C258)&gt;0, "預購款", "非預購款")</f>
        <v>非預購款</v>
      </c>
    </row>
    <row r="259" spans="1:60" x14ac:dyDescent="0.25">
      <c r="A259" t="s">
        <v>1039</v>
      </c>
      <c r="B259" t="s">
        <v>283</v>
      </c>
      <c r="C259" t="s">
        <v>1040</v>
      </c>
      <c r="D259" t="s">
        <v>1041</v>
      </c>
      <c r="E259" t="s">
        <v>1042</v>
      </c>
      <c r="F259" t="s">
        <v>142</v>
      </c>
      <c r="G259" t="s">
        <v>1043</v>
      </c>
      <c r="H259" t="s">
        <v>132</v>
      </c>
      <c r="I259" t="s">
        <v>88</v>
      </c>
      <c r="J259" t="s">
        <v>89</v>
      </c>
      <c r="K259" t="s">
        <v>69</v>
      </c>
      <c r="L259" t="s">
        <v>1044</v>
      </c>
      <c r="M259" t="s">
        <v>71</v>
      </c>
      <c r="N259" t="s">
        <v>100</v>
      </c>
      <c r="O259" t="s">
        <v>980</v>
      </c>
      <c r="P259" t="s">
        <v>981</v>
      </c>
      <c r="R259" t="s">
        <v>982</v>
      </c>
      <c r="S259" t="s">
        <v>145</v>
      </c>
      <c r="T259" t="s">
        <v>76</v>
      </c>
      <c r="U259" t="s">
        <v>104</v>
      </c>
      <c r="V259" t="s">
        <v>292</v>
      </c>
      <c r="W259">
        <v>490</v>
      </c>
      <c r="X259">
        <v>22.99</v>
      </c>
      <c r="Y259">
        <v>60</v>
      </c>
      <c r="Z259">
        <v>355000</v>
      </c>
      <c r="AA259">
        <v>154350</v>
      </c>
      <c r="AB259">
        <v>142</v>
      </c>
      <c r="AD259" t="s">
        <v>238</v>
      </c>
      <c r="AE259">
        <v>2</v>
      </c>
      <c r="AF259">
        <v>0</v>
      </c>
      <c r="AI259">
        <v>0</v>
      </c>
      <c r="AJ259">
        <v>25</v>
      </c>
      <c r="AK259">
        <v>25</v>
      </c>
      <c r="AL259">
        <v>315</v>
      </c>
      <c r="AM259">
        <v>23</v>
      </c>
      <c r="AN259">
        <v>0</v>
      </c>
      <c r="AO259">
        <v>23</v>
      </c>
      <c r="AP259" t="s">
        <v>80</v>
      </c>
      <c r="AQ259" t="s">
        <v>125</v>
      </c>
      <c r="AR259" t="s">
        <v>86</v>
      </c>
      <c r="AS259" t="s">
        <v>240</v>
      </c>
      <c r="AT259" t="s">
        <v>240</v>
      </c>
      <c r="AU259" t="s">
        <v>240</v>
      </c>
      <c r="AV259" t="s">
        <v>81</v>
      </c>
      <c r="AW259" t="s">
        <v>69</v>
      </c>
      <c r="AX259" t="s">
        <v>126</v>
      </c>
      <c r="AY259" t="s">
        <v>1045</v>
      </c>
      <c r="AZ259" t="s">
        <v>245</v>
      </c>
      <c r="BA259" t="s">
        <v>244</v>
      </c>
      <c r="BB259" t="s">
        <v>264</v>
      </c>
      <c r="BC259" t="s">
        <v>244</v>
      </c>
      <c r="BD259" t="s">
        <v>1052</v>
      </c>
      <c r="BE259" t="s">
        <v>1047</v>
      </c>
      <c r="BF259" t="s">
        <v>86</v>
      </c>
      <c r="BG259" t="s">
        <v>150</v>
      </c>
      <c r="BH259" t="str">
        <f>IF(COUNTIF(工作表1!A:A, $C259)&gt;0, "預購款", "非預購款")</f>
        <v>非預購款</v>
      </c>
    </row>
    <row r="260" spans="1:60" x14ac:dyDescent="0.25">
      <c r="A260" t="s">
        <v>877</v>
      </c>
      <c r="B260" t="s">
        <v>301</v>
      </c>
      <c r="C260" t="s">
        <v>878</v>
      </c>
      <c r="D260" t="s">
        <v>879</v>
      </c>
      <c r="E260" t="s">
        <v>880</v>
      </c>
      <c r="F260" t="s">
        <v>142</v>
      </c>
      <c r="G260" t="s">
        <v>881</v>
      </c>
      <c r="H260" t="s">
        <v>119</v>
      </c>
      <c r="I260" t="s">
        <v>97</v>
      </c>
      <c r="J260" t="s">
        <v>98</v>
      </c>
      <c r="K260" t="s">
        <v>69</v>
      </c>
      <c r="L260" t="s">
        <v>882</v>
      </c>
      <c r="M260" t="s">
        <v>71</v>
      </c>
      <c r="N260" t="s">
        <v>100</v>
      </c>
      <c r="O260" t="s">
        <v>101</v>
      </c>
      <c r="P260" t="s">
        <v>102</v>
      </c>
      <c r="R260" t="s">
        <v>734</v>
      </c>
      <c r="S260" t="s">
        <v>145</v>
      </c>
      <c r="T260" t="s">
        <v>76</v>
      </c>
      <c r="U260" t="s">
        <v>150</v>
      </c>
      <c r="V260" t="s">
        <v>366</v>
      </c>
      <c r="W260">
        <v>690</v>
      </c>
      <c r="X260">
        <v>29.99</v>
      </c>
      <c r="Y260">
        <v>89</v>
      </c>
      <c r="Z260">
        <v>499000</v>
      </c>
      <c r="AA260">
        <v>96600</v>
      </c>
      <c r="AB260">
        <v>250</v>
      </c>
      <c r="AD260" t="s">
        <v>238</v>
      </c>
      <c r="AE260">
        <v>1</v>
      </c>
      <c r="AF260">
        <v>0</v>
      </c>
      <c r="AI260">
        <v>20</v>
      </c>
      <c r="AJ260">
        <v>60</v>
      </c>
      <c r="AK260">
        <v>80</v>
      </c>
      <c r="AL260">
        <v>140</v>
      </c>
      <c r="AM260">
        <v>88</v>
      </c>
      <c r="AN260">
        <v>0</v>
      </c>
      <c r="AO260">
        <v>88</v>
      </c>
      <c r="AP260" t="s">
        <v>80</v>
      </c>
      <c r="AQ260" t="s">
        <v>630</v>
      </c>
      <c r="AR260" t="s">
        <v>86</v>
      </c>
      <c r="AS260" t="s">
        <v>86</v>
      </c>
      <c r="AT260" t="s">
        <v>86</v>
      </c>
      <c r="AU260" t="s">
        <v>86</v>
      </c>
      <c r="AV260" t="s">
        <v>308</v>
      </c>
      <c r="AW260" t="s">
        <v>69</v>
      </c>
      <c r="AX260" t="s">
        <v>126</v>
      </c>
      <c r="AY260" t="s">
        <v>883</v>
      </c>
      <c r="AZ260" t="s">
        <v>310</v>
      </c>
      <c r="BA260" t="s">
        <v>244</v>
      </c>
      <c r="BB260" t="s">
        <v>244</v>
      </c>
      <c r="BC260" t="s">
        <v>264</v>
      </c>
      <c r="BD260" t="s">
        <v>1053</v>
      </c>
      <c r="BE260" t="s">
        <v>1054</v>
      </c>
      <c r="BF260" t="s">
        <v>86</v>
      </c>
      <c r="BG260" t="s">
        <v>87</v>
      </c>
      <c r="BH260" t="str">
        <f>IF(COUNTIF(工作表1!A:A, $C260)&gt;0, "預購款", "非預購款")</f>
        <v>非預購款</v>
      </c>
    </row>
    <row r="261" spans="1:60" x14ac:dyDescent="0.25">
      <c r="A261" t="s">
        <v>877</v>
      </c>
      <c r="B261" t="s">
        <v>301</v>
      </c>
      <c r="C261" t="s">
        <v>878</v>
      </c>
      <c r="D261" t="s">
        <v>879</v>
      </c>
      <c r="E261" t="s">
        <v>880</v>
      </c>
      <c r="F261" t="s">
        <v>142</v>
      </c>
      <c r="G261" t="s">
        <v>881</v>
      </c>
      <c r="H261" t="s">
        <v>130</v>
      </c>
      <c r="I261" t="s">
        <v>97</v>
      </c>
      <c r="J261" t="s">
        <v>98</v>
      </c>
      <c r="K261" t="s">
        <v>69</v>
      </c>
      <c r="L261" t="s">
        <v>882</v>
      </c>
      <c r="M261" t="s">
        <v>71</v>
      </c>
      <c r="N261" t="s">
        <v>100</v>
      </c>
      <c r="O261" t="s">
        <v>101</v>
      </c>
      <c r="P261" t="s">
        <v>102</v>
      </c>
      <c r="R261" t="s">
        <v>734</v>
      </c>
      <c r="S261" t="s">
        <v>145</v>
      </c>
      <c r="T261" t="s">
        <v>76</v>
      </c>
      <c r="U261" t="s">
        <v>150</v>
      </c>
      <c r="V261" t="s">
        <v>366</v>
      </c>
      <c r="W261">
        <v>690</v>
      </c>
      <c r="X261">
        <v>29.99</v>
      </c>
      <c r="Y261">
        <v>89</v>
      </c>
      <c r="Z261">
        <v>499000</v>
      </c>
      <c r="AA261">
        <v>96600</v>
      </c>
      <c r="AB261">
        <v>250</v>
      </c>
      <c r="AD261" t="s">
        <v>238</v>
      </c>
      <c r="AE261">
        <v>1</v>
      </c>
      <c r="AF261">
        <v>0</v>
      </c>
      <c r="AI261">
        <v>20</v>
      </c>
      <c r="AJ261">
        <v>40</v>
      </c>
      <c r="AK261">
        <v>60</v>
      </c>
      <c r="AL261">
        <v>140</v>
      </c>
      <c r="AM261">
        <v>70</v>
      </c>
      <c r="AN261">
        <v>0</v>
      </c>
      <c r="AO261">
        <v>70</v>
      </c>
      <c r="AP261" t="s">
        <v>80</v>
      </c>
      <c r="AQ261" t="s">
        <v>630</v>
      </c>
      <c r="AR261" t="s">
        <v>86</v>
      </c>
      <c r="AS261" t="s">
        <v>86</v>
      </c>
      <c r="AT261" t="s">
        <v>86</v>
      </c>
      <c r="AU261" t="s">
        <v>86</v>
      </c>
      <c r="AV261" t="s">
        <v>308</v>
      </c>
      <c r="AW261" t="s">
        <v>69</v>
      </c>
      <c r="AX261" t="s">
        <v>126</v>
      </c>
      <c r="AY261" t="s">
        <v>883</v>
      </c>
      <c r="AZ261" t="s">
        <v>310</v>
      </c>
      <c r="BA261" t="s">
        <v>244</v>
      </c>
      <c r="BB261" t="s">
        <v>244</v>
      </c>
      <c r="BC261" t="s">
        <v>264</v>
      </c>
      <c r="BD261" t="s">
        <v>1055</v>
      </c>
      <c r="BE261" t="s">
        <v>1054</v>
      </c>
      <c r="BF261" t="s">
        <v>86</v>
      </c>
      <c r="BG261" t="s">
        <v>87</v>
      </c>
      <c r="BH261" t="str">
        <f>IF(COUNTIF(工作表1!A:A, $C261)&gt;0, "預購款", "非預購款")</f>
        <v>非預購款</v>
      </c>
    </row>
    <row r="262" spans="1:60" x14ac:dyDescent="0.25">
      <c r="A262" t="s">
        <v>1056</v>
      </c>
      <c r="B262" t="s">
        <v>315</v>
      </c>
      <c r="C262" t="s">
        <v>1057</v>
      </c>
      <c r="D262" t="s">
        <v>1058</v>
      </c>
      <c r="E262" t="s">
        <v>1059</v>
      </c>
      <c r="F262" t="s">
        <v>142</v>
      </c>
      <c r="G262" t="s">
        <v>1060</v>
      </c>
      <c r="H262" t="s">
        <v>273</v>
      </c>
      <c r="I262" t="s">
        <v>97</v>
      </c>
      <c r="J262" t="s">
        <v>98</v>
      </c>
      <c r="K262" t="s">
        <v>69</v>
      </c>
      <c r="L262" t="s">
        <v>1061</v>
      </c>
      <c r="M262" t="s">
        <v>71</v>
      </c>
      <c r="N262" t="s">
        <v>100</v>
      </c>
      <c r="O262" t="s">
        <v>980</v>
      </c>
      <c r="P262" t="s">
        <v>981</v>
      </c>
      <c r="R262" t="s">
        <v>982</v>
      </c>
      <c r="S262" t="s">
        <v>145</v>
      </c>
      <c r="T262" t="s">
        <v>274</v>
      </c>
      <c r="U262" t="s">
        <v>104</v>
      </c>
      <c r="V262" t="s">
        <v>653</v>
      </c>
      <c r="W262">
        <v>590</v>
      </c>
      <c r="X262">
        <v>29.99</v>
      </c>
      <c r="Y262">
        <v>75</v>
      </c>
      <c r="Z262">
        <v>429000</v>
      </c>
      <c r="AA262">
        <v>129800</v>
      </c>
      <c r="AB262">
        <v>240</v>
      </c>
      <c r="AD262" t="s">
        <v>238</v>
      </c>
      <c r="AE262">
        <v>1</v>
      </c>
      <c r="AF262">
        <v>0</v>
      </c>
      <c r="AI262">
        <v>0</v>
      </c>
      <c r="AJ262">
        <v>130</v>
      </c>
      <c r="AK262">
        <v>130</v>
      </c>
      <c r="AL262">
        <v>220</v>
      </c>
      <c r="AM262">
        <v>137</v>
      </c>
      <c r="AN262">
        <v>0</v>
      </c>
      <c r="AO262">
        <v>137</v>
      </c>
      <c r="AP262" t="s">
        <v>80</v>
      </c>
      <c r="AQ262" t="s">
        <v>624</v>
      </c>
      <c r="AS262" t="s">
        <v>86</v>
      </c>
      <c r="AT262" t="s">
        <v>86</v>
      </c>
      <c r="AU262" t="s">
        <v>86</v>
      </c>
      <c r="AV262" t="s">
        <v>1062</v>
      </c>
      <c r="AW262" t="s">
        <v>69</v>
      </c>
      <c r="AX262" t="s">
        <v>738</v>
      </c>
      <c r="AY262" t="s">
        <v>1063</v>
      </c>
      <c r="AZ262" t="s">
        <v>243</v>
      </c>
      <c r="BA262" t="s">
        <v>244</v>
      </c>
      <c r="BB262" t="s">
        <v>244</v>
      </c>
      <c r="BC262" t="s">
        <v>244</v>
      </c>
      <c r="BD262" t="s">
        <v>1064</v>
      </c>
      <c r="BE262" t="s">
        <v>1065</v>
      </c>
      <c r="BF262" t="s">
        <v>672</v>
      </c>
      <c r="BG262" t="s">
        <v>150</v>
      </c>
      <c r="BH262" t="str">
        <f>IF(COUNTIF(工作表1!A:A, $C262)&gt;0, "預購款", "非預購款")</f>
        <v>非預購款</v>
      </c>
    </row>
    <row r="263" spans="1:60" x14ac:dyDescent="0.25">
      <c r="A263" t="s">
        <v>1056</v>
      </c>
      <c r="B263" t="s">
        <v>315</v>
      </c>
      <c r="C263" t="s">
        <v>1057</v>
      </c>
      <c r="D263" t="s">
        <v>1058</v>
      </c>
      <c r="E263" t="s">
        <v>1059</v>
      </c>
      <c r="F263" t="s">
        <v>142</v>
      </c>
      <c r="G263" t="s">
        <v>1060</v>
      </c>
      <c r="H263" t="s">
        <v>501</v>
      </c>
      <c r="I263" t="s">
        <v>97</v>
      </c>
      <c r="J263" t="s">
        <v>98</v>
      </c>
      <c r="K263" t="s">
        <v>69</v>
      </c>
      <c r="L263" t="s">
        <v>1061</v>
      </c>
      <c r="M263" t="s">
        <v>71</v>
      </c>
      <c r="N263" t="s">
        <v>100</v>
      </c>
      <c r="O263" t="s">
        <v>980</v>
      </c>
      <c r="P263" t="s">
        <v>981</v>
      </c>
      <c r="R263" t="s">
        <v>982</v>
      </c>
      <c r="S263" t="s">
        <v>145</v>
      </c>
      <c r="T263" t="s">
        <v>274</v>
      </c>
      <c r="U263" t="s">
        <v>104</v>
      </c>
      <c r="V263" t="s">
        <v>653</v>
      </c>
      <c r="W263">
        <v>590</v>
      </c>
      <c r="X263">
        <v>29.99</v>
      </c>
      <c r="Y263">
        <v>75</v>
      </c>
      <c r="Z263">
        <v>429000</v>
      </c>
      <c r="AA263">
        <v>129800</v>
      </c>
      <c r="AB263">
        <v>240</v>
      </c>
      <c r="AD263" t="s">
        <v>238</v>
      </c>
      <c r="AE263">
        <v>1</v>
      </c>
      <c r="AF263">
        <v>0</v>
      </c>
      <c r="AI263">
        <v>0</v>
      </c>
      <c r="AJ263">
        <v>40</v>
      </c>
      <c r="AK263">
        <v>40</v>
      </c>
      <c r="AL263">
        <v>220</v>
      </c>
      <c r="AM263">
        <v>46</v>
      </c>
      <c r="AN263">
        <v>0</v>
      </c>
      <c r="AO263">
        <v>46</v>
      </c>
      <c r="AP263" t="s">
        <v>80</v>
      </c>
      <c r="AQ263" t="s">
        <v>624</v>
      </c>
      <c r="AS263" t="s">
        <v>86</v>
      </c>
      <c r="AT263" t="s">
        <v>86</v>
      </c>
      <c r="AU263" t="s">
        <v>86</v>
      </c>
      <c r="AV263" t="s">
        <v>1062</v>
      </c>
      <c r="AW263" t="s">
        <v>69</v>
      </c>
      <c r="AX263" t="s">
        <v>738</v>
      </c>
      <c r="AY263" t="s">
        <v>1063</v>
      </c>
      <c r="AZ263" t="s">
        <v>243</v>
      </c>
      <c r="BA263" t="s">
        <v>244</v>
      </c>
      <c r="BB263" t="s">
        <v>244</v>
      </c>
      <c r="BC263" t="s">
        <v>244</v>
      </c>
      <c r="BD263" t="s">
        <v>1066</v>
      </c>
      <c r="BE263" t="s">
        <v>1065</v>
      </c>
      <c r="BF263" t="s">
        <v>672</v>
      </c>
      <c r="BG263" t="s">
        <v>150</v>
      </c>
      <c r="BH263" t="str">
        <f>IF(COUNTIF(工作表1!A:A, $C263)&gt;0, "預購款", "非預購款")</f>
        <v>非預購款</v>
      </c>
    </row>
    <row r="264" spans="1:60" x14ac:dyDescent="0.25">
      <c r="A264" t="s">
        <v>1056</v>
      </c>
      <c r="B264" t="s">
        <v>315</v>
      </c>
      <c r="C264" t="s">
        <v>1057</v>
      </c>
      <c r="D264" t="s">
        <v>1058</v>
      </c>
      <c r="E264" t="s">
        <v>1059</v>
      </c>
      <c r="F264" t="s">
        <v>142</v>
      </c>
      <c r="G264" t="s">
        <v>1060</v>
      </c>
      <c r="H264" t="s">
        <v>280</v>
      </c>
      <c r="I264" t="s">
        <v>97</v>
      </c>
      <c r="J264" t="s">
        <v>98</v>
      </c>
      <c r="K264" t="s">
        <v>69</v>
      </c>
      <c r="L264" t="s">
        <v>1061</v>
      </c>
      <c r="M264" t="s">
        <v>71</v>
      </c>
      <c r="N264" t="s">
        <v>100</v>
      </c>
      <c r="O264" t="s">
        <v>980</v>
      </c>
      <c r="P264" t="s">
        <v>981</v>
      </c>
      <c r="R264" t="s">
        <v>982</v>
      </c>
      <c r="S264" t="s">
        <v>145</v>
      </c>
      <c r="T264" t="s">
        <v>274</v>
      </c>
      <c r="U264" t="s">
        <v>104</v>
      </c>
      <c r="V264" t="s">
        <v>653</v>
      </c>
      <c r="W264">
        <v>590</v>
      </c>
      <c r="X264">
        <v>29.99</v>
      </c>
      <c r="Y264">
        <v>75</v>
      </c>
      <c r="Z264">
        <v>429000</v>
      </c>
      <c r="AA264">
        <v>129800</v>
      </c>
      <c r="AB264">
        <v>240</v>
      </c>
      <c r="AD264" t="s">
        <v>238</v>
      </c>
      <c r="AE264">
        <v>1</v>
      </c>
      <c r="AF264">
        <v>0</v>
      </c>
      <c r="AI264">
        <v>0</v>
      </c>
      <c r="AJ264">
        <v>50</v>
      </c>
      <c r="AK264">
        <v>50</v>
      </c>
      <c r="AL264">
        <v>220</v>
      </c>
      <c r="AM264">
        <v>55</v>
      </c>
      <c r="AN264">
        <v>0</v>
      </c>
      <c r="AO264">
        <v>55</v>
      </c>
      <c r="AP264" t="s">
        <v>80</v>
      </c>
      <c r="AQ264" t="s">
        <v>624</v>
      </c>
      <c r="AS264" t="s">
        <v>86</v>
      </c>
      <c r="AT264" t="s">
        <v>86</v>
      </c>
      <c r="AU264" t="s">
        <v>86</v>
      </c>
      <c r="AV264" t="s">
        <v>1062</v>
      </c>
      <c r="AW264" t="s">
        <v>69</v>
      </c>
      <c r="AX264" t="s">
        <v>738</v>
      </c>
      <c r="AY264" t="s">
        <v>1063</v>
      </c>
      <c r="AZ264" t="s">
        <v>243</v>
      </c>
      <c r="BA264" t="s">
        <v>244</v>
      </c>
      <c r="BB264" t="s">
        <v>244</v>
      </c>
      <c r="BC264" t="s">
        <v>244</v>
      </c>
      <c r="BD264" t="s">
        <v>1067</v>
      </c>
      <c r="BE264" t="s">
        <v>1065</v>
      </c>
      <c r="BF264" t="s">
        <v>672</v>
      </c>
      <c r="BG264" t="s">
        <v>150</v>
      </c>
      <c r="BH264" t="str">
        <f>IF(COUNTIF(工作表1!A:A, $C264)&gt;0, "預購款", "非預購款")</f>
        <v>非預購款</v>
      </c>
    </row>
    <row r="265" spans="1:60" x14ac:dyDescent="0.25">
      <c r="A265" t="s">
        <v>1068</v>
      </c>
      <c r="B265" t="s">
        <v>315</v>
      </c>
      <c r="C265" t="s">
        <v>1069</v>
      </c>
      <c r="D265" t="s">
        <v>1070</v>
      </c>
      <c r="E265" t="s">
        <v>1071</v>
      </c>
      <c r="F265" t="s">
        <v>142</v>
      </c>
      <c r="G265" t="s">
        <v>1072</v>
      </c>
      <c r="H265" t="s">
        <v>119</v>
      </c>
      <c r="I265" t="s">
        <v>97</v>
      </c>
      <c r="J265" t="s">
        <v>98</v>
      </c>
      <c r="K265" t="s">
        <v>69</v>
      </c>
      <c r="L265" t="s">
        <v>1073</v>
      </c>
      <c r="M265" t="s">
        <v>71</v>
      </c>
      <c r="N265" t="s">
        <v>100</v>
      </c>
      <c r="O265" t="s">
        <v>980</v>
      </c>
      <c r="P265" t="s">
        <v>981</v>
      </c>
      <c r="R265" t="s">
        <v>982</v>
      </c>
      <c r="S265" t="s">
        <v>145</v>
      </c>
      <c r="T265" t="s">
        <v>76</v>
      </c>
      <c r="U265" t="s">
        <v>104</v>
      </c>
      <c r="V265" t="s">
        <v>237</v>
      </c>
      <c r="W265">
        <v>790</v>
      </c>
      <c r="X265">
        <v>34.99</v>
      </c>
      <c r="Y265">
        <v>99</v>
      </c>
      <c r="Z265">
        <v>569000</v>
      </c>
      <c r="AA265">
        <v>146150</v>
      </c>
      <c r="AB265">
        <v>252</v>
      </c>
      <c r="AD265" t="s">
        <v>238</v>
      </c>
      <c r="AE265">
        <v>1</v>
      </c>
      <c r="AF265">
        <v>0</v>
      </c>
      <c r="AI265">
        <v>15</v>
      </c>
      <c r="AJ265">
        <v>75</v>
      </c>
      <c r="AK265">
        <v>90</v>
      </c>
      <c r="AL265">
        <v>185</v>
      </c>
      <c r="AM265">
        <v>100</v>
      </c>
      <c r="AN265">
        <v>0</v>
      </c>
      <c r="AO265">
        <v>100</v>
      </c>
      <c r="AP265" t="s">
        <v>80</v>
      </c>
      <c r="AQ265" t="s">
        <v>582</v>
      </c>
      <c r="AT265" t="s">
        <v>261</v>
      </c>
      <c r="AU265" t="s">
        <v>261</v>
      </c>
      <c r="AV265" t="s">
        <v>1033</v>
      </c>
      <c r="AW265" t="s">
        <v>69</v>
      </c>
      <c r="AX265" t="s">
        <v>1034</v>
      </c>
      <c r="AY265" t="s">
        <v>1074</v>
      </c>
      <c r="AZ265" t="s">
        <v>243</v>
      </c>
      <c r="BA265" t="s">
        <v>244</v>
      </c>
      <c r="BB265" t="s">
        <v>244</v>
      </c>
      <c r="BC265" t="s">
        <v>244</v>
      </c>
      <c r="BD265" t="s">
        <v>1075</v>
      </c>
      <c r="BE265" t="s">
        <v>1076</v>
      </c>
      <c r="BF265" t="s">
        <v>86</v>
      </c>
      <c r="BG265" t="s">
        <v>150</v>
      </c>
      <c r="BH265" t="str">
        <f>IF(COUNTIF(工作表1!A:A, $C265)&gt;0, "預購款", "非預購款")</f>
        <v>非預購款</v>
      </c>
    </row>
    <row r="266" spans="1:60" x14ac:dyDescent="0.25">
      <c r="A266" t="s">
        <v>1068</v>
      </c>
      <c r="B266" t="s">
        <v>315</v>
      </c>
      <c r="C266" t="s">
        <v>1069</v>
      </c>
      <c r="D266" t="s">
        <v>1070</v>
      </c>
      <c r="E266" t="s">
        <v>1071</v>
      </c>
      <c r="F266" t="s">
        <v>142</v>
      </c>
      <c r="G266" t="s">
        <v>1072</v>
      </c>
      <c r="H266" t="s">
        <v>130</v>
      </c>
      <c r="I266" t="s">
        <v>97</v>
      </c>
      <c r="J266" t="s">
        <v>98</v>
      </c>
      <c r="K266" t="s">
        <v>69</v>
      </c>
      <c r="L266" t="s">
        <v>1073</v>
      </c>
      <c r="M266" t="s">
        <v>71</v>
      </c>
      <c r="N266" t="s">
        <v>100</v>
      </c>
      <c r="O266" t="s">
        <v>980</v>
      </c>
      <c r="P266" t="s">
        <v>981</v>
      </c>
      <c r="R266" t="s">
        <v>982</v>
      </c>
      <c r="S266" t="s">
        <v>145</v>
      </c>
      <c r="T266" t="s">
        <v>76</v>
      </c>
      <c r="U266" t="s">
        <v>104</v>
      </c>
      <c r="V266" t="s">
        <v>237</v>
      </c>
      <c r="W266">
        <v>790</v>
      </c>
      <c r="X266">
        <v>34.99</v>
      </c>
      <c r="Y266">
        <v>99</v>
      </c>
      <c r="Z266">
        <v>569000</v>
      </c>
      <c r="AA266">
        <v>146150</v>
      </c>
      <c r="AB266">
        <v>252</v>
      </c>
      <c r="AD266" t="s">
        <v>238</v>
      </c>
      <c r="AE266">
        <v>1</v>
      </c>
      <c r="AF266">
        <v>0</v>
      </c>
      <c r="AI266">
        <v>10</v>
      </c>
      <c r="AJ266">
        <v>65</v>
      </c>
      <c r="AK266">
        <v>75</v>
      </c>
      <c r="AL266">
        <v>185</v>
      </c>
      <c r="AM266">
        <v>85</v>
      </c>
      <c r="AN266">
        <v>0</v>
      </c>
      <c r="AO266">
        <v>85</v>
      </c>
      <c r="AP266" t="s">
        <v>80</v>
      </c>
      <c r="AQ266" t="s">
        <v>582</v>
      </c>
      <c r="AT266" t="s">
        <v>261</v>
      </c>
      <c r="AU266" t="s">
        <v>261</v>
      </c>
      <c r="AV266" t="s">
        <v>1033</v>
      </c>
      <c r="AW266" t="s">
        <v>69</v>
      </c>
      <c r="AX266" t="s">
        <v>1034</v>
      </c>
      <c r="AY266" t="s">
        <v>1074</v>
      </c>
      <c r="AZ266" t="s">
        <v>243</v>
      </c>
      <c r="BA266" t="s">
        <v>244</v>
      </c>
      <c r="BB266" t="s">
        <v>244</v>
      </c>
      <c r="BC266" t="s">
        <v>244</v>
      </c>
      <c r="BD266" t="s">
        <v>1077</v>
      </c>
      <c r="BE266" t="s">
        <v>1076</v>
      </c>
      <c r="BF266" t="s">
        <v>86</v>
      </c>
      <c r="BG266" t="s">
        <v>150</v>
      </c>
      <c r="BH266" t="str">
        <f>IF(COUNTIF(工作表1!A:A, $C266)&gt;0, "預購款", "非預購款")</f>
        <v>非預購款</v>
      </c>
    </row>
    <row r="267" spans="1:60" x14ac:dyDescent="0.25">
      <c r="A267" t="s">
        <v>1068</v>
      </c>
      <c r="B267" t="s">
        <v>315</v>
      </c>
      <c r="C267" t="s">
        <v>1069</v>
      </c>
      <c r="D267" t="s">
        <v>1070</v>
      </c>
      <c r="E267" t="s">
        <v>1071</v>
      </c>
      <c r="F267" t="s">
        <v>142</v>
      </c>
      <c r="G267" t="s">
        <v>1072</v>
      </c>
      <c r="H267" t="s">
        <v>132</v>
      </c>
      <c r="I267" t="s">
        <v>97</v>
      </c>
      <c r="J267" t="s">
        <v>98</v>
      </c>
      <c r="K267" t="s">
        <v>69</v>
      </c>
      <c r="L267" t="s">
        <v>1073</v>
      </c>
      <c r="M267" t="s">
        <v>71</v>
      </c>
      <c r="N267" t="s">
        <v>100</v>
      </c>
      <c r="O267" t="s">
        <v>980</v>
      </c>
      <c r="P267" t="s">
        <v>981</v>
      </c>
      <c r="R267" t="s">
        <v>982</v>
      </c>
      <c r="S267" t="s">
        <v>145</v>
      </c>
      <c r="T267" t="s">
        <v>76</v>
      </c>
      <c r="U267" t="s">
        <v>104</v>
      </c>
      <c r="V267" t="s">
        <v>237</v>
      </c>
      <c r="W267">
        <v>790</v>
      </c>
      <c r="X267">
        <v>34.99</v>
      </c>
      <c r="Y267">
        <v>99</v>
      </c>
      <c r="Z267">
        <v>569000</v>
      </c>
      <c r="AA267">
        <v>146150</v>
      </c>
      <c r="AB267">
        <v>252</v>
      </c>
      <c r="AD267" t="s">
        <v>238</v>
      </c>
      <c r="AE267">
        <v>1</v>
      </c>
      <c r="AF267">
        <v>0</v>
      </c>
      <c r="AI267">
        <v>10</v>
      </c>
      <c r="AJ267">
        <v>10</v>
      </c>
      <c r="AK267">
        <v>20</v>
      </c>
      <c r="AL267">
        <v>185</v>
      </c>
      <c r="AM267">
        <v>29</v>
      </c>
      <c r="AN267">
        <v>0</v>
      </c>
      <c r="AO267">
        <v>29</v>
      </c>
      <c r="AP267" t="s">
        <v>80</v>
      </c>
      <c r="AQ267" t="s">
        <v>582</v>
      </c>
      <c r="AT267" t="s">
        <v>261</v>
      </c>
      <c r="AU267" t="s">
        <v>261</v>
      </c>
      <c r="AV267" t="s">
        <v>1033</v>
      </c>
      <c r="AW267" t="s">
        <v>69</v>
      </c>
      <c r="AX267" t="s">
        <v>1034</v>
      </c>
      <c r="AY267" t="s">
        <v>1074</v>
      </c>
      <c r="AZ267" t="s">
        <v>243</v>
      </c>
      <c r="BA267" t="s">
        <v>244</v>
      </c>
      <c r="BB267" t="s">
        <v>244</v>
      </c>
      <c r="BC267" t="s">
        <v>244</v>
      </c>
      <c r="BD267" t="s">
        <v>1078</v>
      </c>
      <c r="BE267" t="s">
        <v>1076</v>
      </c>
      <c r="BF267" t="s">
        <v>86</v>
      </c>
      <c r="BG267" t="s">
        <v>150</v>
      </c>
      <c r="BH267" t="str">
        <f>IF(COUNTIF(工作表1!A:A, $C267)&gt;0, "預購款", "非預購款")</f>
        <v>非預購款</v>
      </c>
    </row>
    <row r="268" spans="1:60" x14ac:dyDescent="0.25">
      <c r="A268" t="s">
        <v>1089</v>
      </c>
      <c r="B268" t="s">
        <v>535</v>
      </c>
      <c r="C268" t="s">
        <v>1090</v>
      </c>
      <c r="D268" t="s">
        <v>1091</v>
      </c>
      <c r="E268" t="s">
        <v>1092</v>
      </c>
      <c r="F268" t="s">
        <v>142</v>
      </c>
      <c r="G268" t="s">
        <v>1093</v>
      </c>
      <c r="H268" t="s">
        <v>119</v>
      </c>
      <c r="I268" t="s">
        <v>162</v>
      </c>
      <c r="J268" t="s">
        <v>163</v>
      </c>
      <c r="K268" t="s">
        <v>69</v>
      </c>
      <c r="L268" t="s">
        <v>1094</v>
      </c>
      <c r="M268" t="s">
        <v>71</v>
      </c>
      <c r="N268" t="s">
        <v>100</v>
      </c>
      <c r="O268" t="s">
        <v>980</v>
      </c>
      <c r="P268" t="s">
        <v>981</v>
      </c>
      <c r="R268" t="s">
        <v>1095</v>
      </c>
      <c r="S268" t="s">
        <v>145</v>
      </c>
      <c r="T268" t="s">
        <v>76</v>
      </c>
      <c r="U268" t="s">
        <v>104</v>
      </c>
      <c r="V268" t="s">
        <v>965</v>
      </c>
      <c r="W268">
        <v>390</v>
      </c>
      <c r="X268">
        <v>16.989999999999998</v>
      </c>
      <c r="Y268">
        <v>49</v>
      </c>
      <c r="Z268">
        <v>279000</v>
      </c>
      <c r="AA268">
        <v>633750</v>
      </c>
      <c r="AB268">
        <v>192</v>
      </c>
      <c r="AD268" t="s">
        <v>238</v>
      </c>
      <c r="AE268">
        <v>2</v>
      </c>
      <c r="AF268">
        <v>15</v>
      </c>
      <c r="AI268">
        <v>20</v>
      </c>
      <c r="AJ268">
        <v>310</v>
      </c>
      <c r="AK268">
        <v>345</v>
      </c>
      <c r="AL268">
        <v>1625</v>
      </c>
      <c r="AM268">
        <v>340</v>
      </c>
      <c r="AN268">
        <v>0</v>
      </c>
      <c r="AO268">
        <v>340</v>
      </c>
      <c r="AP268" t="s">
        <v>80</v>
      </c>
      <c r="AQ268" t="s">
        <v>954</v>
      </c>
      <c r="AR268" t="s">
        <v>86</v>
      </c>
      <c r="AS268" t="s">
        <v>86</v>
      </c>
      <c r="AT268" t="s">
        <v>264</v>
      </c>
      <c r="AU268" t="s">
        <v>264</v>
      </c>
      <c r="AV268" t="s">
        <v>1096</v>
      </c>
      <c r="AW268" t="s">
        <v>69</v>
      </c>
      <c r="AX268" t="s">
        <v>1097</v>
      </c>
      <c r="AY268" t="s">
        <v>1098</v>
      </c>
      <c r="AZ268" t="s">
        <v>243</v>
      </c>
      <c r="BA268" t="s">
        <v>264</v>
      </c>
      <c r="BB268" t="s">
        <v>244</v>
      </c>
      <c r="BC268" t="s">
        <v>244</v>
      </c>
      <c r="BD268" t="s">
        <v>1099</v>
      </c>
      <c r="BE268" t="s">
        <v>1100</v>
      </c>
      <c r="BF268" t="s">
        <v>86</v>
      </c>
      <c r="BG268" t="s">
        <v>150</v>
      </c>
      <c r="BH268" t="str">
        <f>IF(COUNTIF(工作表1!A:A, $C268)&gt;0, "預購款", "非預購款")</f>
        <v>非預購款</v>
      </c>
    </row>
    <row r="269" spans="1:60" x14ac:dyDescent="0.25">
      <c r="A269" t="s">
        <v>1089</v>
      </c>
      <c r="B269" t="s">
        <v>535</v>
      </c>
      <c r="C269" t="s">
        <v>1090</v>
      </c>
      <c r="D269" t="s">
        <v>1091</v>
      </c>
      <c r="E269" t="s">
        <v>1092</v>
      </c>
      <c r="F269" t="s">
        <v>142</v>
      </c>
      <c r="G269" t="s">
        <v>1093</v>
      </c>
      <c r="H269" t="s">
        <v>130</v>
      </c>
      <c r="I269" t="s">
        <v>162</v>
      </c>
      <c r="J269" t="s">
        <v>163</v>
      </c>
      <c r="K269" t="s">
        <v>69</v>
      </c>
      <c r="L269" t="s">
        <v>1094</v>
      </c>
      <c r="M269" t="s">
        <v>71</v>
      </c>
      <c r="N269" t="s">
        <v>100</v>
      </c>
      <c r="O269" t="s">
        <v>980</v>
      </c>
      <c r="P269" t="s">
        <v>981</v>
      </c>
      <c r="R269" t="s">
        <v>1095</v>
      </c>
      <c r="S269" t="s">
        <v>145</v>
      </c>
      <c r="T269" t="s">
        <v>76</v>
      </c>
      <c r="U269" t="s">
        <v>104</v>
      </c>
      <c r="V269" t="s">
        <v>965</v>
      </c>
      <c r="W269">
        <v>390</v>
      </c>
      <c r="X269">
        <v>16.989999999999998</v>
      </c>
      <c r="Y269">
        <v>49</v>
      </c>
      <c r="Z269">
        <v>279000</v>
      </c>
      <c r="AA269">
        <v>633750</v>
      </c>
      <c r="AB269">
        <v>192</v>
      </c>
      <c r="AD269" t="s">
        <v>238</v>
      </c>
      <c r="AE269">
        <v>2</v>
      </c>
      <c r="AF269">
        <v>10</v>
      </c>
      <c r="AI269">
        <v>30</v>
      </c>
      <c r="AJ269">
        <v>180</v>
      </c>
      <c r="AK269">
        <v>220</v>
      </c>
      <c r="AL269">
        <v>1625</v>
      </c>
      <c r="AM269">
        <v>215</v>
      </c>
      <c r="AN269">
        <v>0</v>
      </c>
      <c r="AO269">
        <v>215</v>
      </c>
      <c r="AP269" t="s">
        <v>80</v>
      </c>
      <c r="AQ269" t="s">
        <v>954</v>
      </c>
      <c r="AR269" t="s">
        <v>86</v>
      </c>
      <c r="AS269" t="s">
        <v>86</v>
      </c>
      <c r="AT269" t="s">
        <v>264</v>
      </c>
      <c r="AU269" t="s">
        <v>264</v>
      </c>
      <c r="AV269" t="s">
        <v>1096</v>
      </c>
      <c r="AW269" t="s">
        <v>69</v>
      </c>
      <c r="AX269" t="s">
        <v>1097</v>
      </c>
      <c r="AY269" t="s">
        <v>1098</v>
      </c>
      <c r="AZ269" t="s">
        <v>243</v>
      </c>
      <c r="BA269" t="s">
        <v>264</v>
      </c>
      <c r="BB269" t="s">
        <v>244</v>
      </c>
      <c r="BC269" t="s">
        <v>244</v>
      </c>
      <c r="BD269" t="s">
        <v>1101</v>
      </c>
      <c r="BE269" t="s">
        <v>1100</v>
      </c>
      <c r="BF269" t="s">
        <v>86</v>
      </c>
      <c r="BG269" t="s">
        <v>150</v>
      </c>
      <c r="BH269" t="str">
        <f>IF(COUNTIF(工作表1!A:A, $C269)&gt;0, "預購款", "非預購款")</f>
        <v>非預購款</v>
      </c>
    </row>
    <row r="270" spans="1:60" x14ac:dyDescent="0.25">
      <c r="A270" t="s">
        <v>1089</v>
      </c>
      <c r="B270" t="s">
        <v>535</v>
      </c>
      <c r="C270" t="s">
        <v>1090</v>
      </c>
      <c r="D270" t="s">
        <v>1091</v>
      </c>
      <c r="E270" t="s">
        <v>1092</v>
      </c>
      <c r="F270" t="s">
        <v>142</v>
      </c>
      <c r="G270" t="s">
        <v>1093</v>
      </c>
      <c r="H270" t="s">
        <v>132</v>
      </c>
      <c r="I270" t="s">
        <v>162</v>
      </c>
      <c r="J270" t="s">
        <v>163</v>
      </c>
      <c r="K270" t="s">
        <v>69</v>
      </c>
      <c r="L270" t="s">
        <v>1094</v>
      </c>
      <c r="M270" t="s">
        <v>71</v>
      </c>
      <c r="N270" t="s">
        <v>100</v>
      </c>
      <c r="O270" t="s">
        <v>980</v>
      </c>
      <c r="P270" t="s">
        <v>981</v>
      </c>
      <c r="R270" t="s">
        <v>1095</v>
      </c>
      <c r="S270" t="s">
        <v>145</v>
      </c>
      <c r="T270" t="s">
        <v>76</v>
      </c>
      <c r="U270" t="s">
        <v>104</v>
      </c>
      <c r="V270" t="s">
        <v>965</v>
      </c>
      <c r="W270">
        <v>390</v>
      </c>
      <c r="X270">
        <v>16.989999999999998</v>
      </c>
      <c r="Y270">
        <v>49</v>
      </c>
      <c r="Z270">
        <v>279000</v>
      </c>
      <c r="AA270">
        <v>633750</v>
      </c>
      <c r="AB270">
        <v>192</v>
      </c>
      <c r="AD270" t="s">
        <v>238</v>
      </c>
      <c r="AE270">
        <v>2</v>
      </c>
      <c r="AF270">
        <v>0</v>
      </c>
      <c r="AI270">
        <v>15</v>
      </c>
      <c r="AJ270">
        <v>80</v>
      </c>
      <c r="AK270">
        <v>95</v>
      </c>
      <c r="AL270">
        <v>1625</v>
      </c>
      <c r="AM270">
        <v>91</v>
      </c>
      <c r="AN270">
        <v>0</v>
      </c>
      <c r="AO270">
        <v>91</v>
      </c>
      <c r="AP270" t="s">
        <v>80</v>
      </c>
      <c r="AQ270" t="s">
        <v>954</v>
      </c>
      <c r="AR270" t="s">
        <v>86</v>
      </c>
      <c r="AS270" t="s">
        <v>86</v>
      </c>
      <c r="AT270" t="s">
        <v>264</v>
      </c>
      <c r="AU270" t="s">
        <v>264</v>
      </c>
      <c r="AV270" t="s">
        <v>1096</v>
      </c>
      <c r="AW270" t="s">
        <v>69</v>
      </c>
      <c r="AX270" t="s">
        <v>1097</v>
      </c>
      <c r="AY270" t="s">
        <v>1098</v>
      </c>
      <c r="AZ270" t="s">
        <v>243</v>
      </c>
      <c r="BA270" t="s">
        <v>264</v>
      </c>
      <c r="BB270" t="s">
        <v>244</v>
      </c>
      <c r="BC270" t="s">
        <v>244</v>
      </c>
      <c r="BD270" t="s">
        <v>1102</v>
      </c>
      <c r="BE270" t="s">
        <v>1100</v>
      </c>
      <c r="BF270" t="s">
        <v>86</v>
      </c>
      <c r="BG270" t="s">
        <v>150</v>
      </c>
      <c r="BH270" t="str">
        <f>IF(COUNTIF(工作表1!A:A, $C270)&gt;0, "預購款", "非預購款")</f>
        <v>非預購款</v>
      </c>
    </row>
    <row r="271" spans="1:60" x14ac:dyDescent="0.25">
      <c r="A271" t="s">
        <v>1089</v>
      </c>
      <c r="B271" t="s">
        <v>535</v>
      </c>
      <c r="C271" t="s">
        <v>1090</v>
      </c>
      <c r="D271" t="s">
        <v>1091</v>
      </c>
      <c r="E271" t="s">
        <v>1092</v>
      </c>
      <c r="F271" t="s">
        <v>142</v>
      </c>
      <c r="G271" t="s">
        <v>1093</v>
      </c>
      <c r="H271" t="s">
        <v>119</v>
      </c>
      <c r="I271" t="s">
        <v>171</v>
      </c>
      <c r="J271" t="s">
        <v>172</v>
      </c>
      <c r="K271" t="s">
        <v>69</v>
      </c>
      <c r="L271" t="s">
        <v>1094</v>
      </c>
      <c r="M271" t="s">
        <v>71</v>
      </c>
      <c r="N271" t="s">
        <v>100</v>
      </c>
      <c r="O271" t="s">
        <v>980</v>
      </c>
      <c r="P271" t="s">
        <v>981</v>
      </c>
      <c r="R271" t="s">
        <v>1095</v>
      </c>
      <c r="S271" t="s">
        <v>145</v>
      </c>
      <c r="T271" t="s">
        <v>76</v>
      </c>
      <c r="U271" t="s">
        <v>104</v>
      </c>
      <c r="V271" t="s">
        <v>965</v>
      </c>
      <c r="W271">
        <v>390</v>
      </c>
      <c r="X271">
        <v>16.989999999999998</v>
      </c>
      <c r="Y271">
        <v>49</v>
      </c>
      <c r="Z271">
        <v>279000</v>
      </c>
      <c r="AA271">
        <v>633750</v>
      </c>
      <c r="AB271">
        <v>192</v>
      </c>
      <c r="AD271" t="s">
        <v>238</v>
      </c>
      <c r="AE271">
        <v>2</v>
      </c>
      <c r="AF271">
        <v>15</v>
      </c>
      <c r="AI271">
        <v>20</v>
      </c>
      <c r="AJ271">
        <v>580</v>
      </c>
      <c r="AK271">
        <v>615</v>
      </c>
      <c r="AL271">
        <v>1625</v>
      </c>
      <c r="AM271">
        <v>611</v>
      </c>
      <c r="AN271">
        <v>0</v>
      </c>
      <c r="AO271">
        <v>611</v>
      </c>
      <c r="AP271" t="s">
        <v>80</v>
      </c>
      <c r="AQ271" t="s">
        <v>954</v>
      </c>
      <c r="AR271" t="s">
        <v>86</v>
      </c>
      <c r="AS271" t="s">
        <v>86</v>
      </c>
      <c r="AT271" t="s">
        <v>264</v>
      </c>
      <c r="AU271" t="s">
        <v>264</v>
      </c>
      <c r="AV271" t="s">
        <v>1096</v>
      </c>
      <c r="AW271" t="s">
        <v>69</v>
      </c>
      <c r="AX271" t="s">
        <v>1097</v>
      </c>
      <c r="AY271" t="s">
        <v>1098</v>
      </c>
      <c r="AZ271" t="s">
        <v>243</v>
      </c>
      <c r="BA271" t="s">
        <v>264</v>
      </c>
      <c r="BB271" t="s">
        <v>244</v>
      </c>
      <c r="BC271" t="s">
        <v>244</v>
      </c>
      <c r="BD271" t="s">
        <v>1103</v>
      </c>
      <c r="BE271" t="s">
        <v>1100</v>
      </c>
      <c r="BF271" t="s">
        <v>86</v>
      </c>
      <c r="BG271" t="s">
        <v>150</v>
      </c>
      <c r="BH271" t="str">
        <f>IF(COUNTIF(工作表1!A:A, $C271)&gt;0, "預購款", "非預購款")</f>
        <v>非預購款</v>
      </c>
    </row>
    <row r="272" spans="1:60" x14ac:dyDescent="0.25">
      <c r="A272" t="s">
        <v>1089</v>
      </c>
      <c r="B272" t="s">
        <v>535</v>
      </c>
      <c r="C272" t="s">
        <v>1090</v>
      </c>
      <c r="D272" t="s">
        <v>1091</v>
      </c>
      <c r="E272" t="s">
        <v>1092</v>
      </c>
      <c r="F272" t="s">
        <v>142</v>
      </c>
      <c r="G272" t="s">
        <v>1093</v>
      </c>
      <c r="H272" t="s">
        <v>130</v>
      </c>
      <c r="I272" t="s">
        <v>171</v>
      </c>
      <c r="J272" t="s">
        <v>172</v>
      </c>
      <c r="K272" t="s">
        <v>69</v>
      </c>
      <c r="L272" t="s">
        <v>1094</v>
      </c>
      <c r="M272" t="s">
        <v>71</v>
      </c>
      <c r="N272" t="s">
        <v>100</v>
      </c>
      <c r="O272" t="s">
        <v>980</v>
      </c>
      <c r="P272" t="s">
        <v>981</v>
      </c>
      <c r="R272" t="s">
        <v>1095</v>
      </c>
      <c r="S272" t="s">
        <v>145</v>
      </c>
      <c r="T272" t="s">
        <v>76</v>
      </c>
      <c r="U272" t="s">
        <v>104</v>
      </c>
      <c r="V272" t="s">
        <v>965</v>
      </c>
      <c r="W272">
        <v>390</v>
      </c>
      <c r="X272">
        <v>16.989999999999998</v>
      </c>
      <c r="Y272">
        <v>49</v>
      </c>
      <c r="Z272">
        <v>279000</v>
      </c>
      <c r="AA272">
        <v>633750</v>
      </c>
      <c r="AB272">
        <v>192</v>
      </c>
      <c r="AD272" t="s">
        <v>238</v>
      </c>
      <c r="AE272">
        <v>2</v>
      </c>
      <c r="AF272">
        <v>10</v>
      </c>
      <c r="AI272">
        <v>0</v>
      </c>
      <c r="AJ272">
        <v>210</v>
      </c>
      <c r="AK272">
        <v>220</v>
      </c>
      <c r="AL272">
        <v>1625</v>
      </c>
      <c r="AM272">
        <v>221</v>
      </c>
      <c r="AN272">
        <v>0</v>
      </c>
      <c r="AO272">
        <v>221</v>
      </c>
      <c r="AP272" t="s">
        <v>80</v>
      </c>
      <c r="AQ272" t="s">
        <v>954</v>
      </c>
      <c r="AR272" t="s">
        <v>86</v>
      </c>
      <c r="AS272" t="s">
        <v>86</v>
      </c>
      <c r="AT272" t="s">
        <v>264</v>
      </c>
      <c r="AU272" t="s">
        <v>264</v>
      </c>
      <c r="AV272" t="s">
        <v>1096</v>
      </c>
      <c r="AW272" t="s">
        <v>69</v>
      </c>
      <c r="AX272" t="s">
        <v>1097</v>
      </c>
      <c r="AY272" t="s">
        <v>1098</v>
      </c>
      <c r="AZ272" t="s">
        <v>243</v>
      </c>
      <c r="BA272" t="s">
        <v>264</v>
      </c>
      <c r="BB272" t="s">
        <v>244</v>
      </c>
      <c r="BC272" t="s">
        <v>244</v>
      </c>
      <c r="BD272" t="s">
        <v>1104</v>
      </c>
      <c r="BE272" t="s">
        <v>1100</v>
      </c>
      <c r="BF272" t="s">
        <v>86</v>
      </c>
      <c r="BG272" t="s">
        <v>150</v>
      </c>
      <c r="BH272" t="str">
        <f>IF(COUNTIF(工作表1!A:A, $C272)&gt;0, "預購款", "非預購款")</f>
        <v>非預購款</v>
      </c>
    </row>
    <row r="273" spans="1:60" x14ac:dyDescent="0.25">
      <c r="A273" t="s">
        <v>1089</v>
      </c>
      <c r="B273" t="s">
        <v>535</v>
      </c>
      <c r="C273" t="s">
        <v>1090</v>
      </c>
      <c r="D273" t="s">
        <v>1091</v>
      </c>
      <c r="E273" t="s">
        <v>1092</v>
      </c>
      <c r="F273" t="s">
        <v>142</v>
      </c>
      <c r="G273" t="s">
        <v>1093</v>
      </c>
      <c r="H273" t="s">
        <v>132</v>
      </c>
      <c r="I273" t="s">
        <v>171</v>
      </c>
      <c r="J273" t="s">
        <v>172</v>
      </c>
      <c r="K273" t="s">
        <v>69</v>
      </c>
      <c r="L273" t="s">
        <v>1094</v>
      </c>
      <c r="M273" t="s">
        <v>71</v>
      </c>
      <c r="N273" t="s">
        <v>100</v>
      </c>
      <c r="O273" t="s">
        <v>980</v>
      </c>
      <c r="P273" t="s">
        <v>981</v>
      </c>
      <c r="R273" t="s">
        <v>1095</v>
      </c>
      <c r="S273" t="s">
        <v>145</v>
      </c>
      <c r="T273" t="s">
        <v>76</v>
      </c>
      <c r="U273" t="s">
        <v>104</v>
      </c>
      <c r="V273" t="s">
        <v>965</v>
      </c>
      <c r="W273">
        <v>390</v>
      </c>
      <c r="X273">
        <v>16.989999999999998</v>
      </c>
      <c r="Y273">
        <v>49</v>
      </c>
      <c r="Z273">
        <v>279000</v>
      </c>
      <c r="AA273">
        <v>633750</v>
      </c>
      <c r="AB273">
        <v>192</v>
      </c>
      <c r="AD273" t="s">
        <v>238</v>
      </c>
      <c r="AE273">
        <v>2</v>
      </c>
      <c r="AF273">
        <v>0</v>
      </c>
      <c r="AI273">
        <v>0</v>
      </c>
      <c r="AJ273">
        <v>130</v>
      </c>
      <c r="AK273">
        <v>130</v>
      </c>
      <c r="AL273">
        <v>1625</v>
      </c>
      <c r="AM273">
        <v>121</v>
      </c>
      <c r="AN273">
        <v>0</v>
      </c>
      <c r="AO273">
        <v>121</v>
      </c>
      <c r="AP273" t="s">
        <v>80</v>
      </c>
      <c r="AQ273" t="s">
        <v>954</v>
      </c>
      <c r="AR273" t="s">
        <v>86</v>
      </c>
      <c r="AS273" t="s">
        <v>86</v>
      </c>
      <c r="AT273" t="s">
        <v>264</v>
      </c>
      <c r="AU273" t="s">
        <v>264</v>
      </c>
      <c r="AV273" t="s">
        <v>1096</v>
      </c>
      <c r="AW273" t="s">
        <v>69</v>
      </c>
      <c r="AX273" t="s">
        <v>1097</v>
      </c>
      <c r="AY273" t="s">
        <v>1098</v>
      </c>
      <c r="AZ273" t="s">
        <v>243</v>
      </c>
      <c r="BA273" t="s">
        <v>264</v>
      </c>
      <c r="BB273" t="s">
        <v>244</v>
      </c>
      <c r="BC273" t="s">
        <v>244</v>
      </c>
      <c r="BD273" t="s">
        <v>1105</v>
      </c>
      <c r="BE273" t="s">
        <v>1100</v>
      </c>
      <c r="BF273" t="s">
        <v>86</v>
      </c>
      <c r="BG273" t="s">
        <v>150</v>
      </c>
      <c r="BH273" t="str">
        <f>IF(COUNTIF(工作表1!A:A, $C273)&gt;0, "預購款", "非預購款")</f>
        <v>非預購款</v>
      </c>
    </row>
    <row r="274" spans="1:60" x14ac:dyDescent="0.25">
      <c r="A274" t="s">
        <v>1106</v>
      </c>
      <c r="B274" t="s">
        <v>226</v>
      </c>
      <c r="C274" t="s">
        <v>1107</v>
      </c>
      <c r="D274" t="s">
        <v>1108</v>
      </c>
      <c r="E274" t="s">
        <v>1109</v>
      </c>
      <c r="F274" t="s">
        <v>1110</v>
      </c>
      <c r="G274" t="s">
        <v>1111</v>
      </c>
      <c r="H274" t="s">
        <v>119</v>
      </c>
      <c r="I274" t="s">
        <v>111</v>
      </c>
      <c r="J274" t="s">
        <v>112</v>
      </c>
      <c r="K274" t="s">
        <v>69</v>
      </c>
      <c r="L274" t="s">
        <v>1112</v>
      </c>
      <c r="M274" t="s">
        <v>71</v>
      </c>
      <c r="N274" t="s">
        <v>72</v>
      </c>
      <c r="O274" t="s">
        <v>951</v>
      </c>
      <c r="P274" t="s">
        <v>952</v>
      </c>
      <c r="R274" t="s">
        <v>953</v>
      </c>
      <c r="S274" t="s">
        <v>1113</v>
      </c>
      <c r="T274" t="s">
        <v>76</v>
      </c>
      <c r="U274" t="s">
        <v>383</v>
      </c>
      <c r="V274" t="s">
        <v>384</v>
      </c>
      <c r="W274">
        <v>1080</v>
      </c>
      <c r="X274">
        <v>44.99</v>
      </c>
      <c r="Y274">
        <v>139</v>
      </c>
      <c r="Z274">
        <v>779000</v>
      </c>
      <c r="AA274">
        <v>186840</v>
      </c>
      <c r="AB274">
        <v>600</v>
      </c>
      <c r="AD274" t="s">
        <v>238</v>
      </c>
      <c r="AE274">
        <v>1</v>
      </c>
      <c r="AF274">
        <v>15</v>
      </c>
      <c r="AI274">
        <v>0</v>
      </c>
      <c r="AJ274">
        <v>70</v>
      </c>
      <c r="AK274">
        <v>85</v>
      </c>
      <c r="AL274">
        <v>173</v>
      </c>
      <c r="AM274">
        <v>89</v>
      </c>
      <c r="AN274">
        <v>0</v>
      </c>
      <c r="AO274">
        <v>89</v>
      </c>
      <c r="AP274" t="s">
        <v>80</v>
      </c>
      <c r="AQ274" t="s">
        <v>167</v>
      </c>
      <c r="AR274" t="s">
        <v>261</v>
      </c>
      <c r="AS274" t="s">
        <v>261</v>
      </c>
      <c r="AT274" t="s">
        <v>240</v>
      </c>
      <c r="AU274" t="s">
        <v>86</v>
      </c>
      <c r="AV274" t="s">
        <v>799</v>
      </c>
      <c r="AW274" t="s">
        <v>69</v>
      </c>
      <c r="AX274" t="s">
        <v>387</v>
      </c>
      <c r="AY274" t="s">
        <v>1114</v>
      </c>
      <c r="AZ274" t="s">
        <v>244</v>
      </c>
      <c r="BA274" t="s">
        <v>244</v>
      </c>
      <c r="BB274" t="s">
        <v>243</v>
      </c>
      <c r="BC274" t="s">
        <v>245</v>
      </c>
      <c r="BD274" t="s">
        <v>1115</v>
      </c>
      <c r="BE274" t="s">
        <v>1116</v>
      </c>
      <c r="BF274" t="s">
        <v>86</v>
      </c>
      <c r="BG274" t="s">
        <v>110</v>
      </c>
      <c r="BH274" t="str">
        <f>IF(COUNTIF(工作表1!A:A, $C274)&gt;0, "預購款", "非預購款")</f>
        <v>非預購款</v>
      </c>
    </row>
    <row r="275" spans="1:60" x14ac:dyDescent="0.25">
      <c r="A275" t="s">
        <v>1106</v>
      </c>
      <c r="B275" t="s">
        <v>226</v>
      </c>
      <c r="C275" t="s">
        <v>1107</v>
      </c>
      <c r="D275" t="s">
        <v>1108</v>
      </c>
      <c r="E275" t="s">
        <v>1109</v>
      </c>
      <c r="F275" t="s">
        <v>1110</v>
      </c>
      <c r="G275" t="s">
        <v>1111</v>
      </c>
      <c r="H275" t="s">
        <v>130</v>
      </c>
      <c r="I275" t="s">
        <v>111</v>
      </c>
      <c r="J275" t="s">
        <v>112</v>
      </c>
      <c r="K275" t="s">
        <v>69</v>
      </c>
      <c r="L275" t="s">
        <v>1112</v>
      </c>
      <c r="M275" t="s">
        <v>71</v>
      </c>
      <c r="N275" t="s">
        <v>72</v>
      </c>
      <c r="O275" t="s">
        <v>951</v>
      </c>
      <c r="P275" t="s">
        <v>952</v>
      </c>
      <c r="R275" t="s">
        <v>953</v>
      </c>
      <c r="S275" t="s">
        <v>1113</v>
      </c>
      <c r="T275" t="s">
        <v>76</v>
      </c>
      <c r="U275" t="s">
        <v>383</v>
      </c>
      <c r="V275" t="s">
        <v>384</v>
      </c>
      <c r="W275">
        <v>1080</v>
      </c>
      <c r="X275">
        <v>44.99</v>
      </c>
      <c r="Y275">
        <v>139</v>
      </c>
      <c r="Z275">
        <v>779000</v>
      </c>
      <c r="AA275">
        <v>186840</v>
      </c>
      <c r="AB275">
        <v>600</v>
      </c>
      <c r="AD275" t="s">
        <v>238</v>
      </c>
      <c r="AE275">
        <v>1</v>
      </c>
      <c r="AF275">
        <v>8</v>
      </c>
      <c r="AI275">
        <v>0</v>
      </c>
      <c r="AJ275">
        <v>60</v>
      </c>
      <c r="AK275">
        <v>68</v>
      </c>
      <c r="AL275">
        <v>173</v>
      </c>
      <c r="AM275">
        <v>61</v>
      </c>
      <c r="AN275">
        <v>0</v>
      </c>
      <c r="AO275">
        <v>61</v>
      </c>
      <c r="AP275" t="s">
        <v>80</v>
      </c>
      <c r="AQ275" t="s">
        <v>167</v>
      </c>
      <c r="AR275" t="s">
        <v>261</v>
      </c>
      <c r="AS275" t="s">
        <v>261</v>
      </c>
      <c r="AT275" t="s">
        <v>240</v>
      </c>
      <c r="AU275" t="s">
        <v>86</v>
      </c>
      <c r="AV275" t="s">
        <v>799</v>
      </c>
      <c r="AW275" t="s">
        <v>69</v>
      </c>
      <c r="AX275" t="s">
        <v>387</v>
      </c>
      <c r="AY275" t="s">
        <v>1114</v>
      </c>
      <c r="AZ275" t="s">
        <v>244</v>
      </c>
      <c r="BA275" t="s">
        <v>244</v>
      </c>
      <c r="BB275" t="s">
        <v>243</v>
      </c>
      <c r="BC275" t="s">
        <v>245</v>
      </c>
      <c r="BD275" t="s">
        <v>1117</v>
      </c>
      <c r="BE275" t="s">
        <v>1116</v>
      </c>
      <c r="BF275" t="s">
        <v>86</v>
      </c>
      <c r="BG275" t="s">
        <v>110</v>
      </c>
      <c r="BH275" t="str">
        <f>IF(COUNTIF(工作表1!A:A, $C275)&gt;0, "預購款", "非預購款")</f>
        <v>非預購款</v>
      </c>
    </row>
    <row r="276" spans="1:60" x14ac:dyDescent="0.25">
      <c r="A276" t="s">
        <v>1106</v>
      </c>
      <c r="B276" t="s">
        <v>226</v>
      </c>
      <c r="C276" t="s">
        <v>1107</v>
      </c>
      <c r="D276" t="s">
        <v>1108</v>
      </c>
      <c r="E276" t="s">
        <v>1109</v>
      </c>
      <c r="F276" t="s">
        <v>1110</v>
      </c>
      <c r="G276" t="s">
        <v>1111</v>
      </c>
      <c r="H276" t="s">
        <v>132</v>
      </c>
      <c r="I276" t="s">
        <v>111</v>
      </c>
      <c r="J276" t="s">
        <v>112</v>
      </c>
      <c r="K276" t="s">
        <v>69</v>
      </c>
      <c r="L276" t="s">
        <v>1112</v>
      </c>
      <c r="M276" t="s">
        <v>71</v>
      </c>
      <c r="N276" t="s">
        <v>72</v>
      </c>
      <c r="O276" t="s">
        <v>951</v>
      </c>
      <c r="P276" t="s">
        <v>952</v>
      </c>
      <c r="R276" t="s">
        <v>953</v>
      </c>
      <c r="S276" t="s">
        <v>1113</v>
      </c>
      <c r="T276" t="s">
        <v>76</v>
      </c>
      <c r="U276" t="s">
        <v>383</v>
      </c>
      <c r="V276" t="s">
        <v>384</v>
      </c>
      <c r="W276">
        <v>1080</v>
      </c>
      <c r="X276">
        <v>44.99</v>
      </c>
      <c r="Y276">
        <v>139</v>
      </c>
      <c r="Z276">
        <v>779000</v>
      </c>
      <c r="AA276">
        <v>186840</v>
      </c>
      <c r="AB276">
        <v>600</v>
      </c>
      <c r="AD276" t="s">
        <v>238</v>
      </c>
      <c r="AE276">
        <v>1</v>
      </c>
      <c r="AF276">
        <v>0</v>
      </c>
      <c r="AI276">
        <v>0</v>
      </c>
      <c r="AJ276">
        <v>20</v>
      </c>
      <c r="AK276">
        <v>20</v>
      </c>
      <c r="AL276">
        <v>173</v>
      </c>
      <c r="AM276">
        <v>23</v>
      </c>
      <c r="AN276">
        <v>0</v>
      </c>
      <c r="AO276">
        <v>23</v>
      </c>
      <c r="AP276" t="s">
        <v>80</v>
      </c>
      <c r="AQ276" t="s">
        <v>167</v>
      </c>
      <c r="AR276" t="s">
        <v>261</v>
      </c>
      <c r="AS276" t="s">
        <v>261</v>
      </c>
      <c r="AT276" t="s">
        <v>240</v>
      </c>
      <c r="AU276" t="s">
        <v>86</v>
      </c>
      <c r="AV276" t="s">
        <v>799</v>
      </c>
      <c r="AW276" t="s">
        <v>69</v>
      </c>
      <c r="AX276" t="s">
        <v>387</v>
      </c>
      <c r="AY276" t="s">
        <v>1114</v>
      </c>
      <c r="AZ276" t="s">
        <v>244</v>
      </c>
      <c r="BA276" t="s">
        <v>244</v>
      </c>
      <c r="BB276" t="s">
        <v>243</v>
      </c>
      <c r="BC276" t="s">
        <v>245</v>
      </c>
      <c r="BD276" t="s">
        <v>1118</v>
      </c>
      <c r="BE276" t="s">
        <v>1116</v>
      </c>
      <c r="BF276" t="s">
        <v>86</v>
      </c>
      <c r="BG276" t="s">
        <v>110</v>
      </c>
      <c r="BH276" t="str">
        <f>IF(COUNTIF(工作表1!A:A, $C276)&gt;0, "預購款", "非預購款")</f>
        <v>非預購款</v>
      </c>
    </row>
    <row r="277" spans="1:60" x14ac:dyDescent="0.25">
      <c r="A277" t="s">
        <v>1119</v>
      </c>
      <c r="B277" t="s">
        <v>315</v>
      </c>
      <c r="C277" t="s">
        <v>1120</v>
      </c>
      <c r="D277" t="s">
        <v>1121</v>
      </c>
      <c r="E277" t="s">
        <v>1122</v>
      </c>
      <c r="F277" t="s">
        <v>1110</v>
      </c>
      <c r="G277" t="s">
        <v>1123</v>
      </c>
      <c r="H277" t="s">
        <v>273</v>
      </c>
      <c r="I277" t="s">
        <v>97</v>
      </c>
      <c r="J277" t="s">
        <v>98</v>
      </c>
      <c r="K277" t="s">
        <v>69</v>
      </c>
      <c r="L277" t="s">
        <v>1124</v>
      </c>
      <c r="M277" t="s">
        <v>71</v>
      </c>
      <c r="N277" t="s">
        <v>100</v>
      </c>
      <c r="O277" t="s">
        <v>980</v>
      </c>
      <c r="P277" t="s">
        <v>981</v>
      </c>
      <c r="R277" t="s">
        <v>982</v>
      </c>
      <c r="S277" t="s">
        <v>1113</v>
      </c>
      <c r="T277" t="s">
        <v>274</v>
      </c>
      <c r="U277" t="s">
        <v>150</v>
      </c>
      <c r="V277" t="s">
        <v>307</v>
      </c>
      <c r="W277">
        <v>790</v>
      </c>
      <c r="X277">
        <v>34.99</v>
      </c>
      <c r="Y277">
        <v>99</v>
      </c>
      <c r="Z277">
        <v>569000</v>
      </c>
      <c r="AA277">
        <v>79000</v>
      </c>
      <c r="AB277">
        <v>380</v>
      </c>
      <c r="AD277" t="s">
        <v>238</v>
      </c>
      <c r="AE277">
        <v>1</v>
      </c>
      <c r="AF277">
        <v>0</v>
      </c>
      <c r="AI277">
        <v>10</v>
      </c>
      <c r="AJ277">
        <v>30</v>
      </c>
      <c r="AK277">
        <v>40</v>
      </c>
      <c r="AL277">
        <v>100</v>
      </c>
      <c r="AM277">
        <v>50</v>
      </c>
      <c r="AN277">
        <v>0</v>
      </c>
      <c r="AO277">
        <v>50</v>
      </c>
      <c r="AP277" t="s">
        <v>80</v>
      </c>
      <c r="AQ277" t="s">
        <v>630</v>
      </c>
      <c r="AT277" t="s">
        <v>240</v>
      </c>
      <c r="AU277" t="s">
        <v>261</v>
      </c>
      <c r="AV277" t="s">
        <v>1125</v>
      </c>
      <c r="AW277" t="s">
        <v>69</v>
      </c>
      <c r="AX277" t="s">
        <v>126</v>
      </c>
      <c r="AY277" t="s">
        <v>1126</v>
      </c>
      <c r="AZ277" t="s">
        <v>245</v>
      </c>
      <c r="BA277" t="s">
        <v>310</v>
      </c>
      <c r="BB277" t="s">
        <v>244</v>
      </c>
      <c r="BC277" t="s">
        <v>244</v>
      </c>
      <c r="BD277" t="s">
        <v>1127</v>
      </c>
      <c r="BE277" t="s">
        <v>1128</v>
      </c>
      <c r="BF277" t="s">
        <v>279</v>
      </c>
      <c r="BG277" t="s">
        <v>87</v>
      </c>
      <c r="BH277" t="str">
        <f>IF(COUNTIF(工作表1!A:A, $C277)&gt;0, "預購款", "非預購款")</f>
        <v>非預購款</v>
      </c>
    </row>
    <row r="278" spans="1:60" x14ac:dyDescent="0.25">
      <c r="A278" t="s">
        <v>1119</v>
      </c>
      <c r="B278" t="s">
        <v>315</v>
      </c>
      <c r="C278" t="s">
        <v>1120</v>
      </c>
      <c r="D278" t="s">
        <v>1121</v>
      </c>
      <c r="E278" t="s">
        <v>1122</v>
      </c>
      <c r="F278" t="s">
        <v>1110</v>
      </c>
      <c r="G278" t="s">
        <v>1123</v>
      </c>
      <c r="H278" t="s">
        <v>280</v>
      </c>
      <c r="I278" t="s">
        <v>97</v>
      </c>
      <c r="J278" t="s">
        <v>98</v>
      </c>
      <c r="K278" t="s">
        <v>69</v>
      </c>
      <c r="L278" t="s">
        <v>1124</v>
      </c>
      <c r="M278" t="s">
        <v>71</v>
      </c>
      <c r="N278" t="s">
        <v>100</v>
      </c>
      <c r="O278" t="s">
        <v>980</v>
      </c>
      <c r="P278" t="s">
        <v>981</v>
      </c>
      <c r="R278" t="s">
        <v>982</v>
      </c>
      <c r="S278" t="s">
        <v>1113</v>
      </c>
      <c r="T278" t="s">
        <v>274</v>
      </c>
      <c r="U278" t="s">
        <v>150</v>
      </c>
      <c r="V278" t="s">
        <v>307</v>
      </c>
      <c r="W278">
        <v>790</v>
      </c>
      <c r="X278">
        <v>34.99</v>
      </c>
      <c r="Y278">
        <v>99</v>
      </c>
      <c r="Z278">
        <v>569000</v>
      </c>
      <c r="AA278">
        <v>79000</v>
      </c>
      <c r="AB278">
        <v>380</v>
      </c>
      <c r="AD278" t="s">
        <v>238</v>
      </c>
      <c r="AE278">
        <v>1</v>
      </c>
      <c r="AF278">
        <v>0</v>
      </c>
      <c r="AI278">
        <v>10</v>
      </c>
      <c r="AJ278">
        <v>50</v>
      </c>
      <c r="AK278">
        <v>60</v>
      </c>
      <c r="AL278">
        <v>100</v>
      </c>
      <c r="AM278">
        <v>70</v>
      </c>
      <c r="AN278">
        <v>0</v>
      </c>
      <c r="AO278">
        <v>70</v>
      </c>
      <c r="AP278" t="s">
        <v>80</v>
      </c>
      <c r="AQ278" t="s">
        <v>630</v>
      </c>
      <c r="AT278" t="s">
        <v>240</v>
      </c>
      <c r="AU278" t="s">
        <v>261</v>
      </c>
      <c r="AV278" t="s">
        <v>1125</v>
      </c>
      <c r="AW278" t="s">
        <v>69</v>
      </c>
      <c r="AX278" t="s">
        <v>126</v>
      </c>
      <c r="AY278" t="s">
        <v>1126</v>
      </c>
      <c r="AZ278" t="s">
        <v>245</v>
      </c>
      <c r="BA278" t="s">
        <v>310</v>
      </c>
      <c r="BB278" t="s">
        <v>244</v>
      </c>
      <c r="BC278" t="s">
        <v>244</v>
      </c>
      <c r="BD278" t="s">
        <v>1129</v>
      </c>
      <c r="BE278" t="s">
        <v>1128</v>
      </c>
      <c r="BF278" t="s">
        <v>279</v>
      </c>
      <c r="BG278" t="s">
        <v>87</v>
      </c>
      <c r="BH278" t="str">
        <f>IF(COUNTIF(工作表1!A:A, $C278)&gt;0, "預購款", "非預購款")</f>
        <v>非預購款</v>
      </c>
    </row>
    <row r="279" spans="1:60" x14ac:dyDescent="0.25">
      <c r="A279" t="s">
        <v>1130</v>
      </c>
      <c r="B279" t="s">
        <v>488</v>
      </c>
      <c r="C279" t="s">
        <v>1131</v>
      </c>
      <c r="D279" t="s">
        <v>1132</v>
      </c>
      <c r="E279" t="s">
        <v>1133</v>
      </c>
      <c r="F279" t="s">
        <v>160</v>
      </c>
      <c r="G279" t="s">
        <v>1134</v>
      </c>
      <c r="H279" t="s">
        <v>119</v>
      </c>
      <c r="I279" t="s">
        <v>111</v>
      </c>
      <c r="J279" t="s">
        <v>112</v>
      </c>
      <c r="K279" t="s">
        <v>69</v>
      </c>
      <c r="L279" t="s">
        <v>1135</v>
      </c>
      <c r="M279" t="s">
        <v>71</v>
      </c>
      <c r="N279" t="s">
        <v>100</v>
      </c>
      <c r="O279" t="s">
        <v>1136</v>
      </c>
      <c r="P279" t="s">
        <v>1137</v>
      </c>
      <c r="R279" t="s">
        <v>1138</v>
      </c>
      <c r="S279" t="s">
        <v>165</v>
      </c>
      <c r="T279" t="s">
        <v>258</v>
      </c>
      <c r="U279" t="s">
        <v>383</v>
      </c>
      <c r="V279" t="s">
        <v>384</v>
      </c>
      <c r="W279">
        <v>1180</v>
      </c>
      <c r="X279">
        <v>49.99</v>
      </c>
      <c r="Y279">
        <v>155</v>
      </c>
      <c r="Z279">
        <v>859000</v>
      </c>
      <c r="AA279">
        <v>548700</v>
      </c>
      <c r="AB279">
        <v>585</v>
      </c>
      <c r="AD279" t="s">
        <v>238</v>
      </c>
      <c r="AE279">
        <v>2</v>
      </c>
      <c r="AF279">
        <v>0</v>
      </c>
      <c r="AI279">
        <v>0</v>
      </c>
      <c r="AJ279">
        <v>110</v>
      </c>
      <c r="AK279">
        <v>110</v>
      </c>
      <c r="AL279">
        <v>465</v>
      </c>
      <c r="AM279">
        <v>137</v>
      </c>
      <c r="AN279">
        <v>2</v>
      </c>
      <c r="AO279">
        <v>119</v>
      </c>
      <c r="AP279" t="s">
        <v>80</v>
      </c>
      <c r="AQ279" t="s">
        <v>176</v>
      </c>
      <c r="AR279" t="s">
        <v>261</v>
      </c>
      <c r="AS279" t="s">
        <v>261</v>
      </c>
      <c r="AT279" t="s">
        <v>86</v>
      </c>
      <c r="AU279" t="s">
        <v>86</v>
      </c>
      <c r="AV279" t="s">
        <v>81</v>
      </c>
      <c r="AW279" t="s">
        <v>69</v>
      </c>
      <c r="AX279" t="s">
        <v>728</v>
      </c>
      <c r="AY279" t="s">
        <v>729</v>
      </c>
      <c r="AZ279" t="s">
        <v>245</v>
      </c>
      <c r="BA279" t="s">
        <v>244</v>
      </c>
      <c r="BB279" t="s">
        <v>245</v>
      </c>
      <c r="BC279" t="s">
        <v>264</v>
      </c>
      <c r="BD279" t="s">
        <v>1139</v>
      </c>
      <c r="BE279" t="s">
        <v>1140</v>
      </c>
      <c r="BF279" t="s">
        <v>240</v>
      </c>
      <c r="BG279" t="s">
        <v>150</v>
      </c>
      <c r="BH279" t="str">
        <f>IF(COUNTIF(工作表1!A:A, $C279)&gt;0, "預購款", "非預購款")</f>
        <v>非預購款</v>
      </c>
    </row>
    <row r="280" spans="1:60" x14ac:dyDescent="0.25">
      <c r="A280" t="s">
        <v>1130</v>
      </c>
      <c r="B280" t="s">
        <v>488</v>
      </c>
      <c r="C280" t="s">
        <v>1131</v>
      </c>
      <c r="D280" t="s">
        <v>1132</v>
      </c>
      <c r="E280" t="s">
        <v>1133</v>
      </c>
      <c r="F280" t="s">
        <v>160</v>
      </c>
      <c r="G280" t="s">
        <v>1134</v>
      </c>
      <c r="H280" t="s">
        <v>130</v>
      </c>
      <c r="I280" t="s">
        <v>111</v>
      </c>
      <c r="J280" t="s">
        <v>112</v>
      </c>
      <c r="K280" t="s">
        <v>69</v>
      </c>
      <c r="L280" t="s">
        <v>1135</v>
      </c>
      <c r="M280" t="s">
        <v>71</v>
      </c>
      <c r="N280" t="s">
        <v>100</v>
      </c>
      <c r="O280" t="s">
        <v>1136</v>
      </c>
      <c r="P280" t="s">
        <v>1137</v>
      </c>
      <c r="R280" t="s">
        <v>1138</v>
      </c>
      <c r="S280" t="s">
        <v>165</v>
      </c>
      <c r="T280" t="s">
        <v>258</v>
      </c>
      <c r="U280" t="s">
        <v>383</v>
      </c>
      <c r="V280" t="s">
        <v>384</v>
      </c>
      <c r="W280">
        <v>1180</v>
      </c>
      <c r="X280">
        <v>49.99</v>
      </c>
      <c r="Y280">
        <v>155</v>
      </c>
      <c r="Z280">
        <v>859000</v>
      </c>
      <c r="AA280">
        <v>548700</v>
      </c>
      <c r="AB280">
        <v>585</v>
      </c>
      <c r="AD280" t="s">
        <v>238</v>
      </c>
      <c r="AE280">
        <v>2</v>
      </c>
      <c r="AF280">
        <v>0</v>
      </c>
      <c r="AI280">
        <v>0</v>
      </c>
      <c r="AJ280">
        <v>120</v>
      </c>
      <c r="AK280">
        <v>120</v>
      </c>
      <c r="AL280">
        <v>465</v>
      </c>
      <c r="AM280">
        <v>128</v>
      </c>
      <c r="AN280">
        <v>2</v>
      </c>
      <c r="AO280">
        <v>130</v>
      </c>
      <c r="AP280" t="s">
        <v>80</v>
      </c>
      <c r="AQ280" t="s">
        <v>176</v>
      </c>
      <c r="AR280" t="s">
        <v>261</v>
      </c>
      <c r="AS280" t="s">
        <v>261</v>
      </c>
      <c r="AT280" t="s">
        <v>86</v>
      </c>
      <c r="AU280" t="s">
        <v>86</v>
      </c>
      <c r="AV280" t="s">
        <v>81</v>
      </c>
      <c r="AW280" t="s">
        <v>69</v>
      </c>
      <c r="AX280" t="s">
        <v>728</v>
      </c>
      <c r="AY280" t="s">
        <v>729</v>
      </c>
      <c r="AZ280" t="s">
        <v>245</v>
      </c>
      <c r="BA280" t="s">
        <v>244</v>
      </c>
      <c r="BB280" t="s">
        <v>245</v>
      </c>
      <c r="BC280" t="s">
        <v>264</v>
      </c>
      <c r="BD280" t="s">
        <v>1141</v>
      </c>
      <c r="BE280" t="s">
        <v>1140</v>
      </c>
      <c r="BF280" t="s">
        <v>240</v>
      </c>
      <c r="BG280" t="s">
        <v>150</v>
      </c>
      <c r="BH280" t="str">
        <f>IF(COUNTIF(工作表1!A:A, $C280)&gt;0, "預購款", "非預購款")</f>
        <v>非預購款</v>
      </c>
    </row>
    <row r="281" spans="1:60" x14ac:dyDescent="0.25">
      <c r="A281" t="s">
        <v>1130</v>
      </c>
      <c r="B281" t="s">
        <v>488</v>
      </c>
      <c r="C281" t="s">
        <v>1131</v>
      </c>
      <c r="D281" t="s">
        <v>1132</v>
      </c>
      <c r="E281" t="s">
        <v>1133</v>
      </c>
      <c r="F281" t="s">
        <v>160</v>
      </c>
      <c r="G281" t="s">
        <v>1134</v>
      </c>
      <c r="H281" t="s">
        <v>132</v>
      </c>
      <c r="I281" t="s">
        <v>111</v>
      </c>
      <c r="J281" t="s">
        <v>112</v>
      </c>
      <c r="K281" t="s">
        <v>69</v>
      </c>
      <c r="L281" t="s">
        <v>1135</v>
      </c>
      <c r="M281" t="s">
        <v>71</v>
      </c>
      <c r="N281" t="s">
        <v>100</v>
      </c>
      <c r="O281" t="s">
        <v>1136</v>
      </c>
      <c r="P281" t="s">
        <v>1137</v>
      </c>
      <c r="R281" t="s">
        <v>1138</v>
      </c>
      <c r="S281" t="s">
        <v>165</v>
      </c>
      <c r="T281" t="s">
        <v>258</v>
      </c>
      <c r="U281" t="s">
        <v>383</v>
      </c>
      <c r="V281" t="s">
        <v>384</v>
      </c>
      <c r="W281">
        <v>1180</v>
      </c>
      <c r="X281">
        <v>49.99</v>
      </c>
      <c r="Y281">
        <v>155</v>
      </c>
      <c r="Z281">
        <v>859000</v>
      </c>
      <c r="AA281">
        <v>548700</v>
      </c>
      <c r="AB281">
        <v>585</v>
      </c>
      <c r="AD281" t="s">
        <v>238</v>
      </c>
      <c r="AE281">
        <v>2</v>
      </c>
      <c r="AF281">
        <v>0</v>
      </c>
      <c r="AI281">
        <v>0</v>
      </c>
      <c r="AJ281">
        <v>50</v>
      </c>
      <c r="AK281">
        <v>50</v>
      </c>
      <c r="AL281">
        <v>465</v>
      </c>
      <c r="AM281">
        <v>56</v>
      </c>
      <c r="AN281">
        <v>1</v>
      </c>
      <c r="AO281">
        <v>57</v>
      </c>
      <c r="AP281" t="s">
        <v>80</v>
      </c>
      <c r="AQ281" t="s">
        <v>176</v>
      </c>
      <c r="AR281" t="s">
        <v>261</v>
      </c>
      <c r="AS281" t="s">
        <v>261</v>
      </c>
      <c r="AT281" t="s">
        <v>86</v>
      </c>
      <c r="AU281" t="s">
        <v>86</v>
      </c>
      <c r="AV281" t="s">
        <v>81</v>
      </c>
      <c r="AW281" t="s">
        <v>69</v>
      </c>
      <c r="AX281" t="s">
        <v>728</v>
      </c>
      <c r="AY281" t="s">
        <v>729</v>
      </c>
      <c r="AZ281" t="s">
        <v>245</v>
      </c>
      <c r="BA281" t="s">
        <v>244</v>
      </c>
      <c r="BB281" t="s">
        <v>245</v>
      </c>
      <c r="BC281" t="s">
        <v>264</v>
      </c>
      <c r="BD281" t="s">
        <v>1142</v>
      </c>
      <c r="BE281" t="s">
        <v>1140</v>
      </c>
      <c r="BF281" t="s">
        <v>240</v>
      </c>
      <c r="BG281" t="s">
        <v>150</v>
      </c>
      <c r="BH281" t="str">
        <f>IF(COUNTIF(工作表1!A:A, $C281)&gt;0, "預購款", "非預購款")</f>
        <v>非預購款</v>
      </c>
    </row>
    <row r="282" spans="1:60" x14ac:dyDescent="0.25">
      <c r="A282" t="s">
        <v>1130</v>
      </c>
      <c r="B282" t="s">
        <v>488</v>
      </c>
      <c r="C282" t="s">
        <v>1131</v>
      </c>
      <c r="D282" t="s">
        <v>1132</v>
      </c>
      <c r="E282" t="s">
        <v>1133</v>
      </c>
      <c r="F282" t="s">
        <v>160</v>
      </c>
      <c r="G282" t="s">
        <v>1134</v>
      </c>
      <c r="H282" t="s">
        <v>119</v>
      </c>
      <c r="I282" t="s">
        <v>162</v>
      </c>
      <c r="J282" t="s">
        <v>163</v>
      </c>
      <c r="K282" t="s">
        <v>69</v>
      </c>
      <c r="L282" t="s">
        <v>1135</v>
      </c>
      <c r="M282" t="s">
        <v>71</v>
      </c>
      <c r="N282" t="s">
        <v>100</v>
      </c>
      <c r="O282" t="s">
        <v>1136</v>
      </c>
      <c r="P282" t="s">
        <v>1137</v>
      </c>
      <c r="R282" t="s">
        <v>1138</v>
      </c>
      <c r="S282" t="s">
        <v>165</v>
      </c>
      <c r="T282" t="s">
        <v>258</v>
      </c>
      <c r="U282" t="s">
        <v>383</v>
      </c>
      <c r="V282" t="s">
        <v>384</v>
      </c>
      <c r="W282">
        <v>1180</v>
      </c>
      <c r="X282">
        <v>49.99</v>
      </c>
      <c r="Y282">
        <v>155</v>
      </c>
      <c r="Z282">
        <v>859000</v>
      </c>
      <c r="AA282">
        <v>548700</v>
      </c>
      <c r="AB282">
        <v>585</v>
      </c>
      <c r="AD282" t="s">
        <v>238</v>
      </c>
      <c r="AE282">
        <v>2</v>
      </c>
      <c r="AF282">
        <v>10</v>
      </c>
      <c r="AI282">
        <v>10</v>
      </c>
      <c r="AJ282">
        <v>40</v>
      </c>
      <c r="AK282">
        <v>60</v>
      </c>
      <c r="AL282">
        <v>465</v>
      </c>
      <c r="AM282">
        <v>63</v>
      </c>
      <c r="AN282">
        <v>2</v>
      </c>
      <c r="AO282">
        <v>65</v>
      </c>
      <c r="AP282" t="s">
        <v>80</v>
      </c>
      <c r="AQ282" t="s">
        <v>176</v>
      </c>
      <c r="AR282" t="s">
        <v>261</v>
      </c>
      <c r="AS282" t="s">
        <v>261</v>
      </c>
      <c r="AT282" t="s">
        <v>86</v>
      </c>
      <c r="AU282" t="s">
        <v>86</v>
      </c>
      <c r="AV282" t="s">
        <v>81</v>
      </c>
      <c r="AW282" t="s">
        <v>69</v>
      </c>
      <c r="AX282" t="s">
        <v>728</v>
      </c>
      <c r="AY282" t="s">
        <v>729</v>
      </c>
      <c r="AZ282" t="s">
        <v>245</v>
      </c>
      <c r="BA282" t="s">
        <v>244</v>
      </c>
      <c r="BB282" t="s">
        <v>245</v>
      </c>
      <c r="BC282" t="s">
        <v>264</v>
      </c>
      <c r="BD282" t="s">
        <v>1143</v>
      </c>
      <c r="BE282" t="s">
        <v>1140</v>
      </c>
      <c r="BF282" t="s">
        <v>240</v>
      </c>
      <c r="BG282" t="s">
        <v>150</v>
      </c>
      <c r="BH282" t="str">
        <f>IF(COUNTIF(工作表1!A:A, $C282)&gt;0, "預購款", "非預購款")</f>
        <v>非預購款</v>
      </c>
    </row>
    <row r="283" spans="1:60" x14ac:dyDescent="0.25">
      <c r="A283" t="s">
        <v>1130</v>
      </c>
      <c r="B283" t="s">
        <v>488</v>
      </c>
      <c r="C283" t="s">
        <v>1131</v>
      </c>
      <c r="D283" t="s">
        <v>1132</v>
      </c>
      <c r="E283" t="s">
        <v>1133</v>
      </c>
      <c r="F283" t="s">
        <v>160</v>
      </c>
      <c r="G283" t="s">
        <v>1134</v>
      </c>
      <c r="H283" t="s">
        <v>130</v>
      </c>
      <c r="I283" t="s">
        <v>162</v>
      </c>
      <c r="J283" t="s">
        <v>163</v>
      </c>
      <c r="K283" t="s">
        <v>69</v>
      </c>
      <c r="L283" t="s">
        <v>1135</v>
      </c>
      <c r="M283" t="s">
        <v>71</v>
      </c>
      <c r="N283" t="s">
        <v>100</v>
      </c>
      <c r="O283" t="s">
        <v>1136</v>
      </c>
      <c r="P283" t="s">
        <v>1137</v>
      </c>
      <c r="R283" t="s">
        <v>1138</v>
      </c>
      <c r="S283" t="s">
        <v>165</v>
      </c>
      <c r="T283" t="s">
        <v>258</v>
      </c>
      <c r="U283" t="s">
        <v>383</v>
      </c>
      <c r="V283" t="s">
        <v>384</v>
      </c>
      <c r="W283">
        <v>1180</v>
      </c>
      <c r="X283">
        <v>49.99</v>
      </c>
      <c r="Y283">
        <v>155</v>
      </c>
      <c r="Z283">
        <v>859000</v>
      </c>
      <c r="AA283">
        <v>548700</v>
      </c>
      <c r="AB283">
        <v>585</v>
      </c>
      <c r="AD283" t="s">
        <v>238</v>
      </c>
      <c r="AE283">
        <v>2</v>
      </c>
      <c r="AF283">
        <v>5</v>
      </c>
      <c r="AI283">
        <v>10</v>
      </c>
      <c r="AJ283">
        <v>50</v>
      </c>
      <c r="AK283">
        <v>65</v>
      </c>
      <c r="AL283">
        <v>465</v>
      </c>
      <c r="AM283">
        <v>63</v>
      </c>
      <c r="AN283">
        <v>0</v>
      </c>
      <c r="AO283">
        <v>63</v>
      </c>
      <c r="AP283" t="s">
        <v>80</v>
      </c>
      <c r="AQ283" t="s">
        <v>176</v>
      </c>
      <c r="AR283" t="s">
        <v>261</v>
      </c>
      <c r="AS283" t="s">
        <v>261</v>
      </c>
      <c r="AT283" t="s">
        <v>86</v>
      </c>
      <c r="AU283" t="s">
        <v>86</v>
      </c>
      <c r="AV283" t="s">
        <v>81</v>
      </c>
      <c r="AW283" t="s">
        <v>69</v>
      </c>
      <c r="AX283" t="s">
        <v>728</v>
      </c>
      <c r="AY283" t="s">
        <v>729</v>
      </c>
      <c r="AZ283" t="s">
        <v>245</v>
      </c>
      <c r="BA283" t="s">
        <v>244</v>
      </c>
      <c r="BB283" t="s">
        <v>245</v>
      </c>
      <c r="BC283" t="s">
        <v>264</v>
      </c>
      <c r="BD283" t="s">
        <v>1144</v>
      </c>
      <c r="BE283" t="s">
        <v>1140</v>
      </c>
      <c r="BF283" t="s">
        <v>240</v>
      </c>
      <c r="BG283" t="s">
        <v>150</v>
      </c>
      <c r="BH283" t="str">
        <f>IF(COUNTIF(工作表1!A:A, $C283)&gt;0, "預購款", "非預購款")</f>
        <v>非預購款</v>
      </c>
    </row>
    <row r="284" spans="1:60" x14ac:dyDescent="0.25">
      <c r="A284" t="s">
        <v>1130</v>
      </c>
      <c r="B284" t="s">
        <v>488</v>
      </c>
      <c r="C284" t="s">
        <v>1131</v>
      </c>
      <c r="D284" t="s">
        <v>1132</v>
      </c>
      <c r="E284" t="s">
        <v>1133</v>
      </c>
      <c r="F284" t="s">
        <v>160</v>
      </c>
      <c r="G284" t="s">
        <v>1134</v>
      </c>
      <c r="H284" t="s">
        <v>132</v>
      </c>
      <c r="I284" t="s">
        <v>162</v>
      </c>
      <c r="J284" t="s">
        <v>163</v>
      </c>
      <c r="K284" t="s">
        <v>69</v>
      </c>
      <c r="L284" t="s">
        <v>1135</v>
      </c>
      <c r="M284" t="s">
        <v>71</v>
      </c>
      <c r="N284" t="s">
        <v>100</v>
      </c>
      <c r="O284" t="s">
        <v>1136</v>
      </c>
      <c r="P284" t="s">
        <v>1137</v>
      </c>
      <c r="R284" t="s">
        <v>1138</v>
      </c>
      <c r="S284" t="s">
        <v>165</v>
      </c>
      <c r="T284" t="s">
        <v>258</v>
      </c>
      <c r="U284" t="s">
        <v>383</v>
      </c>
      <c r="V284" t="s">
        <v>384</v>
      </c>
      <c r="W284">
        <v>1180</v>
      </c>
      <c r="X284">
        <v>49.99</v>
      </c>
      <c r="Y284">
        <v>155</v>
      </c>
      <c r="Z284">
        <v>859000</v>
      </c>
      <c r="AA284">
        <v>548700</v>
      </c>
      <c r="AB284">
        <v>585</v>
      </c>
      <c r="AD284" t="s">
        <v>238</v>
      </c>
      <c r="AE284">
        <v>2</v>
      </c>
      <c r="AF284">
        <v>0</v>
      </c>
      <c r="AI284">
        <v>10</v>
      </c>
      <c r="AJ284">
        <v>50</v>
      </c>
      <c r="AK284">
        <v>60</v>
      </c>
      <c r="AL284">
        <v>465</v>
      </c>
      <c r="AM284">
        <v>63</v>
      </c>
      <c r="AN284">
        <v>2</v>
      </c>
      <c r="AO284">
        <v>65</v>
      </c>
      <c r="AP284" t="s">
        <v>80</v>
      </c>
      <c r="AQ284" t="s">
        <v>176</v>
      </c>
      <c r="AR284" t="s">
        <v>261</v>
      </c>
      <c r="AS284" t="s">
        <v>261</v>
      </c>
      <c r="AT284" t="s">
        <v>86</v>
      </c>
      <c r="AU284" t="s">
        <v>86</v>
      </c>
      <c r="AV284" t="s">
        <v>81</v>
      </c>
      <c r="AW284" t="s">
        <v>69</v>
      </c>
      <c r="AX284" t="s">
        <v>728</v>
      </c>
      <c r="AY284" t="s">
        <v>729</v>
      </c>
      <c r="AZ284" t="s">
        <v>245</v>
      </c>
      <c r="BA284" t="s">
        <v>244</v>
      </c>
      <c r="BB284" t="s">
        <v>245</v>
      </c>
      <c r="BC284" t="s">
        <v>264</v>
      </c>
      <c r="BD284" t="s">
        <v>1145</v>
      </c>
      <c r="BE284" t="s">
        <v>1140</v>
      </c>
      <c r="BF284" t="s">
        <v>240</v>
      </c>
      <c r="BG284" t="s">
        <v>150</v>
      </c>
      <c r="BH284" t="str">
        <f>IF(COUNTIF(工作表1!A:A, $C284)&gt;0, "預購款", "非預購款")</f>
        <v>非預購款</v>
      </c>
    </row>
    <row r="285" spans="1:60" x14ac:dyDescent="0.25">
      <c r="A285" t="s">
        <v>1146</v>
      </c>
      <c r="B285" t="s">
        <v>488</v>
      </c>
      <c r="C285" t="s">
        <v>1147</v>
      </c>
      <c r="D285" t="s">
        <v>1148</v>
      </c>
      <c r="E285" t="s">
        <v>1149</v>
      </c>
      <c r="F285" t="s">
        <v>160</v>
      </c>
      <c r="G285" t="s">
        <v>1150</v>
      </c>
      <c r="H285" t="s">
        <v>273</v>
      </c>
      <c r="I285" t="s">
        <v>111</v>
      </c>
      <c r="J285" t="s">
        <v>112</v>
      </c>
      <c r="K285" t="s">
        <v>69</v>
      </c>
      <c r="L285" t="s">
        <v>1135</v>
      </c>
      <c r="M285" t="s">
        <v>71</v>
      </c>
      <c r="N285" t="s">
        <v>100</v>
      </c>
      <c r="O285" t="s">
        <v>1136</v>
      </c>
      <c r="P285" t="s">
        <v>1137</v>
      </c>
      <c r="R285" t="s">
        <v>1138</v>
      </c>
      <c r="S285" t="s">
        <v>165</v>
      </c>
      <c r="T285" t="s">
        <v>274</v>
      </c>
      <c r="U285" t="s">
        <v>383</v>
      </c>
      <c r="V285" t="s">
        <v>384</v>
      </c>
      <c r="W285">
        <v>1280</v>
      </c>
      <c r="X285">
        <v>49.99</v>
      </c>
      <c r="Y285">
        <v>169</v>
      </c>
      <c r="Z285">
        <v>919000</v>
      </c>
      <c r="AA285">
        <v>422400</v>
      </c>
      <c r="AB285">
        <v>622</v>
      </c>
      <c r="AD285" t="s">
        <v>238</v>
      </c>
      <c r="AE285">
        <v>2</v>
      </c>
      <c r="AF285">
        <v>0</v>
      </c>
      <c r="AI285">
        <v>0</v>
      </c>
      <c r="AJ285">
        <v>80</v>
      </c>
      <c r="AK285">
        <v>80</v>
      </c>
      <c r="AL285">
        <v>330</v>
      </c>
      <c r="AM285">
        <v>71</v>
      </c>
      <c r="AN285">
        <v>0</v>
      </c>
      <c r="AO285">
        <v>71</v>
      </c>
      <c r="AP285" t="s">
        <v>80</v>
      </c>
      <c r="AQ285" t="s">
        <v>1151</v>
      </c>
      <c r="AS285" t="s">
        <v>86</v>
      </c>
      <c r="AT285" t="s">
        <v>86</v>
      </c>
      <c r="AU285" t="s">
        <v>86</v>
      </c>
      <c r="AV285" t="s">
        <v>1152</v>
      </c>
      <c r="AW285" t="s">
        <v>69</v>
      </c>
      <c r="AX285" t="s">
        <v>1153</v>
      </c>
      <c r="AY285" t="s">
        <v>1154</v>
      </c>
      <c r="AZ285" t="s">
        <v>245</v>
      </c>
      <c r="BA285" t="s">
        <v>244</v>
      </c>
      <c r="BB285" t="s">
        <v>245</v>
      </c>
      <c r="BC285" t="s">
        <v>264</v>
      </c>
      <c r="BD285" t="s">
        <v>1155</v>
      </c>
      <c r="BE285" t="s">
        <v>1156</v>
      </c>
      <c r="BF285" t="s">
        <v>279</v>
      </c>
      <c r="BG285" t="s">
        <v>110</v>
      </c>
      <c r="BH285" t="str">
        <f>IF(COUNTIF(工作表1!A:A, $C285)&gt;0, "預購款", "非預購款")</f>
        <v>非預購款</v>
      </c>
    </row>
    <row r="286" spans="1:60" x14ac:dyDescent="0.25">
      <c r="A286" t="s">
        <v>1146</v>
      </c>
      <c r="B286" t="s">
        <v>488</v>
      </c>
      <c r="C286" t="s">
        <v>1147</v>
      </c>
      <c r="D286" t="s">
        <v>1148</v>
      </c>
      <c r="E286" t="s">
        <v>1149</v>
      </c>
      <c r="F286" t="s">
        <v>160</v>
      </c>
      <c r="G286" t="s">
        <v>1150</v>
      </c>
      <c r="H286" t="s">
        <v>501</v>
      </c>
      <c r="I286" t="s">
        <v>111</v>
      </c>
      <c r="J286" t="s">
        <v>112</v>
      </c>
      <c r="K286" t="s">
        <v>69</v>
      </c>
      <c r="L286" t="s">
        <v>1135</v>
      </c>
      <c r="M286" t="s">
        <v>71</v>
      </c>
      <c r="N286" t="s">
        <v>100</v>
      </c>
      <c r="O286" t="s">
        <v>1136</v>
      </c>
      <c r="P286" t="s">
        <v>1137</v>
      </c>
      <c r="R286" t="s">
        <v>1138</v>
      </c>
      <c r="S286" t="s">
        <v>165</v>
      </c>
      <c r="T286" t="s">
        <v>274</v>
      </c>
      <c r="U286" t="s">
        <v>383</v>
      </c>
      <c r="V286" t="s">
        <v>384</v>
      </c>
      <c r="W286">
        <v>1280</v>
      </c>
      <c r="X286">
        <v>49.99</v>
      </c>
      <c r="Y286">
        <v>169</v>
      </c>
      <c r="Z286">
        <v>919000</v>
      </c>
      <c r="AA286">
        <v>422400</v>
      </c>
      <c r="AB286">
        <v>622</v>
      </c>
      <c r="AD286" t="s">
        <v>238</v>
      </c>
      <c r="AE286">
        <v>2</v>
      </c>
      <c r="AF286">
        <v>0</v>
      </c>
      <c r="AI286">
        <v>0</v>
      </c>
      <c r="AJ286">
        <v>70</v>
      </c>
      <c r="AK286">
        <v>70</v>
      </c>
      <c r="AL286">
        <v>330</v>
      </c>
      <c r="AM286">
        <v>60</v>
      </c>
      <c r="AN286">
        <v>0</v>
      </c>
      <c r="AO286">
        <v>60</v>
      </c>
      <c r="AP286" t="s">
        <v>80</v>
      </c>
      <c r="AQ286" t="s">
        <v>1151</v>
      </c>
      <c r="AS286" t="s">
        <v>86</v>
      </c>
      <c r="AT286" t="s">
        <v>86</v>
      </c>
      <c r="AU286" t="s">
        <v>86</v>
      </c>
      <c r="AV286" t="s">
        <v>1152</v>
      </c>
      <c r="AW286" t="s">
        <v>69</v>
      </c>
      <c r="AX286" t="s">
        <v>1153</v>
      </c>
      <c r="AY286" t="s">
        <v>1154</v>
      </c>
      <c r="AZ286" t="s">
        <v>245</v>
      </c>
      <c r="BA286" t="s">
        <v>244</v>
      </c>
      <c r="BB286" t="s">
        <v>245</v>
      </c>
      <c r="BC286" t="s">
        <v>264</v>
      </c>
      <c r="BD286" t="s">
        <v>1157</v>
      </c>
      <c r="BE286" t="s">
        <v>1156</v>
      </c>
      <c r="BF286" t="s">
        <v>279</v>
      </c>
      <c r="BG286" t="s">
        <v>110</v>
      </c>
      <c r="BH286" t="str">
        <f>IF(COUNTIF(工作表1!A:A, $C286)&gt;0, "預購款", "非預購款")</f>
        <v>非預購款</v>
      </c>
    </row>
    <row r="287" spans="1:60" x14ac:dyDescent="0.25">
      <c r="A287" t="s">
        <v>1146</v>
      </c>
      <c r="B287" t="s">
        <v>488</v>
      </c>
      <c r="C287" t="s">
        <v>1147</v>
      </c>
      <c r="D287" t="s">
        <v>1148</v>
      </c>
      <c r="E287" t="s">
        <v>1149</v>
      </c>
      <c r="F287" t="s">
        <v>160</v>
      </c>
      <c r="G287" t="s">
        <v>1150</v>
      </c>
      <c r="H287" t="s">
        <v>280</v>
      </c>
      <c r="I287" t="s">
        <v>111</v>
      </c>
      <c r="J287" t="s">
        <v>112</v>
      </c>
      <c r="K287" t="s">
        <v>69</v>
      </c>
      <c r="L287" t="s">
        <v>1135</v>
      </c>
      <c r="M287" t="s">
        <v>71</v>
      </c>
      <c r="N287" t="s">
        <v>100</v>
      </c>
      <c r="O287" t="s">
        <v>1136</v>
      </c>
      <c r="P287" t="s">
        <v>1137</v>
      </c>
      <c r="R287" t="s">
        <v>1138</v>
      </c>
      <c r="S287" t="s">
        <v>165</v>
      </c>
      <c r="T287" t="s">
        <v>274</v>
      </c>
      <c r="U287" t="s">
        <v>383</v>
      </c>
      <c r="V287" t="s">
        <v>384</v>
      </c>
      <c r="W287">
        <v>1280</v>
      </c>
      <c r="X287">
        <v>49.99</v>
      </c>
      <c r="Y287">
        <v>169</v>
      </c>
      <c r="Z287">
        <v>919000</v>
      </c>
      <c r="AA287">
        <v>422400</v>
      </c>
      <c r="AB287">
        <v>622</v>
      </c>
      <c r="AD287" t="s">
        <v>238</v>
      </c>
      <c r="AE287">
        <v>2</v>
      </c>
      <c r="AF287">
        <v>0</v>
      </c>
      <c r="AI287">
        <v>0</v>
      </c>
      <c r="AJ287">
        <v>65</v>
      </c>
      <c r="AK287">
        <v>65</v>
      </c>
      <c r="AL287">
        <v>330</v>
      </c>
      <c r="AM287">
        <v>75</v>
      </c>
      <c r="AN287">
        <v>0</v>
      </c>
      <c r="AO287">
        <v>75</v>
      </c>
      <c r="AP287" t="s">
        <v>80</v>
      </c>
      <c r="AQ287" t="s">
        <v>1151</v>
      </c>
      <c r="AS287" t="s">
        <v>86</v>
      </c>
      <c r="AT287" t="s">
        <v>86</v>
      </c>
      <c r="AU287" t="s">
        <v>86</v>
      </c>
      <c r="AV287" t="s">
        <v>1152</v>
      </c>
      <c r="AW287" t="s">
        <v>69</v>
      </c>
      <c r="AX287" t="s">
        <v>1153</v>
      </c>
      <c r="AY287" t="s">
        <v>1154</v>
      </c>
      <c r="AZ287" t="s">
        <v>245</v>
      </c>
      <c r="BA287" t="s">
        <v>244</v>
      </c>
      <c r="BB287" t="s">
        <v>245</v>
      </c>
      <c r="BC287" t="s">
        <v>264</v>
      </c>
      <c r="BD287" t="s">
        <v>1158</v>
      </c>
      <c r="BE287" t="s">
        <v>1156</v>
      </c>
      <c r="BF287" t="s">
        <v>279</v>
      </c>
      <c r="BG287" t="s">
        <v>110</v>
      </c>
      <c r="BH287" t="str">
        <f>IF(COUNTIF(工作表1!A:A, $C287)&gt;0, "預購款", "非預購款")</f>
        <v>非預購款</v>
      </c>
    </row>
    <row r="288" spans="1:60" x14ac:dyDescent="0.25">
      <c r="A288" t="s">
        <v>1146</v>
      </c>
      <c r="B288" t="s">
        <v>488</v>
      </c>
      <c r="C288" t="s">
        <v>1147</v>
      </c>
      <c r="D288" t="s">
        <v>1148</v>
      </c>
      <c r="E288" t="s">
        <v>1149</v>
      </c>
      <c r="F288" t="s">
        <v>160</v>
      </c>
      <c r="G288" t="s">
        <v>1150</v>
      </c>
      <c r="H288" t="s">
        <v>273</v>
      </c>
      <c r="I288" t="s">
        <v>162</v>
      </c>
      <c r="J288" t="s">
        <v>163</v>
      </c>
      <c r="K288" t="s">
        <v>69</v>
      </c>
      <c r="L288" t="s">
        <v>1135</v>
      </c>
      <c r="M288" t="s">
        <v>71</v>
      </c>
      <c r="N288" t="s">
        <v>100</v>
      </c>
      <c r="O288" t="s">
        <v>1136</v>
      </c>
      <c r="P288" t="s">
        <v>1137</v>
      </c>
      <c r="R288" t="s">
        <v>1138</v>
      </c>
      <c r="S288" t="s">
        <v>165</v>
      </c>
      <c r="T288" t="s">
        <v>274</v>
      </c>
      <c r="U288" t="s">
        <v>383</v>
      </c>
      <c r="V288" t="s">
        <v>384</v>
      </c>
      <c r="W288">
        <v>1280</v>
      </c>
      <c r="X288">
        <v>49.99</v>
      </c>
      <c r="Y288">
        <v>169</v>
      </c>
      <c r="Z288">
        <v>919000</v>
      </c>
      <c r="AA288">
        <v>422400</v>
      </c>
      <c r="AB288">
        <v>622</v>
      </c>
      <c r="AD288" t="s">
        <v>238</v>
      </c>
      <c r="AE288">
        <v>2</v>
      </c>
      <c r="AF288">
        <v>0</v>
      </c>
      <c r="AI288">
        <v>0</v>
      </c>
      <c r="AJ288">
        <v>40</v>
      </c>
      <c r="AK288">
        <v>40</v>
      </c>
      <c r="AL288">
        <v>330</v>
      </c>
      <c r="AM288">
        <v>39</v>
      </c>
      <c r="AN288">
        <v>0</v>
      </c>
      <c r="AO288">
        <v>39</v>
      </c>
      <c r="AP288" t="s">
        <v>80</v>
      </c>
      <c r="AQ288" t="s">
        <v>1151</v>
      </c>
      <c r="AS288" t="s">
        <v>86</v>
      </c>
      <c r="AT288" t="s">
        <v>86</v>
      </c>
      <c r="AU288" t="s">
        <v>86</v>
      </c>
      <c r="AV288" t="s">
        <v>1152</v>
      </c>
      <c r="AW288" t="s">
        <v>69</v>
      </c>
      <c r="AX288" t="s">
        <v>1153</v>
      </c>
      <c r="AY288" t="s">
        <v>1154</v>
      </c>
      <c r="AZ288" t="s">
        <v>245</v>
      </c>
      <c r="BA288" t="s">
        <v>244</v>
      </c>
      <c r="BB288" t="s">
        <v>245</v>
      </c>
      <c r="BC288" t="s">
        <v>264</v>
      </c>
      <c r="BD288" t="s">
        <v>1159</v>
      </c>
      <c r="BE288" t="s">
        <v>1156</v>
      </c>
      <c r="BF288" t="s">
        <v>279</v>
      </c>
      <c r="BG288" t="s">
        <v>110</v>
      </c>
      <c r="BH288" t="str">
        <f>IF(COUNTIF(工作表1!A:A, $C288)&gt;0, "預購款", "非預購款")</f>
        <v>非預購款</v>
      </c>
    </row>
    <row r="289" spans="1:60" x14ac:dyDescent="0.25">
      <c r="A289" t="s">
        <v>1146</v>
      </c>
      <c r="B289" t="s">
        <v>488</v>
      </c>
      <c r="C289" t="s">
        <v>1147</v>
      </c>
      <c r="D289" t="s">
        <v>1148</v>
      </c>
      <c r="E289" t="s">
        <v>1149</v>
      </c>
      <c r="F289" t="s">
        <v>160</v>
      </c>
      <c r="G289" t="s">
        <v>1150</v>
      </c>
      <c r="H289" t="s">
        <v>501</v>
      </c>
      <c r="I289" t="s">
        <v>162</v>
      </c>
      <c r="J289" t="s">
        <v>163</v>
      </c>
      <c r="K289" t="s">
        <v>69</v>
      </c>
      <c r="L289" t="s">
        <v>1135</v>
      </c>
      <c r="M289" t="s">
        <v>71</v>
      </c>
      <c r="N289" t="s">
        <v>100</v>
      </c>
      <c r="O289" t="s">
        <v>1136</v>
      </c>
      <c r="P289" t="s">
        <v>1137</v>
      </c>
      <c r="R289" t="s">
        <v>1138</v>
      </c>
      <c r="S289" t="s">
        <v>165</v>
      </c>
      <c r="T289" t="s">
        <v>274</v>
      </c>
      <c r="U289" t="s">
        <v>383</v>
      </c>
      <c r="V289" t="s">
        <v>384</v>
      </c>
      <c r="W289">
        <v>1280</v>
      </c>
      <c r="X289">
        <v>49.99</v>
      </c>
      <c r="Y289">
        <v>169</v>
      </c>
      <c r="Z289">
        <v>919000</v>
      </c>
      <c r="AA289">
        <v>422400</v>
      </c>
      <c r="AB289">
        <v>622</v>
      </c>
      <c r="AD289" t="s">
        <v>238</v>
      </c>
      <c r="AE289">
        <v>2</v>
      </c>
      <c r="AF289">
        <v>0</v>
      </c>
      <c r="AI289">
        <v>0</v>
      </c>
      <c r="AJ289">
        <v>35</v>
      </c>
      <c r="AK289">
        <v>35</v>
      </c>
      <c r="AL289">
        <v>330</v>
      </c>
      <c r="AM289">
        <v>40</v>
      </c>
      <c r="AN289">
        <v>0</v>
      </c>
      <c r="AO289">
        <v>40</v>
      </c>
      <c r="AP289" t="s">
        <v>80</v>
      </c>
      <c r="AQ289" t="s">
        <v>1151</v>
      </c>
      <c r="AS289" t="s">
        <v>86</v>
      </c>
      <c r="AT289" t="s">
        <v>86</v>
      </c>
      <c r="AU289" t="s">
        <v>86</v>
      </c>
      <c r="AV289" t="s">
        <v>1152</v>
      </c>
      <c r="AW289" t="s">
        <v>69</v>
      </c>
      <c r="AX289" t="s">
        <v>1153</v>
      </c>
      <c r="AY289" t="s">
        <v>1154</v>
      </c>
      <c r="AZ289" t="s">
        <v>245</v>
      </c>
      <c r="BA289" t="s">
        <v>244</v>
      </c>
      <c r="BB289" t="s">
        <v>245</v>
      </c>
      <c r="BC289" t="s">
        <v>264</v>
      </c>
      <c r="BD289" t="s">
        <v>1160</v>
      </c>
      <c r="BE289" t="s">
        <v>1156</v>
      </c>
      <c r="BF289" t="s">
        <v>279</v>
      </c>
      <c r="BG289" t="s">
        <v>110</v>
      </c>
      <c r="BH289" t="str">
        <f>IF(COUNTIF(工作表1!A:A, $C289)&gt;0, "預購款", "非預購款")</f>
        <v>非預購款</v>
      </c>
    </row>
    <row r="290" spans="1:60" x14ac:dyDescent="0.25">
      <c r="A290" t="s">
        <v>1146</v>
      </c>
      <c r="B290" t="s">
        <v>488</v>
      </c>
      <c r="C290" t="s">
        <v>1147</v>
      </c>
      <c r="D290" t="s">
        <v>1148</v>
      </c>
      <c r="E290" t="s">
        <v>1149</v>
      </c>
      <c r="F290" t="s">
        <v>160</v>
      </c>
      <c r="G290" t="s">
        <v>1150</v>
      </c>
      <c r="H290" t="s">
        <v>280</v>
      </c>
      <c r="I290" t="s">
        <v>162</v>
      </c>
      <c r="J290" t="s">
        <v>163</v>
      </c>
      <c r="K290" t="s">
        <v>69</v>
      </c>
      <c r="L290" t="s">
        <v>1135</v>
      </c>
      <c r="M290" t="s">
        <v>71</v>
      </c>
      <c r="N290" t="s">
        <v>100</v>
      </c>
      <c r="O290" t="s">
        <v>1136</v>
      </c>
      <c r="P290" t="s">
        <v>1137</v>
      </c>
      <c r="R290" t="s">
        <v>1138</v>
      </c>
      <c r="S290" t="s">
        <v>165</v>
      </c>
      <c r="T290" t="s">
        <v>274</v>
      </c>
      <c r="U290" t="s">
        <v>383</v>
      </c>
      <c r="V290" t="s">
        <v>384</v>
      </c>
      <c r="W290">
        <v>1280</v>
      </c>
      <c r="X290">
        <v>49.99</v>
      </c>
      <c r="Y290">
        <v>169</v>
      </c>
      <c r="Z290">
        <v>919000</v>
      </c>
      <c r="AA290">
        <v>422400</v>
      </c>
      <c r="AB290">
        <v>622</v>
      </c>
      <c r="AD290" t="s">
        <v>238</v>
      </c>
      <c r="AE290">
        <v>2</v>
      </c>
      <c r="AF290">
        <v>0</v>
      </c>
      <c r="AI290">
        <v>0</v>
      </c>
      <c r="AJ290">
        <v>40</v>
      </c>
      <c r="AK290">
        <v>40</v>
      </c>
      <c r="AL290">
        <v>330</v>
      </c>
      <c r="AM290">
        <v>38</v>
      </c>
      <c r="AN290">
        <v>0</v>
      </c>
      <c r="AO290">
        <v>38</v>
      </c>
      <c r="AP290" t="s">
        <v>80</v>
      </c>
      <c r="AQ290" t="s">
        <v>1151</v>
      </c>
      <c r="AS290" t="s">
        <v>86</v>
      </c>
      <c r="AT290" t="s">
        <v>86</v>
      </c>
      <c r="AU290" t="s">
        <v>86</v>
      </c>
      <c r="AV290" t="s">
        <v>1152</v>
      </c>
      <c r="AW290" t="s">
        <v>69</v>
      </c>
      <c r="AX290" t="s">
        <v>1153</v>
      </c>
      <c r="AY290" t="s">
        <v>1154</v>
      </c>
      <c r="AZ290" t="s">
        <v>245</v>
      </c>
      <c r="BA290" t="s">
        <v>244</v>
      </c>
      <c r="BB290" t="s">
        <v>245</v>
      </c>
      <c r="BC290" t="s">
        <v>264</v>
      </c>
      <c r="BD290" t="s">
        <v>1161</v>
      </c>
      <c r="BE290" t="s">
        <v>1156</v>
      </c>
      <c r="BF290" t="s">
        <v>279</v>
      </c>
      <c r="BG290" t="s">
        <v>110</v>
      </c>
      <c r="BH290" t="str">
        <f>IF(COUNTIF(工作表1!A:A, $C290)&gt;0, "預購款", "非預購款")</f>
        <v>非預購款</v>
      </c>
    </row>
    <row r="291" spans="1:60" x14ac:dyDescent="0.25">
      <c r="A291" t="s">
        <v>1162</v>
      </c>
      <c r="B291" t="s">
        <v>488</v>
      </c>
      <c r="C291" t="s">
        <v>1163</v>
      </c>
      <c r="D291" t="s">
        <v>1164</v>
      </c>
      <c r="E291" t="s">
        <v>1165</v>
      </c>
      <c r="F291" t="s">
        <v>160</v>
      </c>
      <c r="G291" t="s">
        <v>1166</v>
      </c>
      <c r="H291" t="s">
        <v>119</v>
      </c>
      <c r="I291" t="s">
        <v>171</v>
      </c>
      <c r="J291" t="s">
        <v>172</v>
      </c>
      <c r="K291" t="s">
        <v>69</v>
      </c>
      <c r="L291" t="s">
        <v>1167</v>
      </c>
      <c r="M291" t="s">
        <v>71</v>
      </c>
      <c r="N291" t="s">
        <v>100</v>
      </c>
      <c r="O291" t="s">
        <v>980</v>
      </c>
      <c r="P291" t="s">
        <v>981</v>
      </c>
      <c r="R291" t="s">
        <v>982</v>
      </c>
      <c r="S291" t="s">
        <v>165</v>
      </c>
      <c r="T291" t="s">
        <v>291</v>
      </c>
      <c r="U291" t="s">
        <v>383</v>
      </c>
      <c r="V291" t="s">
        <v>384</v>
      </c>
      <c r="W291">
        <v>890</v>
      </c>
      <c r="X291">
        <v>39.99</v>
      </c>
      <c r="Y291">
        <v>115</v>
      </c>
      <c r="Z291">
        <v>639000</v>
      </c>
      <c r="AA291">
        <v>106800</v>
      </c>
      <c r="AB291">
        <v>600</v>
      </c>
      <c r="AD291" t="s">
        <v>238</v>
      </c>
      <c r="AE291">
        <v>1</v>
      </c>
      <c r="AF291">
        <v>0</v>
      </c>
      <c r="AI291">
        <v>15</v>
      </c>
      <c r="AJ291">
        <v>35</v>
      </c>
      <c r="AK291">
        <v>50</v>
      </c>
      <c r="AL291">
        <v>120</v>
      </c>
      <c r="AM291">
        <v>43</v>
      </c>
      <c r="AN291">
        <v>0</v>
      </c>
      <c r="AO291">
        <v>43</v>
      </c>
      <c r="AP291" t="s">
        <v>80</v>
      </c>
      <c r="AQ291" t="s">
        <v>582</v>
      </c>
      <c r="AT291" t="s">
        <v>86</v>
      </c>
      <c r="AU291" t="s">
        <v>86</v>
      </c>
      <c r="AV291" t="s">
        <v>1168</v>
      </c>
      <c r="AW291" t="s">
        <v>69</v>
      </c>
      <c r="AX291" t="s">
        <v>126</v>
      </c>
      <c r="AY291" t="s">
        <v>1169</v>
      </c>
      <c r="AZ291" t="s">
        <v>243</v>
      </c>
      <c r="BA291" t="s">
        <v>243</v>
      </c>
      <c r="BB291" t="s">
        <v>244</v>
      </c>
      <c r="BC291" t="s">
        <v>244</v>
      </c>
      <c r="BD291" t="s">
        <v>1170</v>
      </c>
      <c r="BE291" t="s">
        <v>1171</v>
      </c>
      <c r="BF291" t="s">
        <v>291</v>
      </c>
      <c r="BG291" t="s">
        <v>150</v>
      </c>
      <c r="BH291" t="str">
        <f>IF(COUNTIF(工作表1!A:A, $C291)&gt;0, "預購款", "非預購款")</f>
        <v>非預購款</v>
      </c>
    </row>
    <row r="292" spans="1:60" x14ac:dyDescent="0.25">
      <c r="A292" t="s">
        <v>1162</v>
      </c>
      <c r="B292" t="s">
        <v>488</v>
      </c>
      <c r="C292" t="s">
        <v>1163</v>
      </c>
      <c r="D292" t="s">
        <v>1164</v>
      </c>
      <c r="E292" t="s">
        <v>1165</v>
      </c>
      <c r="F292" t="s">
        <v>160</v>
      </c>
      <c r="G292" t="s">
        <v>1166</v>
      </c>
      <c r="H292" t="s">
        <v>130</v>
      </c>
      <c r="I292" t="s">
        <v>171</v>
      </c>
      <c r="J292" t="s">
        <v>172</v>
      </c>
      <c r="K292" t="s">
        <v>69</v>
      </c>
      <c r="L292" t="s">
        <v>1167</v>
      </c>
      <c r="M292" t="s">
        <v>71</v>
      </c>
      <c r="N292" t="s">
        <v>100</v>
      </c>
      <c r="O292" t="s">
        <v>980</v>
      </c>
      <c r="P292" t="s">
        <v>981</v>
      </c>
      <c r="R292" t="s">
        <v>982</v>
      </c>
      <c r="S292" t="s">
        <v>165</v>
      </c>
      <c r="T292" t="s">
        <v>291</v>
      </c>
      <c r="U292" t="s">
        <v>383</v>
      </c>
      <c r="V292" t="s">
        <v>384</v>
      </c>
      <c r="W292">
        <v>890</v>
      </c>
      <c r="X292">
        <v>39.99</v>
      </c>
      <c r="Y292">
        <v>115</v>
      </c>
      <c r="Z292">
        <v>639000</v>
      </c>
      <c r="AA292">
        <v>106800</v>
      </c>
      <c r="AB292">
        <v>600</v>
      </c>
      <c r="AD292" t="s">
        <v>238</v>
      </c>
      <c r="AE292">
        <v>1</v>
      </c>
      <c r="AF292">
        <v>0</v>
      </c>
      <c r="AI292">
        <v>15</v>
      </c>
      <c r="AJ292">
        <v>25</v>
      </c>
      <c r="AK292">
        <v>40</v>
      </c>
      <c r="AL292">
        <v>120</v>
      </c>
      <c r="AM292">
        <v>34</v>
      </c>
      <c r="AN292">
        <v>0</v>
      </c>
      <c r="AO292">
        <v>34</v>
      </c>
      <c r="AP292" t="s">
        <v>80</v>
      </c>
      <c r="AQ292" t="s">
        <v>582</v>
      </c>
      <c r="AT292" t="s">
        <v>86</v>
      </c>
      <c r="AU292" t="s">
        <v>86</v>
      </c>
      <c r="AV292" t="s">
        <v>1168</v>
      </c>
      <c r="AW292" t="s">
        <v>69</v>
      </c>
      <c r="AX292" t="s">
        <v>126</v>
      </c>
      <c r="AY292" t="s">
        <v>1169</v>
      </c>
      <c r="AZ292" t="s">
        <v>243</v>
      </c>
      <c r="BA292" t="s">
        <v>243</v>
      </c>
      <c r="BB292" t="s">
        <v>244</v>
      </c>
      <c r="BC292" t="s">
        <v>244</v>
      </c>
      <c r="BD292" t="s">
        <v>1172</v>
      </c>
      <c r="BE292" t="s">
        <v>1171</v>
      </c>
      <c r="BF292" t="s">
        <v>291</v>
      </c>
      <c r="BG292" t="s">
        <v>150</v>
      </c>
      <c r="BH292" t="str">
        <f>IF(COUNTIF(工作表1!A:A, $C292)&gt;0, "預購款", "非預購款")</f>
        <v>非預購款</v>
      </c>
    </row>
    <row r="293" spans="1:60" x14ac:dyDescent="0.25">
      <c r="A293" t="s">
        <v>1162</v>
      </c>
      <c r="B293" t="s">
        <v>488</v>
      </c>
      <c r="C293" t="s">
        <v>1163</v>
      </c>
      <c r="D293" t="s">
        <v>1164</v>
      </c>
      <c r="E293" t="s">
        <v>1165</v>
      </c>
      <c r="F293" t="s">
        <v>160</v>
      </c>
      <c r="G293" t="s">
        <v>1166</v>
      </c>
      <c r="H293" t="s">
        <v>132</v>
      </c>
      <c r="I293" t="s">
        <v>171</v>
      </c>
      <c r="J293" t="s">
        <v>172</v>
      </c>
      <c r="K293" t="s">
        <v>69</v>
      </c>
      <c r="L293" t="s">
        <v>1167</v>
      </c>
      <c r="M293" t="s">
        <v>71</v>
      </c>
      <c r="N293" t="s">
        <v>100</v>
      </c>
      <c r="O293" t="s">
        <v>980</v>
      </c>
      <c r="P293" t="s">
        <v>981</v>
      </c>
      <c r="R293" t="s">
        <v>982</v>
      </c>
      <c r="S293" t="s">
        <v>165</v>
      </c>
      <c r="T293" t="s">
        <v>291</v>
      </c>
      <c r="U293" t="s">
        <v>383</v>
      </c>
      <c r="V293" t="s">
        <v>384</v>
      </c>
      <c r="W293">
        <v>890</v>
      </c>
      <c r="X293">
        <v>39.99</v>
      </c>
      <c r="Y293">
        <v>115</v>
      </c>
      <c r="Z293">
        <v>639000</v>
      </c>
      <c r="AA293">
        <v>106800</v>
      </c>
      <c r="AB293">
        <v>600</v>
      </c>
      <c r="AD293" t="s">
        <v>238</v>
      </c>
      <c r="AE293">
        <v>1</v>
      </c>
      <c r="AF293">
        <v>0</v>
      </c>
      <c r="AI293">
        <v>10</v>
      </c>
      <c r="AJ293">
        <v>20</v>
      </c>
      <c r="AK293">
        <v>30</v>
      </c>
      <c r="AL293">
        <v>120</v>
      </c>
      <c r="AM293">
        <v>27</v>
      </c>
      <c r="AN293">
        <v>0</v>
      </c>
      <c r="AO293">
        <v>27</v>
      </c>
      <c r="AP293" t="s">
        <v>80</v>
      </c>
      <c r="AQ293" t="s">
        <v>582</v>
      </c>
      <c r="AT293" t="s">
        <v>86</v>
      </c>
      <c r="AU293" t="s">
        <v>86</v>
      </c>
      <c r="AV293" t="s">
        <v>1168</v>
      </c>
      <c r="AW293" t="s">
        <v>69</v>
      </c>
      <c r="AX293" t="s">
        <v>126</v>
      </c>
      <c r="AY293" t="s">
        <v>1169</v>
      </c>
      <c r="AZ293" t="s">
        <v>243</v>
      </c>
      <c r="BA293" t="s">
        <v>243</v>
      </c>
      <c r="BB293" t="s">
        <v>244</v>
      </c>
      <c r="BC293" t="s">
        <v>244</v>
      </c>
      <c r="BD293" t="s">
        <v>1173</v>
      </c>
      <c r="BE293" t="s">
        <v>1171</v>
      </c>
      <c r="BF293" t="s">
        <v>291</v>
      </c>
      <c r="BG293" t="s">
        <v>150</v>
      </c>
      <c r="BH293" t="str">
        <f>IF(COUNTIF(工作表1!A:A, $C293)&gt;0, "預購款", "非預購款")</f>
        <v>非預購款</v>
      </c>
    </row>
    <row r="294" spans="1:60" x14ac:dyDescent="0.25">
      <c r="A294" t="s">
        <v>1174</v>
      </c>
      <c r="B294" t="s">
        <v>488</v>
      </c>
      <c r="C294" t="s">
        <v>1175</v>
      </c>
      <c r="D294" t="s">
        <v>1176</v>
      </c>
      <c r="E294" t="s">
        <v>1177</v>
      </c>
      <c r="F294" t="s">
        <v>160</v>
      </c>
      <c r="G294" t="s">
        <v>1178</v>
      </c>
      <c r="H294" t="s">
        <v>273</v>
      </c>
      <c r="I294" t="s">
        <v>97</v>
      </c>
      <c r="J294" t="s">
        <v>98</v>
      </c>
      <c r="K294" t="s">
        <v>69</v>
      </c>
      <c r="L294" t="s">
        <v>1179</v>
      </c>
      <c r="M294" t="s">
        <v>71</v>
      </c>
      <c r="N294" t="s">
        <v>100</v>
      </c>
      <c r="O294" t="s">
        <v>1136</v>
      </c>
      <c r="P294" t="s">
        <v>1137</v>
      </c>
      <c r="R294" t="s">
        <v>1138</v>
      </c>
      <c r="S294" t="s">
        <v>165</v>
      </c>
      <c r="T294" t="s">
        <v>274</v>
      </c>
      <c r="U294" t="s">
        <v>104</v>
      </c>
      <c r="V294" t="s">
        <v>292</v>
      </c>
      <c r="W294">
        <v>490</v>
      </c>
      <c r="X294">
        <v>22.99</v>
      </c>
      <c r="Y294">
        <v>60</v>
      </c>
      <c r="Z294">
        <v>355000</v>
      </c>
      <c r="AA294">
        <v>51450</v>
      </c>
      <c r="AB294">
        <v>160</v>
      </c>
      <c r="AD294" t="s">
        <v>238</v>
      </c>
      <c r="AE294">
        <v>1</v>
      </c>
      <c r="AF294">
        <v>0</v>
      </c>
      <c r="AI294">
        <v>0</v>
      </c>
      <c r="AJ294">
        <v>45</v>
      </c>
      <c r="AK294">
        <v>45</v>
      </c>
      <c r="AL294">
        <v>105</v>
      </c>
      <c r="AM294">
        <v>49</v>
      </c>
      <c r="AN294">
        <v>0</v>
      </c>
      <c r="AO294">
        <v>49</v>
      </c>
      <c r="AP294" t="s">
        <v>80</v>
      </c>
      <c r="AQ294" t="s">
        <v>582</v>
      </c>
      <c r="AT294" t="s">
        <v>240</v>
      </c>
      <c r="AU294" t="s">
        <v>240</v>
      </c>
      <c r="AV294" t="s">
        <v>494</v>
      </c>
      <c r="AW294" t="s">
        <v>69</v>
      </c>
      <c r="AX294" t="s">
        <v>1180</v>
      </c>
      <c r="AY294" t="s">
        <v>1181</v>
      </c>
      <c r="AZ294" t="s">
        <v>245</v>
      </c>
      <c r="BA294" t="s">
        <v>244</v>
      </c>
      <c r="BB294" t="s">
        <v>264</v>
      </c>
      <c r="BC294" t="s">
        <v>244</v>
      </c>
      <c r="BD294" t="s">
        <v>1182</v>
      </c>
      <c r="BE294" t="s">
        <v>1183</v>
      </c>
      <c r="BF294" t="s">
        <v>279</v>
      </c>
      <c r="BG294" t="s">
        <v>150</v>
      </c>
      <c r="BH294" t="str">
        <f>IF(COUNTIF(工作表1!A:A, $C294)&gt;0, "預購款", "非預購款")</f>
        <v>非預購款</v>
      </c>
    </row>
    <row r="295" spans="1:60" x14ac:dyDescent="0.25">
      <c r="A295" t="s">
        <v>1174</v>
      </c>
      <c r="B295" t="s">
        <v>488</v>
      </c>
      <c r="C295" t="s">
        <v>1175</v>
      </c>
      <c r="D295" t="s">
        <v>1176</v>
      </c>
      <c r="E295" t="s">
        <v>1177</v>
      </c>
      <c r="F295" t="s">
        <v>160</v>
      </c>
      <c r="G295" t="s">
        <v>1178</v>
      </c>
      <c r="H295" t="s">
        <v>501</v>
      </c>
      <c r="I295" t="s">
        <v>97</v>
      </c>
      <c r="J295" t="s">
        <v>98</v>
      </c>
      <c r="K295" t="s">
        <v>69</v>
      </c>
      <c r="L295" t="s">
        <v>1179</v>
      </c>
      <c r="M295" t="s">
        <v>71</v>
      </c>
      <c r="N295" t="s">
        <v>100</v>
      </c>
      <c r="O295" t="s">
        <v>1136</v>
      </c>
      <c r="P295" t="s">
        <v>1137</v>
      </c>
      <c r="R295" t="s">
        <v>1138</v>
      </c>
      <c r="S295" t="s">
        <v>165</v>
      </c>
      <c r="T295" t="s">
        <v>274</v>
      </c>
      <c r="U295" t="s">
        <v>104</v>
      </c>
      <c r="V295" t="s">
        <v>292</v>
      </c>
      <c r="W295">
        <v>490</v>
      </c>
      <c r="X295">
        <v>22.99</v>
      </c>
      <c r="Y295">
        <v>60</v>
      </c>
      <c r="Z295">
        <v>355000</v>
      </c>
      <c r="AA295">
        <v>51450</v>
      </c>
      <c r="AB295">
        <v>160</v>
      </c>
      <c r="AD295" t="s">
        <v>238</v>
      </c>
      <c r="AE295">
        <v>1</v>
      </c>
      <c r="AF295">
        <v>0</v>
      </c>
      <c r="AI295">
        <v>0</v>
      </c>
      <c r="AJ295">
        <v>30</v>
      </c>
      <c r="AK295">
        <v>30</v>
      </c>
      <c r="AL295">
        <v>105</v>
      </c>
      <c r="AM295">
        <v>33</v>
      </c>
      <c r="AN295">
        <v>0</v>
      </c>
      <c r="AO295">
        <v>33</v>
      </c>
      <c r="AP295" t="s">
        <v>80</v>
      </c>
      <c r="AQ295" t="s">
        <v>582</v>
      </c>
      <c r="AT295" t="s">
        <v>240</v>
      </c>
      <c r="AU295" t="s">
        <v>240</v>
      </c>
      <c r="AV295" t="s">
        <v>494</v>
      </c>
      <c r="AW295" t="s">
        <v>69</v>
      </c>
      <c r="AX295" t="s">
        <v>1180</v>
      </c>
      <c r="AY295" t="s">
        <v>1181</v>
      </c>
      <c r="AZ295" t="s">
        <v>245</v>
      </c>
      <c r="BA295" t="s">
        <v>244</v>
      </c>
      <c r="BB295" t="s">
        <v>264</v>
      </c>
      <c r="BC295" t="s">
        <v>244</v>
      </c>
      <c r="BD295" t="s">
        <v>1184</v>
      </c>
      <c r="BE295" t="s">
        <v>1183</v>
      </c>
      <c r="BF295" t="s">
        <v>279</v>
      </c>
      <c r="BG295" t="s">
        <v>150</v>
      </c>
      <c r="BH295" t="str">
        <f>IF(COUNTIF(工作表1!A:A, $C295)&gt;0, "預購款", "非預購款")</f>
        <v>非預購款</v>
      </c>
    </row>
    <row r="296" spans="1:60" x14ac:dyDescent="0.25">
      <c r="A296" t="s">
        <v>1174</v>
      </c>
      <c r="B296" t="s">
        <v>488</v>
      </c>
      <c r="C296" t="s">
        <v>1175</v>
      </c>
      <c r="D296" t="s">
        <v>1176</v>
      </c>
      <c r="E296" t="s">
        <v>1177</v>
      </c>
      <c r="F296" t="s">
        <v>160</v>
      </c>
      <c r="G296" t="s">
        <v>1178</v>
      </c>
      <c r="H296" t="s">
        <v>280</v>
      </c>
      <c r="I296" t="s">
        <v>97</v>
      </c>
      <c r="J296" t="s">
        <v>98</v>
      </c>
      <c r="K296" t="s">
        <v>69</v>
      </c>
      <c r="L296" t="s">
        <v>1179</v>
      </c>
      <c r="M296" t="s">
        <v>71</v>
      </c>
      <c r="N296" t="s">
        <v>100</v>
      </c>
      <c r="O296" t="s">
        <v>1136</v>
      </c>
      <c r="P296" t="s">
        <v>1137</v>
      </c>
      <c r="R296" t="s">
        <v>1138</v>
      </c>
      <c r="S296" t="s">
        <v>165</v>
      </c>
      <c r="T296" t="s">
        <v>274</v>
      </c>
      <c r="U296" t="s">
        <v>104</v>
      </c>
      <c r="V296" t="s">
        <v>292</v>
      </c>
      <c r="W296">
        <v>490</v>
      </c>
      <c r="X296">
        <v>22.99</v>
      </c>
      <c r="Y296">
        <v>60</v>
      </c>
      <c r="Z296">
        <v>355000</v>
      </c>
      <c r="AA296">
        <v>51450</v>
      </c>
      <c r="AB296">
        <v>160</v>
      </c>
      <c r="AD296" t="s">
        <v>238</v>
      </c>
      <c r="AE296">
        <v>1</v>
      </c>
      <c r="AF296">
        <v>0</v>
      </c>
      <c r="AI296">
        <v>0</v>
      </c>
      <c r="AJ296">
        <v>30</v>
      </c>
      <c r="AK296">
        <v>30</v>
      </c>
      <c r="AL296">
        <v>105</v>
      </c>
      <c r="AM296">
        <v>33</v>
      </c>
      <c r="AN296">
        <v>0</v>
      </c>
      <c r="AO296">
        <v>33</v>
      </c>
      <c r="AP296" t="s">
        <v>80</v>
      </c>
      <c r="AQ296" t="s">
        <v>582</v>
      </c>
      <c r="AT296" t="s">
        <v>240</v>
      </c>
      <c r="AU296" t="s">
        <v>240</v>
      </c>
      <c r="AV296" t="s">
        <v>494</v>
      </c>
      <c r="AW296" t="s">
        <v>69</v>
      </c>
      <c r="AX296" t="s">
        <v>1180</v>
      </c>
      <c r="AY296" t="s">
        <v>1181</v>
      </c>
      <c r="AZ296" t="s">
        <v>245</v>
      </c>
      <c r="BA296" t="s">
        <v>244</v>
      </c>
      <c r="BB296" t="s">
        <v>264</v>
      </c>
      <c r="BC296" t="s">
        <v>244</v>
      </c>
      <c r="BD296" t="s">
        <v>1185</v>
      </c>
      <c r="BE296" t="s">
        <v>1183</v>
      </c>
      <c r="BF296" t="s">
        <v>279</v>
      </c>
      <c r="BG296" t="s">
        <v>150</v>
      </c>
      <c r="BH296" t="str">
        <f>IF(COUNTIF(工作表1!A:A, $C296)&gt;0, "預購款", "非預購款")</f>
        <v>非預購款</v>
      </c>
    </row>
    <row r="297" spans="1:60" x14ac:dyDescent="0.25">
      <c r="A297" t="s">
        <v>1186</v>
      </c>
      <c r="B297" t="s">
        <v>759</v>
      </c>
      <c r="C297" t="s">
        <v>1187</v>
      </c>
      <c r="D297" t="s">
        <v>1188</v>
      </c>
      <c r="E297" t="s">
        <v>1189</v>
      </c>
      <c r="F297" t="s">
        <v>160</v>
      </c>
      <c r="G297" t="s">
        <v>1190</v>
      </c>
      <c r="H297" t="s">
        <v>119</v>
      </c>
      <c r="I297" t="s">
        <v>120</v>
      </c>
      <c r="J297" t="s">
        <v>121</v>
      </c>
      <c r="K297" t="s">
        <v>69</v>
      </c>
      <c r="L297" t="s">
        <v>1191</v>
      </c>
      <c r="M297" t="s">
        <v>71</v>
      </c>
      <c r="N297" t="s">
        <v>100</v>
      </c>
      <c r="O297" t="s">
        <v>1136</v>
      </c>
      <c r="P297" t="s">
        <v>1137</v>
      </c>
      <c r="R297" t="s">
        <v>1138</v>
      </c>
      <c r="S297" t="s">
        <v>165</v>
      </c>
      <c r="T297" t="s">
        <v>258</v>
      </c>
      <c r="U297" t="s">
        <v>104</v>
      </c>
      <c r="V297" t="s">
        <v>653</v>
      </c>
      <c r="W297">
        <v>390</v>
      </c>
      <c r="X297">
        <v>16.989999999999998</v>
      </c>
      <c r="Y297">
        <v>49</v>
      </c>
      <c r="Z297">
        <v>279000</v>
      </c>
      <c r="AA297">
        <v>530400</v>
      </c>
      <c r="AB297">
        <v>130</v>
      </c>
      <c r="AD297" t="s">
        <v>238</v>
      </c>
      <c r="AE297">
        <v>2</v>
      </c>
      <c r="AF297">
        <v>30</v>
      </c>
      <c r="AI297">
        <v>75</v>
      </c>
      <c r="AJ297">
        <v>230</v>
      </c>
      <c r="AK297">
        <v>335</v>
      </c>
      <c r="AL297">
        <v>1360</v>
      </c>
      <c r="AM297">
        <v>347</v>
      </c>
      <c r="AN297">
        <v>0</v>
      </c>
      <c r="AO297">
        <v>347</v>
      </c>
      <c r="AP297" t="s">
        <v>80</v>
      </c>
      <c r="AQ297" t="s">
        <v>167</v>
      </c>
      <c r="AR297" t="s">
        <v>86</v>
      </c>
      <c r="AS297" t="s">
        <v>240</v>
      </c>
      <c r="AT297" t="s">
        <v>240</v>
      </c>
      <c r="AU297" t="s">
        <v>240</v>
      </c>
      <c r="AV297" t="s">
        <v>1192</v>
      </c>
      <c r="AW297" t="s">
        <v>69</v>
      </c>
      <c r="AX297" t="s">
        <v>1193</v>
      </c>
      <c r="AY297" t="s">
        <v>1194</v>
      </c>
      <c r="AZ297" t="s">
        <v>245</v>
      </c>
      <c r="BA297" t="s">
        <v>244</v>
      </c>
      <c r="BB297" t="s">
        <v>244</v>
      </c>
      <c r="BC297" t="s">
        <v>264</v>
      </c>
      <c r="BD297" t="s">
        <v>1195</v>
      </c>
      <c r="BE297" t="s">
        <v>1196</v>
      </c>
      <c r="BF297" t="s">
        <v>658</v>
      </c>
      <c r="BG297" t="s">
        <v>150</v>
      </c>
      <c r="BH297" t="str">
        <f>IF(COUNTIF(工作表1!A:A, $C297)&gt;0, "預購款", "非預購款")</f>
        <v>非預購款</v>
      </c>
    </row>
    <row r="298" spans="1:60" x14ac:dyDescent="0.25">
      <c r="A298" t="s">
        <v>1186</v>
      </c>
      <c r="B298" t="s">
        <v>759</v>
      </c>
      <c r="C298" t="s">
        <v>1187</v>
      </c>
      <c r="D298" t="s">
        <v>1188</v>
      </c>
      <c r="E298" t="s">
        <v>1189</v>
      </c>
      <c r="F298" t="s">
        <v>160</v>
      </c>
      <c r="G298" t="s">
        <v>1190</v>
      </c>
      <c r="H298" t="s">
        <v>130</v>
      </c>
      <c r="I298" t="s">
        <v>120</v>
      </c>
      <c r="J298" t="s">
        <v>121</v>
      </c>
      <c r="K298" t="s">
        <v>69</v>
      </c>
      <c r="L298" t="s">
        <v>1191</v>
      </c>
      <c r="M298" t="s">
        <v>71</v>
      </c>
      <c r="N298" t="s">
        <v>100</v>
      </c>
      <c r="O298" t="s">
        <v>1136</v>
      </c>
      <c r="P298" t="s">
        <v>1137</v>
      </c>
      <c r="R298" t="s">
        <v>1138</v>
      </c>
      <c r="S298" t="s">
        <v>165</v>
      </c>
      <c r="T298" t="s">
        <v>258</v>
      </c>
      <c r="U298" t="s">
        <v>104</v>
      </c>
      <c r="V298" t="s">
        <v>653</v>
      </c>
      <c r="W298">
        <v>390</v>
      </c>
      <c r="X298">
        <v>16.989999999999998</v>
      </c>
      <c r="Y298">
        <v>49</v>
      </c>
      <c r="Z298">
        <v>279000</v>
      </c>
      <c r="AA298">
        <v>530400</v>
      </c>
      <c r="AB298">
        <v>130</v>
      </c>
      <c r="AD298" t="s">
        <v>238</v>
      </c>
      <c r="AE298">
        <v>2</v>
      </c>
      <c r="AF298">
        <v>30</v>
      </c>
      <c r="AI298">
        <v>80</v>
      </c>
      <c r="AJ298">
        <v>140</v>
      </c>
      <c r="AK298">
        <v>250</v>
      </c>
      <c r="AL298">
        <v>1360</v>
      </c>
      <c r="AM298">
        <v>260</v>
      </c>
      <c r="AN298">
        <v>0</v>
      </c>
      <c r="AO298">
        <v>260</v>
      </c>
      <c r="AP298" t="s">
        <v>80</v>
      </c>
      <c r="AQ298" t="s">
        <v>167</v>
      </c>
      <c r="AR298" t="s">
        <v>86</v>
      </c>
      <c r="AS298" t="s">
        <v>240</v>
      </c>
      <c r="AT298" t="s">
        <v>240</v>
      </c>
      <c r="AU298" t="s">
        <v>240</v>
      </c>
      <c r="AV298" t="s">
        <v>1192</v>
      </c>
      <c r="AW298" t="s">
        <v>69</v>
      </c>
      <c r="AX298" t="s">
        <v>1193</v>
      </c>
      <c r="AY298" t="s">
        <v>1194</v>
      </c>
      <c r="AZ298" t="s">
        <v>245</v>
      </c>
      <c r="BA298" t="s">
        <v>244</v>
      </c>
      <c r="BB298" t="s">
        <v>244</v>
      </c>
      <c r="BC298" t="s">
        <v>264</v>
      </c>
      <c r="BD298" t="s">
        <v>1197</v>
      </c>
      <c r="BE298" t="s">
        <v>1196</v>
      </c>
      <c r="BF298" t="s">
        <v>658</v>
      </c>
      <c r="BG298" t="s">
        <v>150</v>
      </c>
      <c r="BH298" t="str">
        <f>IF(COUNTIF(工作表1!A:A, $C298)&gt;0, "預購款", "非預購款")</f>
        <v>非預購款</v>
      </c>
    </row>
    <row r="299" spans="1:60" x14ac:dyDescent="0.25">
      <c r="A299" t="s">
        <v>1186</v>
      </c>
      <c r="B299" t="s">
        <v>759</v>
      </c>
      <c r="C299" t="s">
        <v>1187</v>
      </c>
      <c r="D299" t="s">
        <v>1188</v>
      </c>
      <c r="E299" t="s">
        <v>1189</v>
      </c>
      <c r="F299" t="s">
        <v>160</v>
      </c>
      <c r="G299" t="s">
        <v>1190</v>
      </c>
      <c r="H299" t="s">
        <v>132</v>
      </c>
      <c r="I299" t="s">
        <v>120</v>
      </c>
      <c r="J299" t="s">
        <v>121</v>
      </c>
      <c r="K299" t="s">
        <v>69</v>
      </c>
      <c r="L299" t="s">
        <v>1191</v>
      </c>
      <c r="M299" t="s">
        <v>71</v>
      </c>
      <c r="N299" t="s">
        <v>100</v>
      </c>
      <c r="O299" t="s">
        <v>1136</v>
      </c>
      <c r="P299" t="s">
        <v>1137</v>
      </c>
      <c r="R299" t="s">
        <v>1138</v>
      </c>
      <c r="S299" t="s">
        <v>165</v>
      </c>
      <c r="T299" t="s">
        <v>258</v>
      </c>
      <c r="U299" t="s">
        <v>104</v>
      </c>
      <c r="V299" t="s">
        <v>653</v>
      </c>
      <c r="W299">
        <v>390</v>
      </c>
      <c r="X299">
        <v>16.989999999999998</v>
      </c>
      <c r="Y299">
        <v>49</v>
      </c>
      <c r="Z299">
        <v>279000</v>
      </c>
      <c r="AA299">
        <v>530400</v>
      </c>
      <c r="AB299">
        <v>130</v>
      </c>
      <c r="AD299" t="s">
        <v>238</v>
      </c>
      <c r="AE299">
        <v>2</v>
      </c>
      <c r="AF299">
        <v>15</v>
      </c>
      <c r="AI299">
        <v>40</v>
      </c>
      <c r="AJ299">
        <v>40</v>
      </c>
      <c r="AK299">
        <v>95</v>
      </c>
      <c r="AL299">
        <v>1360</v>
      </c>
      <c r="AM299">
        <v>95</v>
      </c>
      <c r="AN299">
        <v>0</v>
      </c>
      <c r="AO299">
        <v>95</v>
      </c>
      <c r="AP299" t="s">
        <v>80</v>
      </c>
      <c r="AQ299" t="s">
        <v>167</v>
      </c>
      <c r="AR299" t="s">
        <v>86</v>
      </c>
      <c r="AS299" t="s">
        <v>240</v>
      </c>
      <c r="AT299" t="s">
        <v>240</v>
      </c>
      <c r="AU299" t="s">
        <v>240</v>
      </c>
      <c r="AV299" t="s">
        <v>1192</v>
      </c>
      <c r="AW299" t="s">
        <v>69</v>
      </c>
      <c r="AX299" t="s">
        <v>1193</v>
      </c>
      <c r="AY299" t="s">
        <v>1194</v>
      </c>
      <c r="AZ299" t="s">
        <v>245</v>
      </c>
      <c r="BA299" t="s">
        <v>244</v>
      </c>
      <c r="BB299" t="s">
        <v>244</v>
      </c>
      <c r="BC299" t="s">
        <v>264</v>
      </c>
      <c r="BD299" t="s">
        <v>1198</v>
      </c>
      <c r="BE299" t="s">
        <v>1196</v>
      </c>
      <c r="BF299" t="s">
        <v>658</v>
      </c>
      <c r="BG299" t="s">
        <v>150</v>
      </c>
      <c r="BH299" t="str">
        <f>IF(COUNTIF(工作表1!A:A, $C299)&gt;0, "預購款", "非預購款")</f>
        <v>非預購款</v>
      </c>
    </row>
    <row r="300" spans="1:60" x14ac:dyDescent="0.25">
      <c r="A300" t="s">
        <v>1186</v>
      </c>
      <c r="B300" t="s">
        <v>759</v>
      </c>
      <c r="C300" t="s">
        <v>1187</v>
      </c>
      <c r="D300" t="s">
        <v>1188</v>
      </c>
      <c r="E300" t="s">
        <v>1189</v>
      </c>
      <c r="F300" t="s">
        <v>160</v>
      </c>
      <c r="G300" t="s">
        <v>1190</v>
      </c>
      <c r="H300" t="s">
        <v>119</v>
      </c>
      <c r="I300" t="s">
        <v>97</v>
      </c>
      <c r="J300" t="s">
        <v>98</v>
      </c>
      <c r="K300" t="s">
        <v>69</v>
      </c>
      <c r="L300" t="s">
        <v>1191</v>
      </c>
      <c r="M300" t="s">
        <v>71</v>
      </c>
      <c r="N300" t="s">
        <v>100</v>
      </c>
      <c r="O300" t="s">
        <v>1136</v>
      </c>
      <c r="P300" t="s">
        <v>1137</v>
      </c>
      <c r="R300" t="s">
        <v>1138</v>
      </c>
      <c r="S300" t="s">
        <v>165</v>
      </c>
      <c r="T300" t="s">
        <v>258</v>
      </c>
      <c r="U300" t="s">
        <v>104</v>
      </c>
      <c r="V300" t="s">
        <v>653</v>
      </c>
      <c r="W300">
        <v>390</v>
      </c>
      <c r="X300">
        <v>16.989999999999998</v>
      </c>
      <c r="Y300">
        <v>49</v>
      </c>
      <c r="Z300">
        <v>279000</v>
      </c>
      <c r="AA300">
        <v>530400</v>
      </c>
      <c r="AB300">
        <v>130</v>
      </c>
      <c r="AD300" t="s">
        <v>238</v>
      </c>
      <c r="AE300">
        <v>2</v>
      </c>
      <c r="AF300">
        <v>30</v>
      </c>
      <c r="AI300">
        <v>30</v>
      </c>
      <c r="AJ300">
        <v>250</v>
      </c>
      <c r="AK300">
        <v>310</v>
      </c>
      <c r="AL300">
        <v>1360</v>
      </c>
      <c r="AM300">
        <v>320</v>
      </c>
      <c r="AN300">
        <v>0</v>
      </c>
      <c r="AO300">
        <v>320</v>
      </c>
      <c r="AP300" t="s">
        <v>80</v>
      </c>
      <c r="AQ300" t="s">
        <v>167</v>
      </c>
      <c r="AR300" t="s">
        <v>86</v>
      </c>
      <c r="AS300" t="s">
        <v>240</v>
      </c>
      <c r="AT300" t="s">
        <v>240</v>
      </c>
      <c r="AU300" t="s">
        <v>240</v>
      </c>
      <c r="AV300" t="s">
        <v>1192</v>
      </c>
      <c r="AW300" t="s">
        <v>69</v>
      </c>
      <c r="AX300" t="s">
        <v>1193</v>
      </c>
      <c r="AY300" t="s">
        <v>1194</v>
      </c>
      <c r="AZ300" t="s">
        <v>245</v>
      </c>
      <c r="BA300" t="s">
        <v>244</v>
      </c>
      <c r="BB300" t="s">
        <v>244</v>
      </c>
      <c r="BC300" t="s">
        <v>264</v>
      </c>
      <c r="BD300" t="s">
        <v>1199</v>
      </c>
      <c r="BE300" t="s">
        <v>1196</v>
      </c>
      <c r="BF300" t="s">
        <v>658</v>
      </c>
      <c r="BG300" t="s">
        <v>150</v>
      </c>
      <c r="BH300" t="str">
        <f>IF(COUNTIF(工作表1!A:A, $C300)&gt;0, "預購款", "非預購款")</f>
        <v>非預購款</v>
      </c>
    </row>
    <row r="301" spans="1:60" x14ac:dyDescent="0.25">
      <c r="A301" t="s">
        <v>1186</v>
      </c>
      <c r="B301" t="s">
        <v>759</v>
      </c>
      <c r="C301" t="s">
        <v>1187</v>
      </c>
      <c r="D301" t="s">
        <v>1188</v>
      </c>
      <c r="E301" t="s">
        <v>1189</v>
      </c>
      <c r="F301" t="s">
        <v>160</v>
      </c>
      <c r="G301" t="s">
        <v>1190</v>
      </c>
      <c r="H301" t="s">
        <v>130</v>
      </c>
      <c r="I301" t="s">
        <v>97</v>
      </c>
      <c r="J301" t="s">
        <v>98</v>
      </c>
      <c r="K301" t="s">
        <v>69</v>
      </c>
      <c r="L301" t="s">
        <v>1191</v>
      </c>
      <c r="M301" t="s">
        <v>71</v>
      </c>
      <c r="N301" t="s">
        <v>100</v>
      </c>
      <c r="O301" t="s">
        <v>1136</v>
      </c>
      <c r="P301" t="s">
        <v>1137</v>
      </c>
      <c r="R301" t="s">
        <v>1138</v>
      </c>
      <c r="S301" t="s">
        <v>165</v>
      </c>
      <c r="T301" t="s">
        <v>258</v>
      </c>
      <c r="U301" t="s">
        <v>104</v>
      </c>
      <c r="V301" t="s">
        <v>653</v>
      </c>
      <c r="W301">
        <v>390</v>
      </c>
      <c r="X301">
        <v>16.989999999999998</v>
      </c>
      <c r="Y301">
        <v>49</v>
      </c>
      <c r="Z301">
        <v>279000</v>
      </c>
      <c r="AA301">
        <v>530400</v>
      </c>
      <c r="AB301">
        <v>130</v>
      </c>
      <c r="AD301" t="s">
        <v>238</v>
      </c>
      <c r="AE301">
        <v>2</v>
      </c>
      <c r="AF301">
        <v>30</v>
      </c>
      <c r="AI301">
        <v>35</v>
      </c>
      <c r="AJ301">
        <v>220</v>
      </c>
      <c r="AK301">
        <v>285</v>
      </c>
      <c r="AL301">
        <v>1360</v>
      </c>
      <c r="AM301">
        <v>295</v>
      </c>
      <c r="AN301">
        <v>0</v>
      </c>
      <c r="AO301">
        <v>295</v>
      </c>
      <c r="AP301" t="s">
        <v>80</v>
      </c>
      <c r="AQ301" t="s">
        <v>167</v>
      </c>
      <c r="AR301" t="s">
        <v>86</v>
      </c>
      <c r="AS301" t="s">
        <v>240</v>
      </c>
      <c r="AT301" t="s">
        <v>240</v>
      </c>
      <c r="AU301" t="s">
        <v>240</v>
      </c>
      <c r="AV301" t="s">
        <v>1192</v>
      </c>
      <c r="AW301" t="s">
        <v>69</v>
      </c>
      <c r="AX301" t="s">
        <v>1193</v>
      </c>
      <c r="AY301" t="s">
        <v>1194</v>
      </c>
      <c r="AZ301" t="s">
        <v>245</v>
      </c>
      <c r="BA301" t="s">
        <v>244</v>
      </c>
      <c r="BB301" t="s">
        <v>244</v>
      </c>
      <c r="BC301" t="s">
        <v>264</v>
      </c>
      <c r="BD301" t="s">
        <v>1200</v>
      </c>
      <c r="BE301" t="s">
        <v>1196</v>
      </c>
      <c r="BF301" t="s">
        <v>658</v>
      </c>
      <c r="BG301" t="s">
        <v>150</v>
      </c>
      <c r="BH301" t="str">
        <f>IF(COUNTIF(工作表1!A:A, $C301)&gt;0, "預購款", "非預購款")</f>
        <v>非預購款</v>
      </c>
    </row>
    <row r="302" spans="1:60" x14ac:dyDescent="0.25">
      <c r="A302" t="s">
        <v>1186</v>
      </c>
      <c r="B302" t="s">
        <v>759</v>
      </c>
      <c r="C302" t="s">
        <v>1187</v>
      </c>
      <c r="D302" t="s">
        <v>1188</v>
      </c>
      <c r="E302" t="s">
        <v>1189</v>
      </c>
      <c r="F302" t="s">
        <v>160</v>
      </c>
      <c r="G302" t="s">
        <v>1190</v>
      </c>
      <c r="H302" t="s">
        <v>132</v>
      </c>
      <c r="I302" t="s">
        <v>97</v>
      </c>
      <c r="J302" t="s">
        <v>98</v>
      </c>
      <c r="K302" t="s">
        <v>69</v>
      </c>
      <c r="L302" t="s">
        <v>1191</v>
      </c>
      <c r="M302" t="s">
        <v>71</v>
      </c>
      <c r="N302" t="s">
        <v>100</v>
      </c>
      <c r="O302" t="s">
        <v>1136</v>
      </c>
      <c r="P302" t="s">
        <v>1137</v>
      </c>
      <c r="R302" t="s">
        <v>1138</v>
      </c>
      <c r="S302" t="s">
        <v>165</v>
      </c>
      <c r="T302" t="s">
        <v>258</v>
      </c>
      <c r="U302" t="s">
        <v>104</v>
      </c>
      <c r="V302" t="s">
        <v>653</v>
      </c>
      <c r="W302">
        <v>390</v>
      </c>
      <c r="X302">
        <v>16.989999999999998</v>
      </c>
      <c r="Y302">
        <v>49</v>
      </c>
      <c r="Z302">
        <v>279000</v>
      </c>
      <c r="AA302">
        <v>530400</v>
      </c>
      <c r="AB302">
        <v>130</v>
      </c>
      <c r="AD302" t="s">
        <v>238</v>
      </c>
      <c r="AE302">
        <v>2</v>
      </c>
      <c r="AF302">
        <v>15</v>
      </c>
      <c r="AI302">
        <v>20</v>
      </c>
      <c r="AJ302">
        <v>50</v>
      </c>
      <c r="AK302">
        <v>85</v>
      </c>
      <c r="AL302">
        <v>1360</v>
      </c>
      <c r="AM302">
        <v>89</v>
      </c>
      <c r="AN302">
        <v>0</v>
      </c>
      <c r="AO302">
        <v>89</v>
      </c>
      <c r="AP302" t="s">
        <v>80</v>
      </c>
      <c r="AQ302" t="s">
        <v>167</v>
      </c>
      <c r="AR302" t="s">
        <v>86</v>
      </c>
      <c r="AS302" t="s">
        <v>240</v>
      </c>
      <c r="AT302" t="s">
        <v>240</v>
      </c>
      <c r="AU302" t="s">
        <v>240</v>
      </c>
      <c r="AV302" t="s">
        <v>1192</v>
      </c>
      <c r="AW302" t="s">
        <v>69</v>
      </c>
      <c r="AX302" t="s">
        <v>1193</v>
      </c>
      <c r="AY302" t="s">
        <v>1194</v>
      </c>
      <c r="AZ302" t="s">
        <v>245</v>
      </c>
      <c r="BA302" t="s">
        <v>244</v>
      </c>
      <c r="BB302" t="s">
        <v>244</v>
      </c>
      <c r="BC302" t="s">
        <v>264</v>
      </c>
      <c r="BD302" t="s">
        <v>1201</v>
      </c>
      <c r="BE302" t="s">
        <v>1196</v>
      </c>
      <c r="BF302" t="s">
        <v>658</v>
      </c>
      <c r="BG302" t="s">
        <v>150</v>
      </c>
      <c r="BH302" t="str">
        <f>IF(COUNTIF(工作表1!A:A, $C302)&gt;0, "預購款", "非預購款")</f>
        <v>非預購款</v>
      </c>
    </row>
    <row r="303" spans="1:60" x14ac:dyDescent="0.25">
      <c r="A303" t="s">
        <v>1202</v>
      </c>
      <c r="B303" t="s">
        <v>776</v>
      </c>
      <c r="C303" t="s">
        <v>1203</v>
      </c>
      <c r="D303" t="s">
        <v>1204</v>
      </c>
      <c r="E303" t="s">
        <v>1205</v>
      </c>
      <c r="F303" t="s">
        <v>160</v>
      </c>
      <c r="G303" t="s">
        <v>1206</v>
      </c>
      <c r="H303" t="s">
        <v>119</v>
      </c>
      <c r="I303" t="s">
        <v>214</v>
      </c>
      <c r="J303" t="s">
        <v>215</v>
      </c>
      <c r="K303" t="s">
        <v>69</v>
      </c>
      <c r="L303" t="s">
        <v>1207</v>
      </c>
      <c r="M303" t="s">
        <v>71</v>
      </c>
      <c r="N303" t="s">
        <v>100</v>
      </c>
      <c r="O303" t="s">
        <v>1136</v>
      </c>
      <c r="P303" t="s">
        <v>1137</v>
      </c>
      <c r="R303" t="s">
        <v>1138</v>
      </c>
      <c r="S303" t="s">
        <v>165</v>
      </c>
      <c r="T303" t="s">
        <v>291</v>
      </c>
      <c r="U303" t="s">
        <v>146</v>
      </c>
      <c r="V303" t="s">
        <v>144</v>
      </c>
      <c r="W303">
        <v>790</v>
      </c>
      <c r="X303">
        <v>34.99</v>
      </c>
      <c r="Y303">
        <v>99</v>
      </c>
      <c r="Z303">
        <v>569000</v>
      </c>
      <c r="AA303">
        <v>126400</v>
      </c>
      <c r="AB303">
        <v>450</v>
      </c>
      <c r="AD303" t="s">
        <v>238</v>
      </c>
      <c r="AE303">
        <v>1</v>
      </c>
      <c r="AF303">
        <v>0</v>
      </c>
      <c r="AI303">
        <v>0</v>
      </c>
      <c r="AJ303">
        <v>80</v>
      </c>
      <c r="AK303">
        <v>80</v>
      </c>
      <c r="AL303">
        <v>160</v>
      </c>
      <c r="AM303">
        <v>87</v>
      </c>
      <c r="AN303">
        <v>0</v>
      </c>
      <c r="AO303">
        <v>87</v>
      </c>
      <c r="AP303" t="s">
        <v>80</v>
      </c>
      <c r="AQ303" t="s">
        <v>624</v>
      </c>
      <c r="AT303" t="s">
        <v>240</v>
      </c>
      <c r="AU303" t="s">
        <v>86</v>
      </c>
      <c r="AV303" t="s">
        <v>1208</v>
      </c>
      <c r="AW303" t="s">
        <v>69</v>
      </c>
      <c r="AX303" t="s">
        <v>126</v>
      </c>
      <c r="AY303" t="s">
        <v>1209</v>
      </c>
      <c r="AZ303" t="s">
        <v>243</v>
      </c>
      <c r="BA303" t="s">
        <v>244</v>
      </c>
      <c r="BB303" t="s">
        <v>244</v>
      </c>
      <c r="BC303" t="s">
        <v>264</v>
      </c>
      <c r="BD303" t="s">
        <v>1210</v>
      </c>
      <c r="BE303" t="s">
        <v>1211</v>
      </c>
      <c r="BF303" t="s">
        <v>291</v>
      </c>
      <c r="BG303" t="s">
        <v>150</v>
      </c>
      <c r="BH303" t="str">
        <f>IF(COUNTIF(工作表1!A:A, $C303)&gt;0, "預購款", "非預購款")</f>
        <v>非預購款</v>
      </c>
    </row>
    <row r="304" spans="1:60" x14ac:dyDescent="0.25">
      <c r="A304" t="s">
        <v>1202</v>
      </c>
      <c r="B304" t="s">
        <v>776</v>
      </c>
      <c r="C304" t="s">
        <v>1203</v>
      </c>
      <c r="D304" t="s">
        <v>1204</v>
      </c>
      <c r="E304" t="s">
        <v>1205</v>
      </c>
      <c r="F304" t="s">
        <v>160</v>
      </c>
      <c r="G304" t="s">
        <v>1206</v>
      </c>
      <c r="H304" t="s">
        <v>130</v>
      </c>
      <c r="I304" t="s">
        <v>214</v>
      </c>
      <c r="J304" t="s">
        <v>215</v>
      </c>
      <c r="K304" t="s">
        <v>69</v>
      </c>
      <c r="L304" t="s">
        <v>1207</v>
      </c>
      <c r="M304" t="s">
        <v>71</v>
      </c>
      <c r="N304" t="s">
        <v>100</v>
      </c>
      <c r="O304" t="s">
        <v>1136</v>
      </c>
      <c r="P304" t="s">
        <v>1137</v>
      </c>
      <c r="R304" t="s">
        <v>1138</v>
      </c>
      <c r="S304" t="s">
        <v>165</v>
      </c>
      <c r="T304" t="s">
        <v>291</v>
      </c>
      <c r="U304" t="s">
        <v>146</v>
      </c>
      <c r="V304" t="s">
        <v>144</v>
      </c>
      <c r="W304">
        <v>790</v>
      </c>
      <c r="X304">
        <v>34.99</v>
      </c>
      <c r="Y304">
        <v>99</v>
      </c>
      <c r="Z304">
        <v>569000</v>
      </c>
      <c r="AA304">
        <v>126400</v>
      </c>
      <c r="AB304">
        <v>450</v>
      </c>
      <c r="AD304" t="s">
        <v>238</v>
      </c>
      <c r="AE304">
        <v>1</v>
      </c>
      <c r="AF304">
        <v>0</v>
      </c>
      <c r="AI304">
        <v>0</v>
      </c>
      <c r="AJ304">
        <v>60</v>
      </c>
      <c r="AK304">
        <v>60</v>
      </c>
      <c r="AL304">
        <v>160</v>
      </c>
      <c r="AM304">
        <v>66</v>
      </c>
      <c r="AN304">
        <v>0</v>
      </c>
      <c r="AO304">
        <v>66</v>
      </c>
      <c r="AP304" t="s">
        <v>80</v>
      </c>
      <c r="AQ304" t="s">
        <v>624</v>
      </c>
      <c r="AT304" t="s">
        <v>240</v>
      </c>
      <c r="AU304" t="s">
        <v>86</v>
      </c>
      <c r="AV304" t="s">
        <v>1208</v>
      </c>
      <c r="AW304" t="s">
        <v>69</v>
      </c>
      <c r="AX304" t="s">
        <v>126</v>
      </c>
      <c r="AY304" t="s">
        <v>1209</v>
      </c>
      <c r="AZ304" t="s">
        <v>243</v>
      </c>
      <c r="BA304" t="s">
        <v>244</v>
      </c>
      <c r="BB304" t="s">
        <v>244</v>
      </c>
      <c r="BC304" t="s">
        <v>264</v>
      </c>
      <c r="BD304" t="s">
        <v>1212</v>
      </c>
      <c r="BE304" t="s">
        <v>1211</v>
      </c>
      <c r="BF304" t="s">
        <v>291</v>
      </c>
      <c r="BG304" t="s">
        <v>150</v>
      </c>
      <c r="BH304" t="str">
        <f>IF(COUNTIF(工作表1!A:A, $C304)&gt;0, "預購款", "非預購款")</f>
        <v>非預購款</v>
      </c>
    </row>
    <row r="305" spans="1:60" x14ac:dyDescent="0.25">
      <c r="A305" t="s">
        <v>1202</v>
      </c>
      <c r="B305" t="s">
        <v>776</v>
      </c>
      <c r="C305" t="s">
        <v>1203</v>
      </c>
      <c r="D305" t="s">
        <v>1204</v>
      </c>
      <c r="E305" t="s">
        <v>1205</v>
      </c>
      <c r="F305" t="s">
        <v>160</v>
      </c>
      <c r="G305" t="s">
        <v>1206</v>
      </c>
      <c r="H305" t="s">
        <v>132</v>
      </c>
      <c r="I305" t="s">
        <v>214</v>
      </c>
      <c r="J305" t="s">
        <v>215</v>
      </c>
      <c r="K305" t="s">
        <v>69</v>
      </c>
      <c r="L305" t="s">
        <v>1207</v>
      </c>
      <c r="M305" t="s">
        <v>71</v>
      </c>
      <c r="N305" t="s">
        <v>100</v>
      </c>
      <c r="O305" t="s">
        <v>1136</v>
      </c>
      <c r="P305" t="s">
        <v>1137</v>
      </c>
      <c r="R305" t="s">
        <v>1138</v>
      </c>
      <c r="S305" t="s">
        <v>165</v>
      </c>
      <c r="T305" t="s">
        <v>291</v>
      </c>
      <c r="U305" t="s">
        <v>146</v>
      </c>
      <c r="V305" t="s">
        <v>144</v>
      </c>
      <c r="W305">
        <v>790</v>
      </c>
      <c r="X305">
        <v>34.99</v>
      </c>
      <c r="Y305">
        <v>99</v>
      </c>
      <c r="Z305">
        <v>569000</v>
      </c>
      <c r="AA305">
        <v>126400</v>
      </c>
      <c r="AB305">
        <v>450</v>
      </c>
      <c r="AD305" t="s">
        <v>238</v>
      </c>
      <c r="AE305">
        <v>1</v>
      </c>
      <c r="AF305">
        <v>0</v>
      </c>
      <c r="AI305">
        <v>0</v>
      </c>
      <c r="AJ305">
        <v>20</v>
      </c>
      <c r="AK305">
        <v>20</v>
      </c>
      <c r="AL305">
        <v>160</v>
      </c>
      <c r="AM305">
        <v>29</v>
      </c>
      <c r="AN305">
        <v>0</v>
      </c>
      <c r="AO305">
        <v>29</v>
      </c>
      <c r="AP305" t="s">
        <v>80</v>
      </c>
      <c r="AQ305" t="s">
        <v>624</v>
      </c>
      <c r="AT305" t="s">
        <v>240</v>
      </c>
      <c r="AU305" t="s">
        <v>86</v>
      </c>
      <c r="AV305" t="s">
        <v>1208</v>
      </c>
      <c r="AW305" t="s">
        <v>69</v>
      </c>
      <c r="AX305" t="s">
        <v>126</v>
      </c>
      <c r="AY305" t="s">
        <v>1209</v>
      </c>
      <c r="AZ305" t="s">
        <v>243</v>
      </c>
      <c r="BA305" t="s">
        <v>244</v>
      </c>
      <c r="BB305" t="s">
        <v>244</v>
      </c>
      <c r="BC305" t="s">
        <v>264</v>
      </c>
      <c r="BD305" t="s">
        <v>1213</v>
      </c>
      <c r="BE305" t="s">
        <v>1211</v>
      </c>
      <c r="BF305" t="s">
        <v>291</v>
      </c>
      <c r="BG305" t="s">
        <v>150</v>
      </c>
      <c r="BH305" t="str">
        <f>IF(COUNTIF(工作表1!A:A, $C305)&gt;0, "預購款", "非預購款")</f>
        <v>非預購款</v>
      </c>
    </row>
    <row r="306" spans="1:60" x14ac:dyDescent="0.25">
      <c r="A306" t="s">
        <v>1214</v>
      </c>
      <c r="B306" t="s">
        <v>776</v>
      </c>
      <c r="C306" t="s">
        <v>1215</v>
      </c>
      <c r="D306" t="s">
        <v>1216</v>
      </c>
      <c r="E306" t="s">
        <v>1217</v>
      </c>
      <c r="F306" t="s">
        <v>160</v>
      </c>
      <c r="G306" t="s">
        <v>1218</v>
      </c>
      <c r="H306" t="s">
        <v>119</v>
      </c>
      <c r="I306" t="s">
        <v>214</v>
      </c>
      <c r="J306" t="s">
        <v>215</v>
      </c>
      <c r="K306" t="s">
        <v>69</v>
      </c>
      <c r="L306" t="s">
        <v>1219</v>
      </c>
      <c r="M306" t="s">
        <v>71</v>
      </c>
      <c r="N306" t="s">
        <v>100</v>
      </c>
      <c r="O306" t="s">
        <v>1136</v>
      </c>
      <c r="P306" t="s">
        <v>1137</v>
      </c>
      <c r="R306" t="s">
        <v>1138</v>
      </c>
      <c r="S306" t="s">
        <v>165</v>
      </c>
      <c r="T306" t="s">
        <v>291</v>
      </c>
      <c r="U306" t="s">
        <v>104</v>
      </c>
      <c r="V306" t="s">
        <v>1220</v>
      </c>
      <c r="W306">
        <v>590</v>
      </c>
      <c r="X306">
        <v>29.99</v>
      </c>
      <c r="Y306">
        <v>75</v>
      </c>
      <c r="Z306">
        <v>429000</v>
      </c>
      <c r="AA306">
        <v>85550</v>
      </c>
      <c r="AB306">
        <v>230</v>
      </c>
      <c r="AD306" t="s">
        <v>238</v>
      </c>
      <c r="AE306">
        <v>1</v>
      </c>
      <c r="AF306">
        <v>0</v>
      </c>
      <c r="AI306">
        <v>0</v>
      </c>
      <c r="AJ306">
        <v>70</v>
      </c>
      <c r="AK306">
        <v>70</v>
      </c>
      <c r="AL306">
        <v>145</v>
      </c>
      <c r="AM306">
        <v>62</v>
      </c>
      <c r="AN306">
        <v>0</v>
      </c>
      <c r="AO306">
        <v>62</v>
      </c>
      <c r="AP306" t="s">
        <v>80</v>
      </c>
      <c r="AQ306" t="s">
        <v>624</v>
      </c>
      <c r="AT306" t="s">
        <v>264</v>
      </c>
      <c r="AU306" t="s">
        <v>264</v>
      </c>
      <c r="AV306" t="s">
        <v>1221</v>
      </c>
      <c r="AW306" t="s">
        <v>69</v>
      </c>
      <c r="AX306" t="s">
        <v>967</v>
      </c>
      <c r="AY306" t="s">
        <v>1209</v>
      </c>
      <c r="AZ306" t="s">
        <v>243</v>
      </c>
      <c r="BA306" t="s">
        <v>264</v>
      </c>
      <c r="BB306" t="s">
        <v>244</v>
      </c>
      <c r="BC306" t="s">
        <v>264</v>
      </c>
      <c r="BD306" t="s">
        <v>1222</v>
      </c>
      <c r="BE306" t="s">
        <v>1223</v>
      </c>
      <c r="BF306" t="s">
        <v>971</v>
      </c>
      <c r="BG306" t="s">
        <v>150</v>
      </c>
      <c r="BH306" t="str">
        <f>IF(COUNTIF(工作表1!A:A, $C306)&gt;0, "預購款", "非預購款")</f>
        <v>非預購款</v>
      </c>
    </row>
    <row r="307" spans="1:60" x14ac:dyDescent="0.25">
      <c r="A307" t="s">
        <v>1214</v>
      </c>
      <c r="B307" t="s">
        <v>776</v>
      </c>
      <c r="C307" t="s">
        <v>1215</v>
      </c>
      <c r="D307" t="s">
        <v>1216</v>
      </c>
      <c r="E307" t="s">
        <v>1217</v>
      </c>
      <c r="F307" t="s">
        <v>160</v>
      </c>
      <c r="G307" t="s">
        <v>1218</v>
      </c>
      <c r="H307" t="s">
        <v>130</v>
      </c>
      <c r="I307" t="s">
        <v>214</v>
      </c>
      <c r="J307" t="s">
        <v>215</v>
      </c>
      <c r="K307" t="s">
        <v>69</v>
      </c>
      <c r="L307" t="s">
        <v>1219</v>
      </c>
      <c r="M307" t="s">
        <v>71</v>
      </c>
      <c r="N307" t="s">
        <v>100</v>
      </c>
      <c r="O307" t="s">
        <v>1136</v>
      </c>
      <c r="P307" t="s">
        <v>1137</v>
      </c>
      <c r="R307" t="s">
        <v>1138</v>
      </c>
      <c r="S307" t="s">
        <v>165</v>
      </c>
      <c r="T307" t="s">
        <v>291</v>
      </c>
      <c r="U307" t="s">
        <v>104</v>
      </c>
      <c r="V307" t="s">
        <v>1220</v>
      </c>
      <c r="W307">
        <v>590</v>
      </c>
      <c r="X307">
        <v>29.99</v>
      </c>
      <c r="Y307">
        <v>75</v>
      </c>
      <c r="Z307">
        <v>429000</v>
      </c>
      <c r="AA307">
        <v>85550</v>
      </c>
      <c r="AB307">
        <v>230</v>
      </c>
      <c r="AD307" t="s">
        <v>238</v>
      </c>
      <c r="AE307">
        <v>1</v>
      </c>
      <c r="AF307">
        <v>0</v>
      </c>
      <c r="AI307">
        <v>0</v>
      </c>
      <c r="AJ307">
        <v>50</v>
      </c>
      <c r="AK307">
        <v>50</v>
      </c>
      <c r="AL307">
        <v>145</v>
      </c>
      <c r="AM307">
        <v>48</v>
      </c>
      <c r="AN307">
        <v>0</v>
      </c>
      <c r="AO307">
        <v>48</v>
      </c>
      <c r="AP307" t="s">
        <v>80</v>
      </c>
      <c r="AQ307" t="s">
        <v>624</v>
      </c>
      <c r="AT307" t="s">
        <v>264</v>
      </c>
      <c r="AU307" t="s">
        <v>264</v>
      </c>
      <c r="AV307" t="s">
        <v>1221</v>
      </c>
      <c r="AW307" t="s">
        <v>69</v>
      </c>
      <c r="AX307" t="s">
        <v>967</v>
      </c>
      <c r="AY307" t="s">
        <v>1209</v>
      </c>
      <c r="AZ307" t="s">
        <v>243</v>
      </c>
      <c r="BA307" t="s">
        <v>264</v>
      </c>
      <c r="BB307" t="s">
        <v>244</v>
      </c>
      <c r="BC307" t="s">
        <v>264</v>
      </c>
      <c r="BD307" t="s">
        <v>1224</v>
      </c>
      <c r="BE307" t="s">
        <v>1223</v>
      </c>
      <c r="BF307" t="s">
        <v>971</v>
      </c>
      <c r="BG307" t="s">
        <v>150</v>
      </c>
      <c r="BH307" t="str">
        <f>IF(COUNTIF(工作表1!A:A, $C307)&gt;0, "預購款", "非預購款")</f>
        <v>非預購款</v>
      </c>
    </row>
    <row r="308" spans="1:60" x14ac:dyDescent="0.25">
      <c r="A308" t="s">
        <v>1214</v>
      </c>
      <c r="B308" t="s">
        <v>776</v>
      </c>
      <c r="C308" t="s">
        <v>1215</v>
      </c>
      <c r="D308" t="s">
        <v>1216</v>
      </c>
      <c r="E308" t="s">
        <v>1217</v>
      </c>
      <c r="F308" t="s">
        <v>160</v>
      </c>
      <c r="G308" t="s">
        <v>1218</v>
      </c>
      <c r="H308" t="s">
        <v>132</v>
      </c>
      <c r="I308" t="s">
        <v>214</v>
      </c>
      <c r="J308" t="s">
        <v>215</v>
      </c>
      <c r="K308" t="s">
        <v>69</v>
      </c>
      <c r="L308" t="s">
        <v>1219</v>
      </c>
      <c r="M308" t="s">
        <v>71</v>
      </c>
      <c r="N308" t="s">
        <v>100</v>
      </c>
      <c r="O308" t="s">
        <v>1136</v>
      </c>
      <c r="P308" t="s">
        <v>1137</v>
      </c>
      <c r="R308" t="s">
        <v>1138</v>
      </c>
      <c r="S308" t="s">
        <v>165</v>
      </c>
      <c r="T308" t="s">
        <v>291</v>
      </c>
      <c r="U308" t="s">
        <v>104</v>
      </c>
      <c r="V308" t="s">
        <v>1220</v>
      </c>
      <c r="W308">
        <v>590</v>
      </c>
      <c r="X308">
        <v>29.99</v>
      </c>
      <c r="Y308">
        <v>75</v>
      </c>
      <c r="Z308">
        <v>429000</v>
      </c>
      <c r="AA308">
        <v>85550</v>
      </c>
      <c r="AB308">
        <v>230</v>
      </c>
      <c r="AD308" t="s">
        <v>238</v>
      </c>
      <c r="AE308">
        <v>1</v>
      </c>
      <c r="AF308">
        <v>0</v>
      </c>
      <c r="AI308">
        <v>0</v>
      </c>
      <c r="AJ308">
        <v>25</v>
      </c>
      <c r="AK308">
        <v>25</v>
      </c>
      <c r="AL308">
        <v>145</v>
      </c>
      <c r="AM308">
        <v>26</v>
      </c>
      <c r="AN308">
        <v>0</v>
      </c>
      <c r="AO308">
        <v>26</v>
      </c>
      <c r="AP308" t="s">
        <v>80</v>
      </c>
      <c r="AQ308" t="s">
        <v>624</v>
      </c>
      <c r="AT308" t="s">
        <v>264</v>
      </c>
      <c r="AU308" t="s">
        <v>264</v>
      </c>
      <c r="AV308" t="s">
        <v>1221</v>
      </c>
      <c r="AW308" t="s">
        <v>69</v>
      </c>
      <c r="AX308" t="s">
        <v>967</v>
      </c>
      <c r="AY308" t="s">
        <v>1209</v>
      </c>
      <c r="AZ308" t="s">
        <v>243</v>
      </c>
      <c r="BA308" t="s">
        <v>264</v>
      </c>
      <c r="BB308" t="s">
        <v>244</v>
      </c>
      <c r="BC308" t="s">
        <v>264</v>
      </c>
      <c r="BD308" t="s">
        <v>1225</v>
      </c>
      <c r="BE308" t="s">
        <v>1223</v>
      </c>
      <c r="BF308" t="s">
        <v>971</v>
      </c>
      <c r="BG308" t="s">
        <v>150</v>
      </c>
      <c r="BH308" t="str">
        <f>IF(COUNTIF(工作表1!A:A, $C308)&gt;0, "預購款", "非預購款")</f>
        <v>非預購款</v>
      </c>
    </row>
    <row r="309" spans="1:60" x14ac:dyDescent="0.25">
      <c r="A309" t="s">
        <v>989</v>
      </c>
      <c r="B309" t="s">
        <v>226</v>
      </c>
      <c r="C309" t="s">
        <v>990</v>
      </c>
      <c r="D309" t="s">
        <v>991</v>
      </c>
      <c r="E309" t="s">
        <v>992</v>
      </c>
      <c r="F309" t="s">
        <v>160</v>
      </c>
      <c r="G309" t="s">
        <v>993</v>
      </c>
      <c r="H309" t="s">
        <v>119</v>
      </c>
      <c r="I309" t="s">
        <v>97</v>
      </c>
      <c r="J309" t="s">
        <v>98</v>
      </c>
      <c r="K309" t="s">
        <v>69</v>
      </c>
      <c r="L309" t="s">
        <v>994</v>
      </c>
      <c r="M309" t="s">
        <v>71</v>
      </c>
      <c r="N309" t="s">
        <v>100</v>
      </c>
      <c r="O309" t="s">
        <v>980</v>
      </c>
      <c r="P309" t="s">
        <v>981</v>
      </c>
      <c r="R309" t="s">
        <v>982</v>
      </c>
      <c r="S309" t="s">
        <v>165</v>
      </c>
      <c r="T309" t="s">
        <v>258</v>
      </c>
      <c r="U309" t="s">
        <v>146</v>
      </c>
      <c r="V309" t="s">
        <v>321</v>
      </c>
      <c r="W309">
        <v>690</v>
      </c>
      <c r="X309">
        <v>29.99</v>
      </c>
      <c r="Y309">
        <v>89</v>
      </c>
      <c r="Z309">
        <v>499000</v>
      </c>
      <c r="AA309">
        <v>165600</v>
      </c>
      <c r="AB309">
        <v>240</v>
      </c>
      <c r="AD309" t="s">
        <v>238</v>
      </c>
      <c r="AE309">
        <v>2</v>
      </c>
      <c r="AF309">
        <v>0</v>
      </c>
      <c r="AI309">
        <v>40</v>
      </c>
      <c r="AJ309">
        <v>60</v>
      </c>
      <c r="AK309">
        <v>100</v>
      </c>
      <c r="AL309">
        <v>240</v>
      </c>
      <c r="AM309">
        <v>107</v>
      </c>
      <c r="AN309">
        <v>0</v>
      </c>
      <c r="AO309">
        <v>107</v>
      </c>
      <c r="AP309" t="s">
        <v>80</v>
      </c>
      <c r="AQ309" t="s">
        <v>954</v>
      </c>
      <c r="AR309" t="s">
        <v>86</v>
      </c>
      <c r="AS309" t="s">
        <v>240</v>
      </c>
      <c r="AT309" t="s">
        <v>240</v>
      </c>
      <c r="AU309" t="s">
        <v>240</v>
      </c>
      <c r="AV309" t="s">
        <v>995</v>
      </c>
      <c r="AW309" t="s">
        <v>69</v>
      </c>
      <c r="AX309" t="s">
        <v>262</v>
      </c>
      <c r="AY309" t="s">
        <v>996</v>
      </c>
      <c r="AZ309" t="s">
        <v>264</v>
      </c>
      <c r="BA309" t="s">
        <v>245</v>
      </c>
      <c r="BB309" t="s">
        <v>245</v>
      </c>
      <c r="BC309" t="s">
        <v>244</v>
      </c>
      <c r="BD309" t="s">
        <v>997</v>
      </c>
      <c r="BE309" t="s">
        <v>1226</v>
      </c>
      <c r="BF309" t="s">
        <v>240</v>
      </c>
      <c r="BG309" t="s">
        <v>110</v>
      </c>
      <c r="BH309" t="str">
        <f>IF(COUNTIF(工作表1!A:A, $C309)&gt;0, "預購款", "非預購款")</f>
        <v>非預購款</v>
      </c>
    </row>
    <row r="310" spans="1:60" x14ac:dyDescent="0.25">
      <c r="A310" t="s">
        <v>989</v>
      </c>
      <c r="B310" t="s">
        <v>226</v>
      </c>
      <c r="C310" t="s">
        <v>990</v>
      </c>
      <c r="D310" t="s">
        <v>991</v>
      </c>
      <c r="E310" t="s">
        <v>992</v>
      </c>
      <c r="F310" t="s">
        <v>160</v>
      </c>
      <c r="G310" t="s">
        <v>993</v>
      </c>
      <c r="H310" t="s">
        <v>130</v>
      </c>
      <c r="I310" t="s">
        <v>97</v>
      </c>
      <c r="J310" t="s">
        <v>98</v>
      </c>
      <c r="K310" t="s">
        <v>69</v>
      </c>
      <c r="L310" t="s">
        <v>994</v>
      </c>
      <c r="M310" t="s">
        <v>71</v>
      </c>
      <c r="N310" t="s">
        <v>100</v>
      </c>
      <c r="O310" t="s">
        <v>980</v>
      </c>
      <c r="P310" t="s">
        <v>981</v>
      </c>
      <c r="R310" t="s">
        <v>982</v>
      </c>
      <c r="S310" t="s">
        <v>165</v>
      </c>
      <c r="T310" t="s">
        <v>258</v>
      </c>
      <c r="U310" t="s">
        <v>146</v>
      </c>
      <c r="V310" t="s">
        <v>321</v>
      </c>
      <c r="W310">
        <v>690</v>
      </c>
      <c r="X310">
        <v>29.99</v>
      </c>
      <c r="Y310">
        <v>89</v>
      </c>
      <c r="Z310">
        <v>499000</v>
      </c>
      <c r="AA310">
        <v>165600</v>
      </c>
      <c r="AB310">
        <v>240</v>
      </c>
      <c r="AD310" t="s">
        <v>238</v>
      </c>
      <c r="AE310">
        <v>2</v>
      </c>
      <c r="AF310">
        <v>0</v>
      </c>
      <c r="AI310">
        <v>10</v>
      </c>
      <c r="AJ310">
        <v>60</v>
      </c>
      <c r="AK310">
        <v>70</v>
      </c>
      <c r="AL310">
        <v>240</v>
      </c>
      <c r="AM310">
        <v>72</v>
      </c>
      <c r="AN310">
        <v>0</v>
      </c>
      <c r="AO310">
        <v>72</v>
      </c>
      <c r="AP310" t="s">
        <v>80</v>
      </c>
      <c r="AQ310" t="s">
        <v>954</v>
      </c>
      <c r="AR310" t="s">
        <v>86</v>
      </c>
      <c r="AS310" t="s">
        <v>240</v>
      </c>
      <c r="AT310" t="s">
        <v>240</v>
      </c>
      <c r="AU310" t="s">
        <v>240</v>
      </c>
      <c r="AV310" t="s">
        <v>995</v>
      </c>
      <c r="AW310" t="s">
        <v>69</v>
      </c>
      <c r="AX310" t="s">
        <v>262</v>
      </c>
      <c r="AY310" t="s">
        <v>996</v>
      </c>
      <c r="AZ310" t="s">
        <v>264</v>
      </c>
      <c r="BA310" t="s">
        <v>245</v>
      </c>
      <c r="BB310" t="s">
        <v>245</v>
      </c>
      <c r="BC310" t="s">
        <v>244</v>
      </c>
      <c r="BD310" t="s">
        <v>999</v>
      </c>
      <c r="BE310" t="s">
        <v>1226</v>
      </c>
      <c r="BF310" t="s">
        <v>240</v>
      </c>
      <c r="BG310" t="s">
        <v>110</v>
      </c>
      <c r="BH310" t="str">
        <f>IF(COUNTIF(工作表1!A:A, $C310)&gt;0, "預購款", "非預購款")</f>
        <v>非預購款</v>
      </c>
    </row>
    <row r="311" spans="1:60" x14ac:dyDescent="0.25">
      <c r="A311" t="s">
        <v>989</v>
      </c>
      <c r="B311" t="s">
        <v>226</v>
      </c>
      <c r="C311" t="s">
        <v>990</v>
      </c>
      <c r="D311" t="s">
        <v>991</v>
      </c>
      <c r="E311" t="s">
        <v>992</v>
      </c>
      <c r="F311" t="s">
        <v>160</v>
      </c>
      <c r="G311" t="s">
        <v>993</v>
      </c>
      <c r="H311" t="s">
        <v>132</v>
      </c>
      <c r="I311" t="s">
        <v>97</v>
      </c>
      <c r="J311" t="s">
        <v>98</v>
      </c>
      <c r="K311" t="s">
        <v>69</v>
      </c>
      <c r="L311" t="s">
        <v>994</v>
      </c>
      <c r="M311" t="s">
        <v>71</v>
      </c>
      <c r="N311" t="s">
        <v>100</v>
      </c>
      <c r="O311" t="s">
        <v>980</v>
      </c>
      <c r="P311" t="s">
        <v>981</v>
      </c>
      <c r="R311" t="s">
        <v>982</v>
      </c>
      <c r="S311" t="s">
        <v>165</v>
      </c>
      <c r="T311" t="s">
        <v>258</v>
      </c>
      <c r="U311" t="s">
        <v>146</v>
      </c>
      <c r="V311" t="s">
        <v>321</v>
      </c>
      <c r="W311">
        <v>690</v>
      </c>
      <c r="X311">
        <v>29.99</v>
      </c>
      <c r="Y311">
        <v>89</v>
      </c>
      <c r="Z311">
        <v>499000</v>
      </c>
      <c r="AA311">
        <v>165600</v>
      </c>
      <c r="AB311">
        <v>240</v>
      </c>
      <c r="AD311" t="s">
        <v>238</v>
      </c>
      <c r="AE311">
        <v>2</v>
      </c>
      <c r="AF311">
        <v>0</v>
      </c>
      <c r="AI311">
        <v>0</v>
      </c>
      <c r="AJ311">
        <v>30</v>
      </c>
      <c r="AK311">
        <v>30</v>
      </c>
      <c r="AL311">
        <v>240</v>
      </c>
      <c r="AM311">
        <v>33</v>
      </c>
      <c r="AN311">
        <v>0</v>
      </c>
      <c r="AO311">
        <v>33</v>
      </c>
      <c r="AP311" t="s">
        <v>80</v>
      </c>
      <c r="AQ311" t="s">
        <v>954</v>
      </c>
      <c r="AR311" t="s">
        <v>86</v>
      </c>
      <c r="AS311" t="s">
        <v>240</v>
      </c>
      <c r="AT311" t="s">
        <v>240</v>
      </c>
      <c r="AU311" t="s">
        <v>240</v>
      </c>
      <c r="AV311" t="s">
        <v>995</v>
      </c>
      <c r="AW311" t="s">
        <v>69</v>
      </c>
      <c r="AX311" t="s">
        <v>262</v>
      </c>
      <c r="AY311" t="s">
        <v>996</v>
      </c>
      <c r="AZ311" t="s">
        <v>264</v>
      </c>
      <c r="BA311" t="s">
        <v>245</v>
      </c>
      <c r="BB311" t="s">
        <v>245</v>
      </c>
      <c r="BC311" t="s">
        <v>244</v>
      </c>
      <c r="BD311" t="s">
        <v>1000</v>
      </c>
      <c r="BE311" t="s">
        <v>1226</v>
      </c>
      <c r="BF311" t="s">
        <v>240</v>
      </c>
      <c r="BG311" t="s">
        <v>110</v>
      </c>
      <c r="BH311" t="str">
        <f>IF(COUNTIF(工作表1!A:A, $C311)&gt;0, "預購款", "非預購款")</f>
        <v>非預購款</v>
      </c>
    </row>
    <row r="312" spans="1:60" x14ac:dyDescent="0.25">
      <c r="A312" t="s">
        <v>396</v>
      </c>
      <c r="B312" t="s">
        <v>226</v>
      </c>
      <c r="C312" t="s">
        <v>397</v>
      </c>
      <c r="D312" t="s">
        <v>398</v>
      </c>
      <c r="E312" t="s">
        <v>399</v>
      </c>
      <c r="F312" t="s">
        <v>160</v>
      </c>
      <c r="G312" t="s">
        <v>400</v>
      </c>
      <c r="H312" t="s">
        <v>379</v>
      </c>
      <c r="I312" t="s">
        <v>120</v>
      </c>
      <c r="J312" t="s">
        <v>121</v>
      </c>
      <c r="K312" t="s">
        <v>69</v>
      </c>
      <c r="L312" t="s">
        <v>401</v>
      </c>
      <c r="M312" t="s">
        <v>71</v>
      </c>
      <c r="N312" t="s">
        <v>72</v>
      </c>
      <c r="O312" t="s">
        <v>73</v>
      </c>
      <c r="P312" t="s">
        <v>74</v>
      </c>
      <c r="R312" t="s">
        <v>381</v>
      </c>
      <c r="S312" t="s">
        <v>165</v>
      </c>
      <c r="T312" t="s">
        <v>76</v>
      </c>
      <c r="U312" t="s">
        <v>383</v>
      </c>
      <c r="V312" t="s">
        <v>384</v>
      </c>
      <c r="W312">
        <v>890</v>
      </c>
      <c r="X312">
        <v>39.99</v>
      </c>
      <c r="Y312">
        <v>115</v>
      </c>
      <c r="Z312">
        <v>639000</v>
      </c>
      <c r="AA312">
        <v>347100</v>
      </c>
      <c r="AB312">
        <v>528</v>
      </c>
      <c r="AD312" t="s">
        <v>238</v>
      </c>
      <c r="AE312">
        <v>2</v>
      </c>
      <c r="AF312">
        <v>5</v>
      </c>
      <c r="AI312">
        <v>10</v>
      </c>
      <c r="AJ312">
        <v>25</v>
      </c>
      <c r="AK312">
        <v>40</v>
      </c>
      <c r="AL312">
        <v>390</v>
      </c>
      <c r="AM312">
        <v>42</v>
      </c>
      <c r="AN312">
        <v>0</v>
      </c>
      <c r="AO312">
        <v>42</v>
      </c>
      <c r="AP312" t="s">
        <v>80</v>
      </c>
      <c r="AQ312" t="s">
        <v>954</v>
      </c>
      <c r="AR312" t="s">
        <v>86</v>
      </c>
      <c r="AS312" t="s">
        <v>86</v>
      </c>
      <c r="AT312" t="s">
        <v>240</v>
      </c>
      <c r="AU312" t="s">
        <v>86</v>
      </c>
      <c r="AV312" t="s">
        <v>386</v>
      </c>
      <c r="AW312" t="s">
        <v>80</v>
      </c>
      <c r="AX312" t="s">
        <v>387</v>
      </c>
      <c r="AY312" t="s">
        <v>402</v>
      </c>
      <c r="AZ312" t="s">
        <v>243</v>
      </c>
      <c r="BA312" t="s">
        <v>243</v>
      </c>
      <c r="BB312" t="s">
        <v>245</v>
      </c>
      <c r="BC312" t="s">
        <v>244</v>
      </c>
      <c r="BD312" t="s">
        <v>403</v>
      </c>
      <c r="BE312" t="s">
        <v>1227</v>
      </c>
      <c r="BF312" t="s">
        <v>86</v>
      </c>
      <c r="BG312" t="s">
        <v>150</v>
      </c>
      <c r="BH312" t="str">
        <f>IF(COUNTIF(工作表1!A:A, $C312)&gt;0, "預購款", "非預購款")</f>
        <v>非預購款</v>
      </c>
    </row>
    <row r="313" spans="1:60" x14ac:dyDescent="0.25">
      <c r="A313" t="s">
        <v>396</v>
      </c>
      <c r="B313" t="s">
        <v>226</v>
      </c>
      <c r="C313" t="s">
        <v>397</v>
      </c>
      <c r="D313" t="s">
        <v>398</v>
      </c>
      <c r="E313" t="s">
        <v>399</v>
      </c>
      <c r="F313" t="s">
        <v>160</v>
      </c>
      <c r="G313" t="s">
        <v>400</v>
      </c>
      <c r="H313" t="s">
        <v>119</v>
      </c>
      <c r="I313" t="s">
        <v>120</v>
      </c>
      <c r="J313" t="s">
        <v>121</v>
      </c>
      <c r="K313" t="s">
        <v>69</v>
      </c>
      <c r="L313" t="s">
        <v>401</v>
      </c>
      <c r="M313" t="s">
        <v>71</v>
      </c>
      <c r="N313" t="s">
        <v>72</v>
      </c>
      <c r="O313" t="s">
        <v>73</v>
      </c>
      <c r="P313" t="s">
        <v>74</v>
      </c>
      <c r="R313" t="s">
        <v>381</v>
      </c>
      <c r="S313" t="s">
        <v>165</v>
      </c>
      <c r="T313" t="s">
        <v>76</v>
      </c>
      <c r="U313" t="s">
        <v>383</v>
      </c>
      <c r="V313" t="s">
        <v>384</v>
      </c>
      <c r="W313">
        <v>890</v>
      </c>
      <c r="X313">
        <v>39.99</v>
      </c>
      <c r="Y313">
        <v>115</v>
      </c>
      <c r="Z313">
        <v>639000</v>
      </c>
      <c r="AA313">
        <v>347100</v>
      </c>
      <c r="AB313">
        <v>528</v>
      </c>
      <c r="AD313" t="s">
        <v>238</v>
      </c>
      <c r="AE313">
        <v>2</v>
      </c>
      <c r="AF313">
        <v>15</v>
      </c>
      <c r="AI313">
        <v>15</v>
      </c>
      <c r="AJ313">
        <v>30</v>
      </c>
      <c r="AK313">
        <v>60</v>
      </c>
      <c r="AL313">
        <v>390</v>
      </c>
      <c r="AM313">
        <v>68</v>
      </c>
      <c r="AN313">
        <v>0</v>
      </c>
      <c r="AO313">
        <v>68</v>
      </c>
      <c r="AP313" t="s">
        <v>80</v>
      </c>
      <c r="AQ313" t="s">
        <v>954</v>
      </c>
      <c r="AR313" t="s">
        <v>86</v>
      </c>
      <c r="AS313" t="s">
        <v>86</v>
      </c>
      <c r="AT313" t="s">
        <v>240</v>
      </c>
      <c r="AU313" t="s">
        <v>86</v>
      </c>
      <c r="AV313" t="s">
        <v>386</v>
      </c>
      <c r="AW313" t="s">
        <v>80</v>
      </c>
      <c r="AX313" t="s">
        <v>387</v>
      </c>
      <c r="AY313" t="s">
        <v>402</v>
      </c>
      <c r="AZ313" t="s">
        <v>243</v>
      </c>
      <c r="BA313" t="s">
        <v>243</v>
      </c>
      <c r="BB313" t="s">
        <v>245</v>
      </c>
      <c r="BC313" t="s">
        <v>244</v>
      </c>
      <c r="BD313" t="s">
        <v>405</v>
      </c>
      <c r="BE313" t="s">
        <v>1227</v>
      </c>
      <c r="BF313" t="s">
        <v>86</v>
      </c>
      <c r="BG313" t="s">
        <v>150</v>
      </c>
      <c r="BH313" t="str">
        <f>IF(COUNTIF(工作表1!A:A, $C313)&gt;0, "預購款", "非預購款")</f>
        <v>非預購款</v>
      </c>
    </row>
    <row r="314" spans="1:60" x14ac:dyDescent="0.25">
      <c r="A314" t="s">
        <v>396</v>
      </c>
      <c r="B314" t="s">
        <v>226</v>
      </c>
      <c r="C314" t="s">
        <v>397</v>
      </c>
      <c r="D314" t="s">
        <v>398</v>
      </c>
      <c r="E314" t="s">
        <v>399</v>
      </c>
      <c r="F314" t="s">
        <v>160</v>
      </c>
      <c r="G314" t="s">
        <v>400</v>
      </c>
      <c r="H314" t="s">
        <v>392</v>
      </c>
      <c r="I314" t="s">
        <v>120</v>
      </c>
      <c r="J314" t="s">
        <v>121</v>
      </c>
      <c r="K314" t="s">
        <v>69</v>
      </c>
      <c r="L314" t="s">
        <v>401</v>
      </c>
      <c r="M314" t="s">
        <v>71</v>
      </c>
      <c r="N314" t="s">
        <v>72</v>
      </c>
      <c r="O314" t="s">
        <v>73</v>
      </c>
      <c r="P314" t="s">
        <v>74</v>
      </c>
      <c r="R314" t="s">
        <v>381</v>
      </c>
      <c r="S314" t="s">
        <v>165</v>
      </c>
      <c r="T314" t="s">
        <v>76</v>
      </c>
      <c r="U314" t="s">
        <v>383</v>
      </c>
      <c r="V314" t="s">
        <v>384</v>
      </c>
      <c r="W314">
        <v>890</v>
      </c>
      <c r="X314">
        <v>39.99</v>
      </c>
      <c r="Y314">
        <v>115</v>
      </c>
      <c r="Z314">
        <v>639000</v>
      </c>
      <c r="AA314">
        <v>347100</v>
      </c>
      <c r="AB314">
        <v>528</v>
      </c>
      <c r="AD314" t="s">
        <v>238</v>
      </c>
      <c r="AE314">
        <v>2</v>
      </c>
      <c r="AF314">
        <v>5</v>
      </c>
      <c r="AI314">
        <v>25</v>
      </c>
      <c r="AJ314">
        <v>10</v>
      </c>
      <c r="AK314">
        <v>40</v>
      </c>
      <c r="AL314">
        <v>390</v>
      </c>
      <c r="AM314">
        <v>43</v>
      </c>
      <c r="AN314">
        <v>0</v>
      </c>
      <c r="AO314">
        <v>43</v>
      </c>
      <c r="AP314" t="s">
        <v>80</v>
      </c>
      <c r="AQ314" t="s">
        <v>954</v>
      </c>
      <c r="AR314" t="s">
        <v>86</v>
      </c>
      <c r="AS314" t="s">
        <v>86</v>
      </c>
      <c r="AT314" t="s">
        <v>240</v>
      </c>
      <c r="AU314" t="s">
        <v>86</v>
      </c>
      <c r="AV314" t="s">
        <v>386</v>
      </c>
      <c r="AW314" t="s">
        <v>80</v>
      </c>
      <c r="AX314" t="s">
        <v>387</v>
      </c>
      <c r="AY314" t="s">
        <v>402</v>
      </c>
      <c r="AZ314" t="s">
        <v>243</v>
      </c>
      <c r="BA314" t="s">
        <v>243</v>
      </c>
      <c r="BB314" t="s">
        <v>245</v>
      </c>
      <c r="BC314" t="s">
        <v>244</v>
      </c>
      <c r="BD314" t="s">
        <v>406</v>
      </c>
      <c r="BE314" t="s">
        <v>1227</v>
      </c>
      <c r="BF314" t="s">
        <v>86</v>
      </c>
      <c r="BG314" t="s">
        <v>150</v>
      </c>
      <c r="BH314" t="str">
        <f>IF(COUNTIF(工作表1!A:A, $C314)&gt;0, "預購款", "非預購款")</f>
        <v>非預購款</v>
      </c>
    </row>
    <row r="315" spans="1:60" x14ac:dyDescent="0.25">
      <c r="A315" t="s">
        <v>396</v>
      </c>
      <c r="B315" t="s">
        <v>226</v>
      </c>
      <c r="C315" t="s">
        <v>397</v>
      </c>
      <c r="D315" t="s">
        <v>398</v>
      </c>
      <c r="E315" t="s">
        <v>399</v>
      </c>
      <c r="F315" t="s">
        <v>160</v>
      </c>
      <c r="G315" t="s">
        <v>400</v>
      </c>
      <c r="H315" t="s">
        <v>130</v>
      </c>
      <c r="I315" t="s">
        <v>120</v>
      </c>
      <c r="J315" t="s">
        <v>121</v>
      </c>
      <c r="K315" t="s">
        <v>69</v>
      </c>
      <c r="L315" t="s">
        <v>401</v>
      </c>
      <c r="M315" t="s">
        <v>71</v>
      </c>
      <c r="N315" t="s">
        <v>72</v>
      </c>
      <c r="O315" t="s">
        <v>73</v>
      </c>
      <c r="P315" t="s">
        <v>74</v>
      </c>
      <c r="R315" t="s">
        <v>381</v>
      </c>
      <c r="S315" t="s">
        <v>165</v>
      </c>
      <c r="T315" t="s">
        <v>76</v>
      </c>
      <c r="U315" t="s">
        <v>383</v>
      </c>
      <c r="V315" t="s">
        <v>384</v>
      </c>
      <c r="W315">
        <v>890</v>
      </c>
      <c r="X315">
        <v>39.99</v>
      </c>
      <c r="Y315">
        <v>115</v>
      </c>
      <c r="Z315">
        <v>639000</v>
      </c>
      <c r="AA315">
        <v>347100</v>
      </c>
      <c r="AB315">
        <v>528</v>
      </c>
      <c r="AD315" t="s">
        <v>238</v>
      </c>
      <c r="AE315">
        <v>2</v>
      </c>
      <c r="AF315">
        <v>10</v>
      </c>
      <c r="AI315">
        <v>25</v>
      </c>
      <c r="AJ315">
        <v>30</v>
      </c>
      <c r="AK315">
        <v>65</v>
      </c>
      <c r="AL315">
        <v>390</v>
      </c>
      <c r="AM315">
        <v>71</v>
      </c>
      <c r="AN315">
        <v>0</v>
      </c>
      <c r="AO315">
        <v>71</v>
      </c>
      <c r="AP315" t="s">
        <v>80</v>
      </c>
      <c r="AQ315" t="s">
        <v>954</v>
      </c>
      <c r="AR315" t="s">
        <v>86</v>
      </c>
      <c r="AS315" t="s">
        <v>86</v>
      </c>
      <c r="AT315" t="s">
        <v>240</v>
      </c>
      <c r="AU315" t="s">
        <v>86</v>
      </c>
      <c r="AV315" t="s">
        <v>386</v>
      </c>
      <c r="AW315" t="s">
        <v>80</v>
      </c>
      <c r="AX315" t="s">
        <v>387</v>
      </c>
      <c r="AY315" t="s">
        <v>402</v>
      </c>
      <c r="AZ315" t="s">
        <v>243</v>
      </c>
      <c r="BA315" t="s">
        <v>243</v>
      </c>
      <c r="BB315" t="s">
        <v>245</v>
      </c>
      <c r="BC315" t="s">
        <v>244</v>
      </c>
      <c r="BD315" t="s">
        <v>407</v>
      </c>
      <c r="BE315" t="s">
        <v>1227</v>
      </c>
      <c r="BF315" t="s">
        <v>86</v>
      </c>
      <c r="BG315" t="s">
        <v>150</v>
      </c>
      <c r="BH315" t="str">
        <f>IF(COUNTIF(工作表1!A:A, $C315)&gt;0, "預購款", "非預購款")</f>
        <v>非預購款</v>
      </c>
    </row>
    <row r="316" spans="1:60" x14ac:dyDescent="0.25">
      <c r="A316" t="s">
        <v>396</v>
      </c>
      <c r="B316" t="s">
        <v>226</v>
      </c>
      <c r="C316" t="s">
        <v>397</v>
      </c>
      <c r="D316" t="s">
        <v>398</v>
      </c>
      <c r="E316" t="s">
        <v>399</v>
      </c>
      <c r="F316" t="s">
        <v>160</v>
      </c>
      <c r="G316" t="s">
        <v>400</v>
      </c>
      <c r="H316" t="s">
        <v>132</v>
      </c>
      <c r="I316" t="s">
        <v>120</v>
      </c>
      <c r="J316" t="s">
        <v>121</v>
      </c>
      <c r="K316" t="s">
        <v>69</v>
      </c>
      <c r="L316" t="s">
        <v>401</v>
      </c>
      <c r="M316" t="s">
        <v>71</v>
      </c>
      <c r="N316" t="s">
        <v>72</v>
      </c>
      <c r="O316" t="s">
        <v>73</v>
      </c>
      <c r="P316" t="s">
        <v>74</v>
      </c>
      <c r="R316" t="s">
        <v>381</v>
      </c>
      <c r="S316" t="s">
        <v>165</v>
      </c>
      <c r="T316" t="s">
        <v>76</v>
      </c>
      <c r="U316" t="s">
        <v>383</v>
      </c>
      <c r="V316" t="s">
        <v>384</v>
      </c>
      <c r="W316">
        <v>890</v>
      </c>
      <c r="X316">
        <v>39.99</v>
      </c>
      <c r="Y316">
        <v>115</v>
      </c>
      <c r="Z316">
        <v>639000</v>
      </c>
      <c r="AA316">
        <v>347100</v>
      </c>
      <c r="AB316">
        <v>528</v>
      </c>
      <c r="AD316" t="s">
        <v>238</v>
      </c>
      <c r="AE316">
        <v>2</v>
      </c>
      <c r="AF316">
        <v>5</v>
      </c>
      <c r="AI316">
        <v>15</v>
      </c>
      <c r="AJ316">
        <v>10</v>
      </c>
      <c r="AK316">
        <v>30</v>
      </c>
      <c r="AL316">
        <v>390</v>
      </c>
      <c r="AM316">
        <v>32</v>
      </c>
      <c r="AN316">
        <v>0</v>
      </c>
      <c r="AO316">
        <v>32</v>
      </c>
      <c r="AP316" t="s">
        <v>80</v>
      </c>
      <c r="AQ316" t="s">
        <v>954</v>
      </c>
      <c r="AR316" t="s">
        <v>86</v>
      </c>
      <c r="AS316" t="s">
        <v>86</v>
      </c>
      <c r="AT316" t="s">
        <v>240</v>
      </c>
      <c r="AU316" t="s">
        <v>86</v>
      </c>
      <c r="AV316" t="s">
        <v>386</v>
      </c>
      <c r="AW316" t="s">
        <v>80</v>
      </c>
      <c r="AX316" t="s">
        <v>387</v>
      </c>
      <c r="AY316" t="s">
        <v>402</v>
      </c>
      <c r="AZ316" t="s">
        <v>243</v>
      </c>
      <c r="BA316" t="s">
        <v>243</v>
      </c>
      <c r="BB316" t="s">
        <v>245</v>
      </c>
      <c r="BC316" t="s">
        <v>244</v>
      </c>
      <c r="BD316" t="s">
        <v>408</v>
      </c>
      <c r="BE316" t="s">
        <v>1227</v>
      </c>
      <c r="BF316" t="s">
        <v>86</v>
      </c>
      <c r="BG316" t="s">
        <v>150</v>
      </c>
      <c r="BH316" t="str">
        <f>IF(COUNTIF(工作表1!A:A, $C316)&gt;0, "預購款", "非預購款")</f>
        <v>非預購款</v>
      </c>
    </row>
    <row r="317" spans="1:60" x14ac:dyDescent="0.25">
      <c r="A317" t="s">
        <v>1026</v>
      </c>
      <c r="B317" t="s">
        <v>283</v>
      </c>
      <c r="C317" t="s">
        <v>1027</v>
      </c>
      <c r="D317" t="s">
        <v>1028</v>
      </c>
      <c r="E317" t="s">
        <v>1029</v>
      </c>
      <c r="F317" t="s">
        <v>160</v>
      </c>
      <c r="G317" t="s">
        <v>1030</v>
      </c>
      <c r="H317" t="s">
        <v>119</v>
      </c>
      <c r="I317" t="s">
        <v>171</v>
      </c>
      <c r="J317" t="s">
        <v>172</v>
      </c>
      <c r="K317" t="s">
        <v>69</v>
      </c>
      <c r="L317" t="s">
        <v>1031</v>
      </c>
      <c r="M317" t="s">
        <v>71</v>
      </c>
      <c r="N317" t="s">
        <v>100</v>
      </c>
      <c r="O317" t="s">
        <v>980</v>
      </c>
      <c r="P317" t="s">
        <v>981</v>
      </c>
      <c r="R317" t="s">
        <v>982</v>
      </c>
      <c r="S317" t="s">
        <v>165</v>
      </c>
      <c r="T317" t="s">
        <v>76</v>
      </c>
      <c r="U317" t="s">
        <v>684</v>
      </c>
      <c r="V317" t="s">
        <v>1032</v>
      </c>
      <c r="W317">
        <v>990</v>
      </c>
      <c r="X317">
        <v>39.99</v>
      </c>
      <c r="Y317">
        <v>129</v>
      </c>
      <c r="Z317">
        <v>709000</v>
      </c>
      <c r="AA317">
        <v>336600</v>
      </c>
      <c r="AB317">
        <v>464</v>
      </c>
      <c r="AD317" t="s">
        <v>238</v>
      </c>
      <c r="AE317">
        <v>2</v>
      </c>
      <c r="AF317">
        <v>10</v>
      </c>
      <c r="AI317">
        <v>35</v>
      </c>
      <c r="AJ317">
        <v>70</v>
      </c>
      <c r="AK317">
        <v>115</v>
      </c>
      <c r="AL317">
        <v>340</v>
      </c>
      <c r="AM317">
        <v>116</v>
      </c>
      <c r="AN317">
        <v>0</v>
      </c>
      <c r="AO317">
        <v>116</v>
      </c>
      <c r="AP317" t="s">
        <v>80</v>
      </c>
      <c r="AQ317" t="s">
        <v>630</v>
      </c>
      <c r="AR317" t="s">
        <v>86</v>
      </c>
      <c r="AS317" t="s">
        <v>86</v>
      </c>
      <c r="AT317" t="s">
        <v>86</v>
      </c>
      <c r="AU317" t="s">
        <v>86</v>
      </c>
      <c r="AV317" t="s">
        <v>1033</v>
      </c>
      <c r="AW317" t="s">
        <v>69</v>
      </c>
      <c r="AX317" t="s">
        <v>1034</v>
      </c>
      <c r="AY317" t="s">
        <v>1035</v>
      </c>
      <c r="AZ317" t="s">
        <v>243</v>
      </c>
      <c r="BA317" t="s">
        <v>244</v>
      </c>
      <c r="BB317" t="s">
        <v>244</v>
      </c>
      <c r="BC317" t="s">
        <v>244</v>
      </c>
      <c r="BD317" t="s">
        <v>1036</v>
      </c>
      <c r="BE317" t="s">
        <v>1230</v>
      </c>
      <c r="BF317" t="s">
        <v>86</v>
      </c>
      <c r="BG317" t="s">
        <v>150</v>
      </c>
      <c r="BH317" t="str">
        <f>IF(COUNTIF(工作表1!A:A, $C317)&gt;0, "預購款", "非預購款")</f>
        <v>非預購款</v>
      </c>
    </row>
    <row r="318" spans="1:60" x14ac:dyDescent="0.25">
      <c r="A318" t="s">
        <v>1026</v>
      </c>
      <c r="B318" t="s">
        <v>283</v>
      </c>
      <c r="C318" t="s">
        <v>1027</v>
      </c>
      <c r="D318" t="s">
        <v>1028</v>
      </c>
      <c r="E318" t="s">
        <v>1029</v>
      </c>
      <c r="F318" t="s">
        <v>160</v>
      </c>
      <c r="G318" t="s">
        <v>1030</v>
      </c>
      <c r="H318" t="s">
        <v>130</v>
      </c>
      <c r="I318" t="s">
        <v>171</v>
      </c>
      <c r="J318" t="s">
        <v>172</v>
      </c>
      <c r="K318" t="s">
        <v>69</v>
      </c>
      <c r="L318" t="s">
        <v>1031</v>
      </c>
      <c r="M318" t="s">
        <v>71</v>
      </c>
      <c r="N318" t="s">
        <v>100</v>
      </c>
      <c r="O318" t="s">
        <v>980</v>
      </c>
      <c r="P318" t="s">
        <v>981</v>
      </c>
      <c r="R318" t="s">
        <v>982</v>
      </c>
      <c r="S318" t="s">
        <v>165</v>
      </c>
      <c r="T318" t="s">
        <v>76</v>
      </c>
      <c r="U318" t="s">
        <v>684</v>
      </c>
      <c r="V318" t="s">
        <v>1032</v>
      </c>
      <c r="W318">
        <v>990</v>
      </c>
      <c r="X318">
        <v>39.99</v>
      </c>
      <c r="Y318">
        <v>129</v>
      </c>
      <c r="Z318">
        <v>709000</v>
      </c>
      <c r="AA318">
        <v>336600</v>
      </c>
      <c r="AB318">
        <v>464</v>
      </c>
      <c r="AD318" t="s">
        <v>238</v>
      </c>
      <c r="AE318">
        <v>2</v>
      </c>
      <c r="AF318">
        <v>5</v>
      </c>
      <c r="AI318">
        <v>30</v>
      </c>
      <c r="AJ318">
        <v>55</v>
      </c>
      <c r="AK318">
        <v>90</v>
      </c>
      <c r="AL318">
        <v>340</v>
      </c>
      <c r="AM318">
        <v>90</v>
      </c>
      <c r="AN318">
        <v>0</v>
      </c>
      <c r="AO318">
        <v>90</v>
      </c>
      <c r="AP318" t="s">
        <v>80</v>
      </c>
      <c r="AQ318" t="s">
        <v>630</v>
      </c>
      <c r="AR318" t="s">
        <v>86</v>
      </c>
      <c r="AS318" t="s">
        <v>86</v>
      </c>
      <c r="AT318" t="s">
        <v>86</v>
      </c>
      <c r="AU318" t="s">
        <v>86</v>
      </c>
      <c r="AV318" t="s">
        <v>1033</v>
      </c>
      <c r="AW318" t="s">
        <v>69</v>
      </c>
      <c r="AX318" t="s">
        <v>1034</v>
      </c>
      <c r="AY318" t="s">
        <v>1035</v>
      </c>
      <c r="AZ318" t="s">
        <v>243</v>
      </c>
      <c r="BA318" t="s">
        <v>244</v>
      </c>
      <c r="BB318" t="s">
        <v>244</v>
      </c>
      <c r="BC318" t="s">
        <v>244</v>
      </c>
      <c r="BD318" t="s">
        <v>1037</v>
      </c>
      <c r="BE318" t="s">
        <v>1230</v>
      </c>
      <c r="BF318" t="s">
        <v>86</v>
      </c>
      <c r="BG318" t="s">
        <v>150</v>
      </c>
      <c r="BH318" t="str">
        <f>IF(COUNTIF(工作表1!A:A, $C318)&gt;0, "預購款", "非預購款")</f>
        <v>非預購款</v>
      </c>
    </row>
    <row r="319" spans="1:60" x14ac:dyDescent="0.25">
      <c r="A319" t="s">
        <v>1026</v>
      </c>
      <c r="B319" t="s">
        <v>283</v>
      </c>
      <c r="C319" t="s">
        <v>1027</v>
      </c>
      <c r="D319" t="s">
        <v>1028</v>
      </c>
      <c r="E319" t="s">
        <v>1029</v>
      </c>
      <c r="F319" t="s">
        <v>160</v>
      </c>
      <c r="G319" t="s">
        <v>1030</v>
      </c>
      <c r="H319" t="s">
        <v>132</v>
      </c>
      <c r="I319" t="s">
        <v>171</v>
      </c>
      <c r="J319" t="s">
        <v>172</v>
      </c>
      <c r="K319" t="s">
        <v>69</v>
      </c>
      <c r="L319" t="s">
        <v>1031</v>
      </c>
      <c r="M319" t="s">
        <v>71</v>
      </c>
      <c r="N319" t="s">
        <v>100</v>
      </c>
      <c r="O319" t="s">
        <v>980</v>
      </c>
      <c r="P319" t="s">
        <v>981</v>
      </c>
      <c r="R319" t="s">
        <v>982</v>
      </c>
      <c r="S319" t="s">
        <v>165</v>
      </c>
      <c r="T319" t="s">
        <v>76</v>
      </c>
      <c r="U319" t="s">
        <v>684</v>
      </c>
      <c r="V319" t="s">
        <v>1032</v>
      </c>
      <c r="W319">
        <v>990</v>
      </c>
      <c r="X319">
        <v>39.99</v>
      </c>
      <c r="Y319">
        <v>129</v>
      </c>
      <c r="Z319">
        <v>709000</v>
      </c>
      <c r="AA319">
        <v>336600</v>
      </c>
      <c r="AB319">
        <v>464</v>
      </c>
      <c r="AD319" t="s">
        <v>238</v>
      </c>
      <c r="AE319">
        <v>2</v>
      </c>
      <c r="AF319">
        <v>0</v>
      </c>
      <c r="AI319">
        <v>15</v>
      </c>
      <c r="AJ319">
        <v>25</v>
      </c>
      <c r="AK319">
        <v>40</v>
      </c>
      <c r="AL319">
        <v>340</v>
      </c>
      <c r="AM319">
        <v>43</v>
      </c>
      <c r="AN319">
        <v>0</v>
      </c>
      <c r="AO319">
        <v>43</v>
      </c>
      <c r="AP319" t="s">
        <v>80</v>
      </c>
      <c r="AQ319" t="s">
        <v>630</v>
      </c>
      <c r="AR319" t="s">
        <v>86</v>
      </c>
      <c r="AS319" t="s">
        <v>86</v>
      </c>
      <c r="AT319" t="s">
        <v>86</v>
      </c>
      <c r="AU319" t="s">
        <v>86</v>
      </c>
      <c r="AV319" t="s">
        <v>1033</v>
      </c>
      <c r="AW319" t="s">
        <v>69</v>
      </c>
      <c r="AX319" t="s">
        <v>1034</v>
      </c>
      <c r="AY319" t="s">
        <v>1035</v>
      </c>
      <c r="AZ319" t="s">
        <v>243</v>
      </c>
      <c r="BA319" t="s">
        <v>244</v>
      </c>
      <c r="BB319" t="s">
        <v>244</v>
      </c>
      <c r="BC319" t="s">
        <v>244</v>
      </c>
      <c r="BD319" t="s">
        <v>1038</v>
      </c>
      <c r="BE319" t="s">
        <v>1230</v>
      </c>
      <c r="BF319" t="s">
        <v>86</v>
      </c>
      <c r="BG319" t="s">
        <v>150</v>
      </c>
      <c r="BH319" t="str">
        <f>IF(COUNTIF(工作表1!A:A, $C319)&gt;0, "預購款", "非預購款")</f>
        <v>非預購款</v>
      </c>
    </row>
    <row r="320" spans="1:60" x14ac:dyDescent="0.25">
      <c r="A320" t="s">
        <v>1039</v>
      </c>
      <c r="B320" t="s">
        <v>283</v>
      </c>
      <c r="C320" t="s">
        <v>1040</v>
      </c>
      <c r="D320" t="s">
        <v>1041</v>
      </c>
      <c r="E320" t="s">
        <v>1042</v>
      </c>
      <c r="F320" t="s">
        <v>160</v>
      </c>
      <c r="G320" t="s">
        <v>1043</v>
      </c>
      <c r="H320" t="s">
        <v>119</v>
      </c>
      <c r="I320" t="s">
        <v>422</v>
      </c>
      <c r="J320" t="s">
        <v>423</v>
      </c>
      <c r="K320" t="s">
        <v>69</v>
      </c>
      <c r="L320" t="s">
        <v>1044</v>
      </c>
      <c r="M320" t="s">
        <v>71</v>
      </c>
      <c r="N320" t="s">
        <v>100</v>
      </c>
      <c r="O320" t="s">
        <v>980</v>
      </c>
      <c r="P320" t="s">
        <v>981</v>
      </c>
      <c r="R320" t="s">
        <v>982</v>
      </c>
      <c r="S320" t="s">
        <v>165</v>
      </c>
      <c r="T320" t="s">
        <v>76</v>
      </c>
      <c r="U320" t="s">
        <v>104</v>
      </c>
      <c r="V320" t="s">
        <v>292</v>
      </c>
      <c r="W320">
        <v>490</v>
      </c>
      <c r="X320">
        <v>22.99</v>
      </c>
      <c r="Y320">
        <v>60</v>
      </c>
      <c r="Z320">
        <v>355000</v>
      </c>
      <c r="AA320">
        <v>93100</v>
      </c>
      <c r="AB320">
        <v>142</v>
      </c>
      <c r="AD320" t="s">
        <v>238</v>
      </c>
      <c r="AE320">
        <v>1</v>
      </c>
      <c r="AF320">
        <v>0</v>
      </c>
      <c r="AG320" t="s">
        <v>1231</v>
      </c>
      <c r="AI320">
        <v>35</v>
      </c>
      <c r="AJ320">
        <v>50</v>
      </c>
      <c r="AK320">
        <v>95</v>
      </c>
      <c r="AL320">
        <v>190</v>
      </c>
      <c r="AM320">
        <v>95</v>
      </c>
      <c r="AN320">
        <v>0</v>
      </c>
      <c r="AO320">
        <v>95</v>
      </c>
      <c r="AP320" t="s">
        <v>80</v>
      </c>
      <c r="AQ320" t="s">
        <v>630</v>
      </c>
      <c r="AR320" t="s">
        <v>86</v>
      </c>
      <c r="AS320" t="s">
        <v>240</v>
      </c>
      <c r="AT320" t="s">
        <v>240</v>
      </c>
      <c r="AU320" t="s">
        <v>240</v>
      </c>
      <c r="AV320" t="s">
        <v>81</v>
      </c>
      <c r="AW320" t="s">
        <v>69</v>
      </c>
      <c r="AX320" t="s">
        <v>126</v>
      </c>
      <c r="AY320" t="s">
        <v>1045</v>
      </c>
      <c r="AZ320" t="s">
        <v>245</v>
      </c>
      <c r="BA320" t="s">
        <v>244</v>
      </c>
      <c r="BB320" t="s">
        <v>264</v>
      </c>
      <c r="BC320" t="s">
        <v>244</v>
      </c>
      <c r="BD320" t="s">
        <v>1232</v>
      </c>
      <c r="BE320" t="s">
        <v>1233</v>
      </c>
      <c r="BF320" t="s">
        <v>86</v>
      </c>
      <c r="BG320" t="s">
        <v>150</v>
      </c>
      <c r="BH320" t="str">
        <f>IF(COUNTIF(工作表1!A:A, $C320)&gt;0, "預購款", "非預購款")</f>
        <v>非預購款</v>
      </c>
    </row>
    <row r="321" spans="1:60" x14ac:dyDescent="0.25">
      <c r="A321" t="s">
        <v>1039</v>
      </c>
      <c r="B321" t="s">
        <v>283</v>
      </c>
      <c r="C321" t="s">
        <v>1040</v>
      </c>
      <c r="D321" t="s">
        <v>1041</v>
      </c>
      <c r="E321" t="s">
        <v>1042</v>
      </c>
      <c r="F321" t="s">
        <v>160</v>
      </c>
      <c r="G321" t="s">
        <v>1043</v>
      </c>
      <c r="H321" t="s">
        <v>130</v>
      </c>
      <c r="I321" t="s">
        <v>422</v>
      </c>
      <c r="J321" t="s">
        <v>423</v>
      </c>
      <c r="K321" t="s">
        <v>69</v>
      </c>
      <c r="L321" t="s">
        <v>1044</v>
      </c>
      <c r="M321" t="s">
        <v>71</v>
      </c>
      <c r="N321" t="s">
        <v>100</v>
      </c>
      <c r="O321" t="s">
        <v>980</v>
      </c>
      <c r="P321" t="s">
        <v>981</v>
      </c>
      <c r="R321" t="s">
        <v>982</v>
      </c>
      <c r="S321" t="s">
        <v>165</v>
      </c>
      <c r="T321" t="s">
        <v>76</v>
      </c>
      <c r="U321" t="s">
        <v>104</v>
      </c>
      <c r="V321" t="s">
        <v>292</v>
      </c>
      <c r="W321">
        <v>490</v>
      </c>
      <c r="X321">
        <v>22.99</v>
      </c>
      <c r="Y321">
        <v>60</v>
      </c>
      <c r="Z321">
        <v>355000</v>
      </c>
      <c r="AA321">
        <v>93100</v>
      </c>
      <c r="AB321">
        <v>142</v>
      </c>
      <c r="AD321" t="s">
        <v>238</v>
      </c>
      <c r="AE321">
        <v>1</v>
      </c>
      <c r="AF321">
        <v>0</v>
      </c>
      <c r="AG321" t="s">
        <v>310</v>
      </c>
      <c r="AI321">
        <v>30</v>
      </c>
      <c r="AJ321">
        <v>30</v>
      </c>
      <c r="AK321">
        <v>65</v>
      </c>
      <c r="AL321">
        <v>190</v>
      </c>
      <c r="AM321">
        <v>64</v>
      </c>
      <c r="AN321">
        <v>0</v>
      </c>
      <c r="AO321">
        <v>64</v>
      </c>
      <c r="AP321" t="s">
        <v>80</v>
      </c>
      <c r="AQ321" t="s">
        <v>630</v>
      </c>
      <c r="AR321" t="s">
        <v>86</v>
      </c>
      <c r="AS321" t="s">
        <v>240</v>
      </c>
      <c r="AT321" t="s">
        <v>240</v>
      </c>
      <c r="AU321" t="s">
        <v>240</v>
      </c>
      <c r="AV321" t="s">
        <v>81</v>
      </c>
      <c r="AW321" t="s">
        <v>69</v>
      </c>
      <c r="AX321" t="s">
        <v>126</v>
      </c>
      <c r="AY321" t="s">
        <v>1045</v>
      </c>
      <c r="AZ321" t="s">
        <v>245</v>
      </c>
      <c r="BA321" t="s">
        <v>244</v>
      </c>
      <c r="BB321" t="s">
        <v>264</v>
      </c>
      <c r="BC321" t="s">
        <v>244</v>
      </c>
      <c r="BD321" t="s">
        <v>1234</v>
      </c>
      <c r="BE321" t="s">
        <v>1233</v>
      </c>
      <c r="BF321" t="s">
        <v>86</v>
      </c>
      <c r="BG321" t="s">
        <v>150</v>
      </c>
      <c r="BH321" t="str">
        <f>IF(COUNTIF(工作表1!A:A, $C321)&gt;0, "預購款", "非預購款")</f>
        <v>非預購款</v>
      </c>
    </row>
    <row r="322" spans="1:60" x14ac:dyDescent="0.25">
      <c r="A322" t="s">
        <v>1039</v>
      </c>
      <c r="B322" t="s">
        <v>283</v>
      </c>
      <c r="C322" t="s">
        <v>1040</v>
      </c>
      <c r="D322" t="s">
        <v>1041</v>
      </c>
      <c r="E322" t="s">
        <v>1042</v>
      </c>
      <c r="F322" t="s">
        <v>160</v>
      </c>
      <c r="G322" t="s">
        <v>1043</v>
      </c>
      <c r="H322" t="s">
        <v>132</v>
      </c>
      <c r="I322" t="s">
        <v>422</v>
      </c>
      <c r="J322" t="s">
        <v>423</v>
      </c>
      <c r="K322" t="s">
        <v>69</v>
      </c>
      <c r="L322" t="s">
        <v>1044</v>
      </c>
      <c r="M322" t="s">
        <v>71</v>
      </c>
      <c r="N322" t="s">
        <v>100</v>
      </c>
      <c r="O322" t="s">
        <v>980</v>
      </c>
      <c r="P322" t="s">
        <v>981</v>
      </c>
      <c r="R322" t="s">
        <v>982</v>
      </c>
      <c r="S322" t="s">
        <v>165</v>
      </c>
      <c r="T322" t="s">
        <v>76</v>
      </c>
      <c r="U322" t="s">
        <v>104</v>
      </c>
      <c r="V322" t="s">
        <v>292</v>
      </c>
      <c r="W322">
        <v>490</v>
      </c>
      <c r="X322">
        <v>22.99</v>
      </c>
      <c r="Y322">
        <v>60</v>
      </c>
      <c r="Z322">
        <v>355000</v>
      </c>
      <c r="AA322">
        <v>93100</v>
      </c>
      <c r="AB322">
        <v>142</v>
      </c>
      <c r="AD322" t="s">
        <v>238</v>
      </c>
      <c r="AE322">
        <v>1</v>
      </c>
      <c r="AF322">
        <v>0</v>
      </c>
      <c r="AI322">
        <v>20</v>
      </c>
      <c r="AJ322">
        <v>10</v>
      </c>
      <c r="AK322">
        <v>30</v>
      </c>
      <c r="AL322">
        <v>190</v>
      </c>
      <c r="AM322">
        <v>34</v>
      </c>
      <c r="AN322">
        <v>0</v>
      </c>
      <c r="AO322">
        <v>32</v>
      </c>
      <c r="AP322" t="s">
        <v>80</v>
      </c>
      <c r="AQ322" t="s">
        <v>630</v>
      </c>
      <c r="AR322" t="s">
        <v>86</v>
      </c>
      <c r="AS322" t="s">
        <v>240</v>
      </c>
      <c r="AT322" t="s">
        <v>240</v>
      </c>
      <c r="AU322" t="s">
        <v>240</v>
      </c>
      <c r="AV322" t="s">
        <v>81</v>
      </c>
      <c r="AW322" t="s">
        <v>69</v>
      </c>
      <c r="AX322" t="s">
        <v>126</v>
      </c>
      <c r="AY322" t="s">
        <v>1045</v>
      </c>
      <c r="AZ322" t="s">
        <v>245</v>
      </c>
      <c r="BA322" t="s">
        <v>244</v>
      </c>
      <c r="BB322" t="s">
        <v>264</v>
      </c>
      <c r="BC322" t="s">
        <v>244</v>
      </c>
      <c r="BD322" t="s">
        <v>1235</v>
      </c>
      <c r="BE322" t="s">
        <v>1233</v>
      </c>
      <c r="BF322" t="s">
        <v>86</v>
      </c>
      <c r="BG322" t="s">
        <v>150</v>
      </c>
      <c r="BH322" t="str">
        <f>IF(COUNTIF(工作表1!A:A, $C322)&gt;0, "預購款", "非預購款")</f>
        <v>非預購款</v>
      </c>
    </row>
    <row r="323" spans="1:60" x14ac:dyDescent="0.25">
      <c r="A323" t="s">
        <v>1236</v>
      </c>
      <c r="B323" t="s">
        <v>283</v>
      </c>
      <c r="C323" t="s">
        <v>1237</v>
      </c>
      <c r="D323" t="s">
        <v>1238</v>
      </c>
      <c r="E323" t="s">
        <v>1239</v>
      </c>
      <c r="F323" t="s">
        <v>160</v>
      </c>
      <c r="G323" t="s">
        <v>1240</v>
      </c>
      <c r="H323" t="s">
        <v>119</v>
      </c>
      <c r="I323" t="s">
        <v>97</v>
      </c>
      <c r="J323" t="s">
        <v>98</v>
      </c>
      <c r="K323" t="s">
        <v>69</v>
      </c>
      <c r="L323" t="s">
        <v>1241</v>
      </c>
      <c r="M323" t="s">
        <v>71</v>
      </c>
      <c r="N323" t="s">
        <v>100</v>
      </c>
      <c r="O323" t="s">
        <v>1136</v>
      </c>
      <c r="P323" t="s">
        <v>1137</v>
      </c>
      <c r="R323" t="s">
        <v>1138</v>
      </c>
      <c r="S323" t="s">
        <v>165</v>
      </c>
      <c r="T323" t="s">
        <v>76</v>
      </c>
      <c r="U323" t="s">
        <v>104</v>
      </c>
      <c r="V323" t="s">
        <v>653</v>
      </c>
      <c r="W323">
        <v>490</v>
      </c>
      <c r="X323">
        <v>22.99</v>
      </c>
      <c r="Y323">
        <v>60</v>
      </c>
      <c r="Z323">
        <v>355000</v>
      </c>
      <c r="AA323">
        <v>419440</v>
      </c>
      <c r="AB323">
        <v>178</v>
      </c>
      <c r="AD323" t="s">
        <v>238</v>
      </c>
      <c r="AE323">
        <v>2</v>
      </c>
      <c r="AF323">
        <v>15</v>
      </c>
      <c r="AI323">
        <v>20</v>
      </c>
      <c r="AJ323">
        <v>235</v>
      </c>
      <c r="AK323">
        <v>270</v>
      </c>
      <c r="AL323">
        <v>856</v>
      </c>
      <c r="AM323">
        <v>272</v>
      </c>
      <c r="AN323">
        <v>0</v>
      </c>
      <c r="AO323">
        <v>272</v>
      </c>
      <c r="AP323" t="s">
        <v>80</v>
      </c>
      <c r="AQ323" t="s">
        <v>624</v>
      </c>
      <c r="AR323" t="s">
        <v>261</v>
      </c>
      <c r="AS323" t="s">
        <v>261</v>
      </c>
      <c r="AT323" t="s">
        <v>261</v>
      </c>
      <c r="AU323" t="s">
        <v>261</v>
      </c>
      <c r="AV323" t="s">
        <v>1033</v>
      </c>
      <c r="AW323" t="s">
        <v>69</v>
      </c>
      <c r="AX323" t="s">
        <v>218</v>
      </c>
      <c r="AY323" t="s">
        <v>1242</v>
      </c>
      <c r="AZ323" t="s">
        <v>243</v>
      </c>
      <c r="BA323" t="s">
        <v>244</v>
      </c>
      <c r="BB323" t="s">
        <v>244</v>
      </c>
      <c r="BC323" t="s">
        <v>244</v>
      </c>
      <c r="BD323" t="s">
        <v>1243</v>
      </c>
      <c r="BE323" t="s">
        <v>1244</v>
      </c>
      <c r="BF323" t="s">
        <v>786</v>
      </c>
      <c r="BG323" t="s">
        <v>110</v>
      </c>
      <c r="BH323" t="str">
        <f>IF(COUNTIF(工作表1!A:A, $C323)&gt;0, "預購款", "非預購款")</f>
        <v>非預購款</v>
      </c>
    </row>
    <row r="324" spans="1:60" x14ac:dyDescent="0.25">
      <c r="A324" t="s">
        <v>1236</v>
      </c>
      <c r="B324" t="s">
        <v>283</v>
      </c>
      <c r="C324" t="s">
        <v>1237</v>
      </c>
      <c r="D324" t="s">
        <v>1238</v>
      </c>
      <c r="E324" t="s">
        <v>1239</v>
      </c>
      <c r="F324" t="s">
        <v>160</v>
      </c>
      <c r="G324" t="s">
        <v>1240</v>
      </c>
      <c r="H324" t="s">
        <v>130</v>
      </c>
      <c r="I324" t="s">
        <v>97</v>
      </c>
      <c r="J324" t="s">
        <v>98</v>
      </c>
      <c r="K324" t="s">
        <v>69</v>
      </c>
      <c r="L324" t="s">
        <v>1241</v>
      </c>
      <c r="M324" t="s">
        <v>71</v>
      </c>
      <c r="N324" t="s">
        <v>100</v>
      </c>
      <c r="O324" t="s">
        <v>1136</v>
      </c>
      <c r="P324" t="s">
        <v>1137</v>
      </c>
      <c r="R324" t="s">
        <v>1138</v>
      </c>
      <c r="S324" t="s">
        <v>165</v>
      </c>
      <c r="T324" t="s">
        <v>76</v>
      </c>
      <c r="U324" t="s">
        <v>104</v>
      </c>
      <c r="V324" t="s">
        <v>653</v>
      </c>
      <c r="W324">
        <v>490</v>
      </c>
      <c r="X324">
        <v>22.99</v>
      </c>
      <c r="Y324">
        <v>60</v>
      </c>
      <c r="Z324">
        <v>355000</v>
      </c>
      <c r="AA324">
        <v>419440</v>
      </c>
      <c r="AB324">
        <v>178</v>
      </c>
      <c r="AD324" t="s">
        <v>238</v>
      </c>
      <c r="AE324">
        <v>2</v>
      </c>
      <c r="AF324">
        <v>10</v>
      </c>
      <c r="AI324">
        <v>20</v>
      </c>
      <c r="AJ324">
        <v>140</v>
      </c>
      <c r="AK324">
        <v>170</v>
      </c>
      <c r="AL324">
        <v>856</v>
      </c>
      <c r="AM324">
        <v>174</v>
      </c>
      <c r="AN324">
        <v>0</v>
      </c>
      <c r="AO324">
        <v>174</v>
      </c>
      <c r="AP324" t="s">
        <v>80</v>
      </c>
      <c r="AQ324" t="s">
        <v>624</v>
      </c>
      <c r="AR324" t="s">
        <v>261</v>
      </c>
      <c r="AS324" t="s">
        <v>261</v>
      </c>
      <c r="AT324" t="s">
        <v>261</v>
      </c>
      <c r="AU324" t="s">
        <v>261</v>
      </c>
      <c r="AV324" t="s">
        <v>1033</v>
      </c>
      <c r="AW324" t="s">
        <v>69</v>
      </c>
      <c r="AX324" t="s">
        <v>218</v>
      </c>
      <c r="AY324" t="s">
        <v>1242</v>
      </c>
      <c r="AZ324" t="s">
        <v>243</v>
      </c>
      <c r="BA324" t="s">
        <v>244</v>
      </c>
      <c r="BB324" t="s">
        <v>244</v>
      </c>
      <c r="BC324" t="s">
        <v>244</v>
      </c>
      <c r="BD324" t="s">
        <v>1245</v>
      </c>
      <c r="BE324" t="s">
        <v>1244</v>
      </c>
      <c r="BF324" t="s">
        <v>786</v>
      </c>
      <c r="BG324" t="s">
        <v>110</v>
      </c>
      <c r="BH324" t="str">
        <f>IF(COUNTIF(工作表1!A:A, $C324)&gt;0, "預購款", "非預購款")</f>
        <v>非預購款</v>
      </c>
    </row>
    <row r="325" spans="1:60" x14ac:dyDescent="0.25">
      <c r="A325" t="s">
        <v>1236</v>
      </c>
      <c r="B325" t="s">
        <v>283</v>
      </c>
      <c r="C325" t="s">
        <v>1237</v>
      </c>
      <c r="D325" t="s">
        <v>1238</v>
      </c>
      <c r="E325" t="s">
        <v>1239</v>
      </c>
      <c r="F325" t="s">
        <v>160</v>
      </c>
      <c r="G325" t="s">
        <v>1240</v>
      </c>
      <c r="H325" t="s">
        <v>132</v>
      </c>
      <c r="I325" t="s">
        <v>97</v>
      </c>
      <c r="J325" t="s">
        <v>98</v>
      </c>
      <c r="K325" t="s">
        <v>69</v>
      </c>
      <c r="L325" t="s">
        <v>1241</v>
      </c>
      <c r="M325" t="s">
        <v>71</v>
      </c>
      <c r="N325" t="s">
        <v>100</v>
      </c>
      <c r="O325" t="s">
        <v>1136</v>
      </c>
      <c r="P325" t="s">
        <v>1137</v>
      </c>
      <c r="R325" t="s">
        <v>1138</v>
      </c>
      <c r="S325" t="s">
        <v>165</v>
      </c>
      <c r="T325" t="s">
        <v>76</v>
      </c>
      <c r="U325" t="s">
        <v>104</v>
      </c>
      <c r="V325" t="s">
        <v>653</v>
      </c>
      <c r="W325">
        <v>490</v>
      </c>
      <c r="X325">
        <v>22.99</v>
      </c>
      <c r="Y325">
        <v>60</v>
      </c>
      <c r="Z325">
        <v>355000</v>
      </c>
      <c r="AA325">
        <v>419440</v>
      </c>
      <c r="AB325">
        <v>178</v>
      </c>
      <c r="AD325" t="s">
        <v>238</v>
      </c>
      <c r="AE325">
        <v>2</v>
      </c>
      <c r="AF325">
        <v>0</v>
      </c>
      <c r="AI325">
        <v>20</v>
      </c>
      <c r="AJ325">
        <v>50</v>
      </c>
      <c r="AK325">
        <v>70</v>
      </c>
      <c r="AL325">
        <v>856</v>
      </c>
      <c r="AM325">
        <v>70</v>
      </c>
      <c r="AN325">
        <v>0</v>
      </c>
      <c r="AO325">
        <v>70</v>
      </c>
      <c r="AP325" t="s">
        <v>80</v>
      </c>
      <c r="AQ325" t="s">
        <v>624</v>
      </c>
      <c r="AR325" t="s">
        <v>261</v>
      </c>
      <c r="AS325" t="s">
        <v>261</v>
      </c>
      <c r="AT325" t="s">
        <v>261</v>
      </c>
      <c r="AU325" t="s">
        <v>261</v>
      </c>
      <c r="AV325" t="s">
        <v>1033</v>
      </c>
      <c r="AW325" t="s">
        <v>69</v>
      </c>
      <c r="AX325" t="s">
        <v>218</v>
      </c>
      <c r="AY325" t="s">
        <v>1242</v>
      </c>
      <c r="AZ325" t="s">
        <v>243</v>
      </c>
      <c r="BA325" t="s">
        <v>244</v>
      </c>
      <c r="BB325" t="s">
        <v>244</v>
      </c>
      <c r="BC325" t="s">
        <v>244</v>
      </c>
      <c r="BD325" t="s">
        <v>1246</v>
      </c>
      <c r="BE325" t="s">
        <v>1244</v>
      </c>
      <c r="BF325" t="s">
        <v>786</v>
      </c>
      <c r="BG325" t="s">
        <v>110</v>
      </c>
      <c r="BH325" t="str">
        <f>IF(COUNTIF(工作表1!A:A, $C325)&gt;0, "預購款", "非預購款")</f>
        <v>非預購款</v>
      </c>
    </row>
    <row r="326" spans="1:60" x14ac:dyDescent="0.25">
      <c r="A326" t="s">
        <v>1236</v>
      </c>
      <c r="B326" t="s">
        <v>283</v>
      </c>
      <c r="C326" t="s">
        <v>1237</v>
      </c>
      <c r="D326" t="s">
        <v>1238</v>
      </c>
      <c r="E326" t="s">
        <v>1239</v>
      </c>
      <c r="F326" t="s">
        <v>160</v>
      </c>
      <c r="G326" t="s">
        <v>1240</v>
      </c>
      <c r="H326" t="s">
        <v>119</v>
      </c>
      <c r="I326" t="s">
        <v>214</v>
      </c>
      <c r="J326" t="s">
        <v>215</v>
      </c>
      <c r="K326" t="s">
        <v>69</v>
      </c>
      <c r="L326" t="s">
        <v>1241</v>
      </c>
      <c r="M326" t="s">
        <v>71</v>
      </c>
      <c r="N326" t="s">
        <v>100</v>
      </c>
      <c r="O326" t="s">
        <v>1136</v>
      </c>
      <c r="P326" t="s">
        <v>1137</v>
      </c>
      <c r="R326" t="s">
        <v>1138</v>
      </c>
      <c r="S326" t="s">
        <v>165</v>
      </c>
      <c r="T326" t="s">
        <v>76</v>
      </c>
      <c r="U326" t="s">
        <v>104</v>
      </c>
      <c r="V326" t="s">
        <v>653</v>
      </c>
      <c r="W326">
        <v>490</v>
      </c>
      <c r="X326">
        <v>22.99</v>
      </c>
      <c r="Y326">
        <v>60</v>
      </c>
      <c r="Z326">
        <v>355000</v>
      </c>
      <c r="AA326">
        <v>419440</v>
      </c>
      <c r="AB326">
        <v>178</v>
      </c>
      <c r="AD326" t="s">
        <v>238</v>
      </c>
      <c r="AE326">
        <v>2</v>
      </c>
      <c r="AF326">
        <v>10</v>
      </c>
      <c r="AI326">
        <v>20</v>
      </c>
      <c r="AJ326">
        <v>140</v>
      </c>
      <c r="AK326">
        <v>170</v>
      </c>
      <c r="AL326">
        <v>856</v>
      </c>
      <c r="AM326">
        <v>172</v>
      </c>
      <c r="AN326">
        <v>0</v>
      </c>
      <c r="AO326">
        <v>172</v>
      </c>
      <c r="AP326" t="s">
        <v>80</v>
      </c>
      <c r="AQ326" t="s">
        <v>624</v>
      </c>
      <c r="AR326" t="s">
        <v>261</v>
      </c>
      <c r="AS326" t="s">
        <v>261</v>
      </c>
      <c r="AT326" t="s">
        <v>261</v>
      </c>
      <c r="AU326" t="s">
        <v>261</v>
      </c>
      <c r="AV326" t="s">
        <v>1033</v>
      </c>
      <c r="AW326" t="s">
        <v>69</v>
      </c>
      <c r="AX326" t="s">
        <v>218</v>
      </c>
      <c r="AY326" t="s">
        <v>1242</v>
      </c>
      <c r="AZ326" t="s">
        <v>243</v>
      </c>
      <c r="BA326" t="s">
        <v>244</v>
      </c>
      <c r="BB326" t="s">
        <v>244</v>
      </c>
      <c r="BC326" t="s">
        <v>244</v>
      </c>
      <c r="BD326" t="s">
        <v>1247</v>
      </c>
      <c r="BE326" t="s">
        <v>1244</v>
      </c>
      <c r="BF326" t="s">
        <v>786</v>
      </c>
      <c r="BG326" t="s">
        <v>110</v>
      </c>
      <c r="BH326" t="str">
        <f>IF(COUNTIF(工作表1!A:A, $C326)&gt;0, "預購款", "非預購款")</f>
        <v>非預購款</v>
      </c>
    </row>
    <row r="327" spans="1:60" x14ac:dyDescent="0.25">
      <c r="A327" t="s">
        <v>1236</v>
      </c>
      <c r="B327" t="s">
        <v>283</v>
      </c>
      <c r="C327" t="s">
        <v>1237</v>
      </c>
      <c r="D327" t="s">
        <v>1238</v>
      </c>
      <c r="E327" t="s">
        <v>1239</v>
      </c>
      <c r="F327" t="s">
        <v>160</v>
      </c>
      <c r="G327" t="s">
        <v>1240</v>
      </c>
      <c r="H327" t="s">
        <v>130</v>
      </c>
      <c r="I327" t="s">
        <v>214</v>
      </c>
      <c r="J327" t="s">
        <v>215</v>
      </c>
      <c r="K327" t="s">
        <v>69</v>
      </c>
      <c r="L327" t="s">
        <v>1241</v>
      </c>
      <c r="M327" t="s">
        <v>71</v>
      </c>
      <c r="N327" t="s">
        <v>100</v>
      </c>
      <c r="O327" t="s">
        <v>1136</v>
      </c>
      <c r="P327" t="s">
        <v>1137</v>
      </c>
      <c r="R327" t="s">
        <v>1138</v>
      </c>
      <c r="S327" t="s">
        <v>165</v>
      </c>
      <c r="T327" t="s">
        <v>76</v>
      </c>
      <c r="U327" t="s">
        <v>104</v>
      </c>
      <c r="V327" t="s">
        <v>653</v>
      </c>
      <c r="W327">
        <v>490</v>
      </c>
      <c r="X327">
        <v>22.99</v>
      </c>
      <c r="Y327">
        <v>60</v>
      </c>
      <c r="Z327">
        <v>355000</v>
      </c>
      <c r="AA327">
        <v>419440</v>
      </c>
      <c r="AB327">
        <v>178</v>
      </c>
      <c r="AD327" t="s">
        <v>238</v>
      </c>
      <c r="AE327">
        <v>2</v>
      </c>
      <c r="AF327">
        <v>6</v>
      </c>
      <c r="AI327">
        <v>20</v>
      </c>
      <c r="AJ327">
        <v>100</v>
      </c>
      <c r="AK327">
        <v>126</v>
      </c>
      <c r="AL327">
        <v>856</v>
      </c>
      <c r="AM327">
        <v>126</v>
      </c>
      <c r="AN327">
        <v>0</v>
      </c>
      <c r="AO327">
        <v>126</v>
      </c>
      <c r="AP327" t="s">
        <v>80</v>
      </c>
      <c r="AQ327" t="s">
        <v>624</v>
      </c>
      <c r="AR327" t="s">
        <v>261</v>
      </c>
      <c r="AS327" t="s">
        <v>261</v>
      </c>
      <c r="AT327" t="s">
        <v>261</v>
      </c>
      <c r="AU327" t="s">
        <v>261</v>
      </c>
      <c r="AV327" t="s">
        <v>1033</v>
      </c>
      <c r="AW327" t="s">
        <v>69</v>
      </c>
      <c r="AX327" t="s">
        <v>218</v>
      </c>
      <c r="AY327" t="s">
        <v>1242</v>
      </c>
      <c r="AZ327" t="s">
        <v>243</v>
      </c>
      <c r="BA327" t="s">
        <v>244</v>
      </c>
      <c r="BB327" t="s">
        <v>244</v>
      </c>
      <c r="BC327" t="s">
        <v>244</v>
      </c>
      <c r="BD327" t="s">
        <v>1248</v>
      </c>
      <c r="BE327" t="s">
        <v>1244</v>
      </c>
      <c r="BF327" t="s">
        <v>786</v>
      </c>
      <c r="BG327" t="s">
        <v>110</v>
      </c>
      <c r="BH327" t="str">
        <f>IF(COUNTIF(工作表1!A:A, $C327)&gt;0, "預購款", "非預購款")</f>
        <v>非預購款</v>
      </c>
    </row>
    <row r="328" spans="1:60" x14ac:dyDescent="0.25">
      <c r="A328" t="s">
        <v>1236</v>
      </c>
      <c r="B328" t="s">
        <v>283</v>
      </c>
      <c r="C328" t="s">
        <v>1237</v>
      </c>
      <c r="D328" t="s">
        <v>1238</v>
      </c>
      <c r="E328" t="s">
        <v>1239</v>
      </c>
      <c r="F328" t="s">
        <v>160</v>
      </c>
      <c r="G328" t="s">
        <v>1240</v>
      </c>
      <c r="H328" t="s">
        <v>132</v>
      </c>
      <c r="I328" t="s">
        <v>214</v>
      </c>
      <c r="J328" t="s">
        <v>215</v>
      </c>
      <c r="K328" t="s">
        <v>69</v>
      </c>
      <c r="L328" t="s">
        <v>1241</v>
      </c>
      <c r="M328" t="s">
        <v>71</v>
      </c>
      <c r="N328" t="s">
        <v>100</v>
      </c>
      <c r="O328" t="s">
        <v>1136</v>
      </c>
      <c r="P328" t="s">
        <v>1137</v>
      </c>
      <c r="R328" t="s">
        <v>1138</v>
      </c>
      <c r="S328" t="s">
        <v>165</v>
      </c>
      <c r="T328" t="s">
        <v>76</v>
      </c>
      <c r="U328" t="s">
        <v>104</v>
      </c>
      <c r="V328" t="s">
        <v>653</v>
      </c>
      <c r="W328">
        <v>490</v>
      </c>
      <c r="X328">
        <v>22.99</v>
      </c>
      <c r="Y328">
        <v>60</v>
      </c>
      <c r="Z328">
        <v>355000</v>
      </c>
      <c r="AA328">
        <v>419440</v>
      </c>
      <c r="AB328">
        <v>178</v>
      </c>
      <c r="AD328" t="s">
        <v>238</v>
      </c>
      <c r="AE328">
        <v>2</v>
      </c>
      <c r="AF328">
        <v>0</v>
      </c>
      <c r="AI328">
        <v>20</v>
      </c>
      <c r="AJ328">
        <v>30</v>
      </c>
      <c r="AK328">
        <v>50</v>
      </c>
      <c r="AL328">
        <v>856</v>
      </c>
      <c r="AM328">
        <v>50</v>
      </c>
      <c r="AN328">
        <v>0</v>
      </c>
      <c r="AO328">
        <v>50</v>
      </c>
      <c r="AP328" t="s">
        <v>80</v>
      </c>
      <c r="AQ328" t="s">
        <v>624</v>
      </c>
      <c r="AR328" t="s">
        <v>261</v>
      </c>
      <c r="AS328" t="s">
        <v>261</v>
      </c>
      <c r="AT328" t="s">
        <v>261</v>
      </c>
      <c r="AU328" t="s">
        <v>261</v>
      </c>
      <c r="AV328" t="s">
        <v>1033</v>
      </c>
      <c r="AW328" t="s">
        <v>69</v>
      </c>
      <c r="AX328" t="s">
        <v>218</v>
      </c>
      <c r="AY328" t="s">
        <v>1242</v>
      </c>
      <c r="AZ328" t="s">
        <v>243</v>
      </c>
      <c r="BA328" t="s">
        <v>244</v>
      </c>
      <c r="BB328" t="s">
        <v>244</v>
      </c>
      <c r="BC328" t="s">
        <v>244</v>
      </c>
      <c r="BD328" t="s">
        <v>1249</v>
      </c>
      <c r="BE328" t="s">
        <v>1244</v>
      </c>
      <c r="BF328" t="s">
        <v>786</v>
      </c>
      <c r="BG328" t="s">
        <v>110</v>
      </c>
      <c r="BH328" t="str">
        <f>IF(COUNTIF(工作表1!A:A, $C328)&gt;0, "預購款", "非預購款")</f>
        <v>非預購款</v>
      </c>
    </row>
    <row r="329" spans="1:60" x14ac:dyDescent="0.25">
      <c r="A329" t="s">
        <v>1250</v>
      </c>
      <c r="B329" t="s">
        <v>315</v>
      </c>
      <c r="C329" t="s">
        <v>1251</v>
      </c>
      <c r="D329" t="s">
        <v>1252</v>
      </c>
      <c r="E329" t="s">
        <v>1253</v>
      </c>
      <c r="F329" t="s">
        <v>160</v>
      </c>
      <c r="G329" t="s">
        <v>1254</v>
      </c>
      <c r="H329" t="s">
        <v>119</v>
      </c>
      <c r="I329" t="s">
        <v>422</v>
      </c>
      <c r="J329" t="s">
        <v>423</v>
      </c>
      <c r="K329" t="s">
        <v>69</v>
      </c>
      <c r="L329" t="s">
        <v>1255</v>
      </c>
      <c r="M329" t="s">
        <v>71</v>
      </c>
      <c r="N329" t="s">
        <v>100</v>
      </c>
      <c r="O329" t="s">
        <v>980</v>
      </c>
      <c r="P329" t="s">
        <v>981</v>
      </c>
      <c r="R329" t="s">
        <v>982</v>
      </c>
      <c r="S329" t="s">
        <v>165</v>
      </c>
      <c r="T329" t="s">
        <v>291</v>
      </c>
      <c r="U329" t="s">
        <v>77</v>
      </c>
      <c r="V329" t="s">
        <v>77</v>
      </c>
      <c r="W329">
        <v>1280</v>
      </c>
      <c r="X329">
        <v>49.99</v>
      </c>
      <c r="Y329">
        <v>169</v>
      </c>
      <c r="Z329">
        <v>919000</v>
      </c>
      <c r="AA329">
        <v>160000</v>
      </c>
      <c r="AB329">
        <v>530</v>
      </c>
      <c r="AD329" t="s">
        <v>238</v>
      </c>
      <c r="AE329">
        <v>1</v>
      </c>
      <c r="AF329">
        <v>0</v>
      </c>
      <c r="AI329">
        <v>10</v>
      </c>
      <c r="AJ329">
        <v>40</v>
      </c>
      <c r="AK329">
        <v>50</v>
      </c>
      <c r="AL329">
        <v>125</v>
      </c>
      <c r="AM329">
        <v>55</v>
      </c>
      <c r="AN329">
        <v>0</v>
      </c>
      <c r="AO329">
        <v>55</v>
      </c>
      <c r="AP329" t="s">
        <v>80</v>
      </c>
      <c r="AQ329" t="s">
        <v>167</v>
      </c>
      <c r="AT329" t="s">
        <v>86</v>
      </c>
      <c r="AU329" t="s">
        <v>86</v>
      </c>
      <c r="AV329" t="s">
        <v>1256</v>
      </c>
      <c r="AW329" t="s">
        <v>69</v>
      </c>
      <c r="AX329" t="s">
        <v>126</v>
      </c>
      <c r="AY329" t="s">
        <v>1257</v>
      </c>
      <c r="AZ329" t="s">
        <v>264</v>
      </c>
      <c r="BA329" t="s">
        <v>245</v>
      </c>
      <c r="BB329" t="s">
        <v>243</v>
      </c>
      <c r="BC329" t="s">
        <v>245</v>
      </c>
      <c r="BD329" t="s">
        <v>1258</v>
      </c>
      <c r="BE329" t="s">
        <v>1259</v>
      </c>
      <c r="BF329" t="s">
        <v>291</v>
      </c>
      <c r="BG329" t="s">
        <v>110</v>
      </c>
      <c r="BH329" t="str">
        <f>IF(COUNTIF(工作表1!A:A, $C329)&gt;0, "預購款", "非預購款")</f>
        <v>非預購款</v>
      </c>
    </row>
    <row r="330" spans="1:60" x14ac:dyDescent="0.25">
      <c r="A330" t="s">
        <v>1250</v>
      </c>
      <c r="B330" t="s">
        <v>315</v>
      </c>
      <c r="C330" t="s">
        <v>1251</v>
      </c>
      <c r="D330" t="s">
        <v>1252</v>
      </c>
      <c r="E330" t="s">
        <v>1253</v>
      </c>
      <c r="F330" t="s">
        <v>160</v>
      </c>
      <c r="G330" t="s">
        <v>1254</v>
      </c>
      <c r="H330" t="s">
        <v>130</v>
      </c>
      <c r="I330" t="s">
        <v>422</v>
      </c>
      <c r="J330" t="s">
        <v>423</v>
      </c>
      <c r="K330" t="s">
        <v>69</v>
      </c>
      <c r="L330" t="s">
        <v>1255</v>
      </c>
      <c r="M330" t="s">
        <v>71</v>
      </c>
      <c r="N330" t="s">
        <v>100</v>
      </c>
      <c r="O330" t="s">
        <v>980</v>
      </c>
      <c r="P330" t="s">
        <v>981</v>
      </c>
      <c r="R330" t="s">
        <v>982</v>
      </c>
      <c r="S330" t="s">
        <v>165</v>
      </c>
      <c r="T330" t="s">
        <v>291</v>
      </c>
      <c r="U330" t="s">
        <v>77</v>
      </c>
      <c r="V330" t="s">
        <v>77</v>
      </c>
      <c r="W330">
        <v>1280</v>
      </c>
      <c r="X330">
        <v>49.99</v>
      </c>
      <c r="Y330">
        <v>169</v>
      </c>
      <c r="Z330">
        <v>919000</v>
      </c>
      <c r="AA330">
        <v>160000</v>
      </c>
      <c r="AB330">
        <v>530</v>
      </c>
      <c r="AD330" t="s">
        <v>238</v>
      </c>
      <c r="AE330">
        <v>1</v>
      </c>
      <c r="AF330">
        <v>0</v>
      </c>
      <c r="AI330">
        <v>10</v>
      </c>
      <c r="AJ330">
        <v>30</v>
      </c>
      <c r="AK330">
        <v>40</v>
      </c>
      <c r="AL330">
        <v>125</v>
      </c>
      <c r="AM330">
        <v>50</v>
      </c>
      <c r="AN330">
        <v>0</v>
      </c>
      <c r="AO330">
        <v>50</v>
      </c>
      <c r="AP330" t="s">
        <v>80</v>
      </c>
      <c r="AQ330" t="s">
        <v>167</v>
      </c>
      <c r="AT330" t="s">
        <v>86</v>
      </c>
      <c r="AU330" t="s">
        <v>86</v>
      </c>
      <c r="AV330" t="s">
        <v>1256</v>
      </c>
      <c r="AW330" t="s">
        <v>69</v>
      </c>
      <c r="AX330" t="s">
        <v>126</v>
      </c>
      <c r="AY330" t="s">
        <v>1257</v>
      </c>
      <c r="AZ330" t="s">
        <v>264</v>
      </c>
      <c r="BA330" t="s">
        <v>245</v>
      </c>
      <c r="BB330" t="s">
        <v>243</v>
      </c>
      <c r="BC330" t="s">
        <v>245</v>
      </c>
      <c r="BD330" t="s">
        <v>1260</v>
      </c>
      <c r="BE330" t="s">
        <v>1259</v>
      </c>
      <c r="BF330" t="s">
        <v>291</v>
      </c>
      <c r="BG330" t="s">
        <v>110</v>
      </c>
      <c r="BH330" t="str">
        <f>IF(COUNTIF(工作表1!A:A, $C330)&gt;0, "預購款", "非預購款")</f>
        <v>非預購款</v>
      </c>
    </row>
    <row r="331" spans="1:60" x14ac:dyDescent="0.25">
      <c r="A331" t="s">
        <v>1250</v>
      </c>
      <c r="B331" t="s">
        <v>315</v>
      </c>
      <c r="C331" t="s">
        <v>1251</v>
      </c>
      <c r="D331" t="s">
        <v>1252</v>
      </c>
      <c r="E331" t="s">
        <v>1253</v>
      </c>
      <c r="F331" t="s">
        <v>160</v>
      </c>
      <c r="G331" t="s">
        <v>1254</v>
      </c>
      <c r="H331" t="s">
        <v>132</v>
      </c>
      <c r="I331" t="s">
        <v>422</v>
      </c>
      <c r="J331" t="s">
        <v>423</v>
      </c>
      <c r="K331" t="s">
        <v>69</v>
      </c>
      <c r="L331" t="s">
        <v>1255</v>
      </c>
      <c r="M331" t="s">
        <v>71</v>
      </c>
      <c r="N331" t="s">
        <v>100</v>
      </c>
      <c r="O331" t="s">
        <v>980</v>
      </c>
      <c r="P331" t="s">
        <v>981</v>
      </c>
      <c r="R331" t="s">
        <v>982</v>
      </c>
      <c r="S331" t="s">
        <v>165</v>
      </c>
      <c r="T331" t="s">
        <v>291</v>
      </c>
      <c r="U331" t="s">
        <v>77</v>
      </c>
      <c r="V331" t="s">
        <v>77</v>
      </c>
      <c r="W331">
        <v>1280</v>
      </c>
      <c r="X331">
        <v>49.99</v>
      </c>
      <c r="Y331">
        <v>169</v>
      </c>
      <c r="Z331">
        <v>919000</v>
      </c>
      <c r="AA331">
        <v>160000</v>
      </c>
      <c r="AB331">
        <v>530</v>
      </c>
      <c r="AD331" t="s">
        <v>238</v>
      </c>
      <c r="AE331">
        <v>1</v>
      </c>
      <c r="AF331">
        <v>0</v>
      </c>
      <c r="AI331">
        <v>10</v>
      </c>
      <c r="AJ331">
        <v>25</v>
      </c>
      <c r="AK331">
        <v>35</v>
      </c>
      <c r="AL331">
        <v>125</v>
      </c>
      <c r="AM331">
        <v>44</v>
      </c>
      <c r="AN331">
        <v>0</v>
      </c>
      <c r="AO331">
        <v>44</v>
      </c>
      <c r="AP331" t="s">
        <v>80</v>
      </c>
      <c r="AQ331" t="s">
        <v>167</v>
      </c>
      <c r="AT331" t="s">
        <v>86</v>
      </c>
      <c r="AU331" t="s">
        <v>86</v>
      </c>
      <c r="AV331" t="s">
        <v>1256</v>
      </c>
      <c r="AW331" t="s">
        <v>69</v>
      </c>
      <c r="AX331" t="s">
        <v>126</v>
      </c>
      <c r="AY331" t="s">
        <v>1257</v>
      </c>
      <c r="AZ331" t="s">
        <v>264</v>
      </c>
      <c r="BA331" t="s">
        <v>245</v>
      </c>
      <c r="BB331" t="s">
        <v>243</v>
      </c>
      <c r="BC331" t="s">
        <v>245</v>
      </c>
      <c r="BD331" t="s">
        <v>1261</v>
      </c>
      <c r="BE331" t="s">
        <v>1259</v>
      </c>
      <c r="BF331" t="s">
        <v>291</v>
      </c>
      <c r="BG331" t="s">
        <v>110</v>
      </c>
      <c r="BH331" t="str">
        <f>IF(COUNTIF(工作表1!A:A, $C331)&gt;0, "預購款", "非預購款")</f>
        <v>非預購款</v>
      </c>
    </row>
    <row r="332" spans="1:60" x14ac:dyDescent="0.25">
      <c r="A332" t="s">
        <v>1262</v>
      </c>
      <c r="B332" t="s">
        <v>315</v>
      </c>
      <c r="C332" t="s">
        <v>1263</v>
      </c>
      <c r="D332" t="s">
        <v>1264</v>
      </c>
      <c r="E332" t="s">
        <v>1265</v>
      </c>
      <c r="F332" t="s">
        <v>160</v>
      </c>
      <c r="G332" t="s">
        <v>1266</v>
      </c>
      <c r="H332" t="s">
        <v>119</v>
      </c>
      <c r="I332" t="s">
        <v>422</v>
      </c>
      <c r="J332" t="s">
        <v>423</v>
      </c>
      <c r="K332" t="s">
        <v>69</v>
      </c>
      <c r="L332" t="s">
        <v>1267</v>
      </c>
      <c r="M332" t="s">
        <v>71</v>
      </c>
      <c r="N332" t="s">
        <v>100</v>
      </c>
      <c r="O332" t="s">
        <v>980</v>
      </c>
      <c r="P332" t="s">
        <v>981</v>
      </c>
      <c r="R332" t="s">
        <v>982</v>
      </c>
      <c r="S332" t="s">
        <v>165</v>
      </c>
      <c r="T332" t="s">
        <v>291</v>
      </c>
      <c r="U332" t="s">
        <v>146</v>
      </c>
      <c r="V332" t="s">
        <v>321</v>
      </c>
      <c r="W332">
        <v>790</v>
      </c>
      <c r="X332">
        <v>34.99</v>
      </c>
      <c r="Y332">
        <v>99</v>
      </c>
      <c r="Z332">
        <v>569000</v>
      </c>
      <c r="AA332">
        <v>98750</v>
      </c>
      <c r="AB332">
        <v>260</v>
      </c>
      <c r="AD332" t="s">
        <v>238</v>
      </c>
      <c r="AE332">
        <v>1</v>
      </c>
      <c r="AF332">
        <v>0</v>
      </c>
      <c r="AI332">
        <v>20</v>
      </c>
      <c r="AJ332">
        <v>35</v>
      </c>
      <c r="AK332">
        <v>55</v>
      </c>
      <c r="AL332">
        <v>125</v>
      </c>
      <c r="AM332">
        <v>65</v>
      </c>
      <c r="AN332">
        <v>0</v>
      </c>
      <c r="AO332">
        <v>65</v>
      </c>
      <c r="AP332" t="s">
        <v>80</v>
      </c>
      <c r="AQ332" t="s">
        <v>167</v>
      </c>
      <c r="AT332" t="s">
        <v>240</v>
      </c>
      <c r="AU332" t="s">
        <v>86</v>
      </c>
      <c r="AV332" t="s">
        <v>1268</v>
      </c>
      <c r="AW332" t="s">
        <v>69</v>
      </c>
      <c r="AX332" t="s">
        <v>126</v>
      </c>
      <c r="AY332" t="s">
        <v>1269</v>
      </c>
      <c r="AZ332" t="s">
        <v>264</v>
      </c>
      <c r="BA332" t="s">
        <v>245</v>
      </c>
      <c r="BB332" t="s">
        <v>243</v>
      </c>
      <c r="BC332" t="s">
        <v>245</v>
      </c>
      <c r="BD332" t="s">
        <v>1270</v>
      </c>
      <c r="BE332" t="s">
        <v>1271</v>
      </c>
      <c r="BF332" t="s">
        <v>291</v>
      </c>
      <c r="BG332" t="s">
        <v>110</v>
      </c>
      <c r="BH332" t="str">
        <f>IF(COUNTIF(工作表1!A:A, $C332)&gt;0, "預購款", "非預購款")</f>
        <v>非預購款</v>
      </c>
    </row>
    <row r="333" spans="1:60" x14ac:dyDescent="0.25">
      <c r="A333" t="s">
        <v>1262</v>
      </c>
      <c r="B333" t="s">
        <v>315</v>
      </c>
      <c r="C333" t="s">
        <v>1263</v>
      </c>
      <c r="D333" t="s">
        <v>1264</v>
      </c>
      <c r="E333" t="s">
        <v>1265</v>
      </c>
      <c r="F333" t="s">
        <v>160</v>
      </c>
      <c r="G333" t="s">
        <v>1266</v>
      </c>
      <c r="H333" t="s">
        <v>130</v>
      </c>
      <c r="I333" t="s">
        <v>422</v>
      </c>
      <c r="J333" t="s">
        <v>423</v>
      </c>
      <c r="K333" t="s">
        <v>69</v>
      </c>
      <c r="L333" t="s">
        <v>1267</v>
      </c>
      <c r="M333" t="s">
        <v>71</v>
      </c>
      <c r="N333" t="s">
        <v>100</v>
      </c>
      <c r="O333" t="s">
        <v>980</v>
      </c>
      <c r="P333" t="s">
        <v>981</v>
      </c>
      <c r="R333" t="s">
        <v>982</v>
      </c>
      <c r="S333" t="s">
        <v>165</v>
      </c>
      <c r="T333" t="s">
        <v>291</v>
      </c>
      <c r="U333" t="s">
        <v>146</v>
      </c>
      <c r="V333" t="s">
        <v>321</v>
      </c>
      <c r="W333">
        <v>790</v>
      </c>
      <c r="X333">
        <v>34.99</v>
      </c>
      <c r="Y333">
        <v>99</v>
      </c>
      <c r="Z333">
        <v>569000</v>
      </c>
      <c r="AA333">
        <v>98750</v>
      </c>
      <c r="AB333">
        <v>260</v>
      </c>
      <c r="AD333" t="s">
        <v>238</v>
      </c>
      <c r="AE333">
        <v>1</v>
      </c>
      <c r="AF333">
        <v>0</v>
      </c>
      <c r="AI333">
        <v>15</v>
      </c>
      <c r="AJ333">
        <v>35</v>
      </c>
      <c r="AK333">
        <v>50</v>
      </c>
      <c r="AL333">
        <v>125</v>
      </c>
      <c r="AM333">
        <v>60</v>
      </c>
      <c r="AN333">
        <v>0</v>
      </c>
      <c r="AO333">
        <v>60</v>
      </c>
      <c r="AP333" t="s">
        <v>80</v>
      </c>
      <c r="AQ333" t="s">
        <v>167</v>
      </c>
      <c r="AT333" t="s">
        <v>240</v>
      </c>
      <c r="AU333" t="s">
        <v>86</v>
      </c>
      <c r="AV333" t="s">
        <v>1268</v>
      </c>
      <c r="AW333" t="s">
        <v>69</v>
      </c>
      <c r="AX333" t="s">
        <v>126</v>
      </c>
      <c r="AY333" t="s">
        <v>1269</v>
      </c>
      <c r="AZ333" t="s">
        <v>264</v>
      </c>
      <c r="BA333" t="s">
        <v>245</v>
      </c>
      <c r="BB333" t="s">
        <v>243</v>
      </c>
      <c r="BC333" t="s">
        <v>245</v>
      </c>
      <c r="BD333" t="s">
        <v>1272</v>
      </c>
      <c r="BE333" t="s">
        <v>1271</v>
      </c>
      <c r="BF333" t="s">
        <v>291</v>
      </c>
      <c r="BG333" t="s">
        <v>110</v>
      </c>
      <c r="BH333" t="str">
        <f>IF(COUNTIF(工作表1!A:A, $C333)&gt;0, "預購款", "非預購款")</f>
        <v>非預購款</v>
      </c>
    </row>
    <row r="334" spans="1:60" x14ac:dyDescent="0.25">
      <c r="A334" t="s">
        <v>1262</v>
      </c>
      <c r="B334" t="s">
        <v>315</v>
      </c>
      <c r="C334" t="s">
        <v>1263</v>
      </c>
      <c r="D334" t="s">
        <v>1264</v>
      </c>
      <c r="E334" t="s">
        <v>1265</v>
      </c>
      <c r="F334" t="s">
        <v>160</v>
      </c>
      <c r="G334" t="s">
        <v>1266</v>
      </c>
      <c r="H334" t="s">
        <v>132</v>
      </c>
      <c r="I334" t="s">
        <v>422</v>
      </c>
      <c r="J334" t="s">
        <v>423</v>
      </c>
      <c r="K334" t="s">
        <v>69</v>
      </c>
      <c r="L334" t="s">
        <v>1267</v>
      </c>
      <c r="M334" t="s">
        <v>71</v>
      </c>
      <c r="N334" t="s">
        <v>100</v>
      </c>
      <c r="O334" t="s">
        <v>980</v>
      </c>
      <c r="P334" t="s">
        <v>981</v>
      </c>
      <c r="R334" t="s">
        <v>982</v>
      </c>
      <c r="S334" t="s">
        <v>165</v>
      </c>
      <c r="T334" t="s">
        <v>291</v>
      </c>
      <c r="U334" t="s">
        <v>146</v>
      </c>
      <c r="V334" t="s">
        <v>321</v>
      </c>
      <c r="W334">
        <v>790</v>
      </c>
      <c r="X334">
        <v>34.99</v>
      </c>
      <c r="Y334">
        <v>99</v>
      </c>
      <c r="Z334">
        <v>569000</v>
      </c>
      <c r="AA334">
        <v>98750</v>
      </c>
      <c r="AB334">
        <v>260</v>
      </c>
      <c r="AD334" t="s">
        <v>238</v>
      </c>
      <c r="AE334">
        <v>1</v>
      </c>
      <c r="AF334">
        <v>0</v>
      </c>
      <c r="AI334">
        <v>10</v>
      </c>
      <c r="AJ334">
        <v>10</v>
      </c>
      <c r="AK334">
        <v>20</v>
      </c>
      <c r="AL334">
        <v>125</v>
      </c>
      <c r="AM334">
        <v>29</v>
      </c>
      <c r="AN334">
        <v>0</v>
      </c>
      <c r="AO334">
        <v>29</v>
      </c>
      <c r="AP334" t="s">
        <v>80</v>
      </c>
      <c r="AQ334" t="s">
        <v>167</v>
      </c>
      <c r="AT334" t="s">
        <v>240</v>
      </c>
      <c r="AU334" t="s">
        <v>86</v>
      </c>
      <c r="AV334" t="s">
        <v>1268</v>
      </c>
      <c r="AW334" t="s">
        <v>69</v>
      </c>
      <c r="AX334" t="s">
        <v>126</v>
      </c>
      <c r="AY334" t="s">
        <v>1269</v>
      </c>
      <c r="AZ334" t="s">
        <v>264</v>
      </c>
      <c r="BA334" t="s">
        <v>245</v>
      </c>
      <c r="BB334" t="s">
        <v>243</v>
      </c>
      <c r="BC334" t="s">
        <v>245</v>
      </c>
      <c r="BD334" t="s">
        <v>1273</v>
      </c>
      <c r="BE334" t="s">
        <v>1271</v>
      </c>
      <c r="BF334" t="s">
        <v>291</v>
      </c>
      <c r="BG334" t="s">
        <v>110</v>
      </c>
      <c r="BH334" t="str">
        <f>IF(COUNTIF(工作表1!A:A, $C334)&gt;0, "預購款", "非預購款")</f>
        <v>非預購款</v>
      </c>
    </row>
    <row r="335" spans="1:60" x14ac:dyDescent="0.25">
      <c r="A335" t="s">
        <v>1276</v>
      </c>
      <c r="B335" t="s">
        <v>315</v>
      </c>
      <c r="C335" t="s">
        <v>1277</v>
      </c>
      <c r="D335" t="s">
        <v>1278</v>
      </c>
      <c r="E335" t="s">
        <v>1279</v>
      </c>
      <c r="F335" t="s">
        <v>160</v>
      </c>
      <c r="G335" t="s">
        <v>1280</v>
      </c>
      <c r="H335" t="s">
        <v>273</v>
      </c>
      <c r="I335" t="s">
        <v>111</v>
      </c>
      <c r="J335" t="s">
        <v>112</v>
      </c>
      <c r="K335" t="s">
        <v>69</v>
      </c>
      <c r="L335" t="s">
        <v>1274</v>
      </c>
      <c r="M335" t="s">
        <v>71</v>
      </c>
      <c r="N335" t="s">
        <v>100</v>
      </c>
      <c r="O335" t="s">
        <v>1136</v>
      </c>
      <c r="P335" t="s">
        <v>1137</v>
      </c>
      <c r="R335" t="s">
        <v>1138</v>
      </c>
      <c r="S335" t="s">
        <v>165</v>
      </c>
      <c r="T335" t="s">
        <v>274</v>
      </c>
      <c r="U335" t="s">
        <v>146</v>
      </c>
      <c r="V335" t="s">
        <v>144</v>
      </c>
      <c r="W335">
        <v>1180</v>
      </c>
      <c r="X335">
        <v>49.99</v>
      </c>
      <c r="Y335">
        <v>155</v>
      </c>
      <c r="Z335">
        <v>859000</v>
      </c>
      <c r="AA335">
        <v>230100</v>
      </c>
      <c r="AB335">
        <v>718</v>
      </c>
      <c r="AD335" t="s">
        <v>238</v>
      </c>
      <c r="AE335">
        <v>1</v>
      </c>
      <c r="AF335">
        <v>0</v>
      </c>
      <c r="AI335">
        <v>20</v>
      </c>
      <c r="AJ335">
        <v>50</v>
      </c>
      <c r="AK335">
        <v>70</v>
      </c>
      <c r="AL335">
        <v>195</v>
      </c>
      <c r="AM335">
        <v>78</v>
      </c>
      <c r="AN335">
        <v>0</v>
      </c>
      <c r="AO335">
        <v>78</v>
      </c>
      <c r="AP335" t="s">
        <v>80</v>
      </c>
      <c r="AQ335" t="s">
        <v>954</v>
      </c>
      <c r="AS335" t="s">
        <v>86</v>
      </c>
      <c r="AT335" t="s">
        <v>86</v>
      </c>
      <c r="AU335" t="s">
        <v>261</v>
      </c>
      <c r="AV335" t="s">
        <v>1281</v>
      </c>
      <c r="AW335" t="s">
        <v>69</v>
      </c>
      <c r="AX335" t="s">
        <v>387</v>
      </c>
      <c r="AY335" t="s">
        <v>1282</v>
      </c>
      <c r="AZ335" t="s">
        <v>264</v>
      </c>
      <c r="BA335" t="s">
        <v>244</v>
      </c>
      <c r="BB335" t="s">
        <v>245</v>
      </c>
      <c r="BC335" t="s">
        <v>245</v>
      </c>
      <c r="BD335" t="s">
        <v>1283</v>
      </c>
      <c r="BE335" t="s">
        <v>1284</v>
      </c>
      <c r="BF335" t="s">
        <v>279</v>
      </c>
      <c r="BG335" t="s">
        <v>110</v>
      </c>
      <c r="BH335" t="str">
        <f>IF(COUNTIF(工作表1!A:A, $C335)&gt;0, "預購款", "非預購款")</f>
        <v>非預購款</v>
      </c>
    </row>
    <row r="336" spans="1:60" x14ac:dyDescent="0.25">
      <c r="A336" t="s">
        <v>1276</v>
      </c>
      <c r="B336" t="s">
        <v>315</v>
      </c>
      <c r="C336" t="s">
        <v>1277</v>
      </c>
      <c r="D336" t="s">
        <v>1278</v>
      </c>
      <c r="E336" t="s">
        <v>1279</v>
      </c>
      <c r="F336" t="s">
        <v>160</v>
      </c>
      <c r="G336" t="s">
        <v>1280</v>
      </c>
      <c r="H336" t="s">
        <v>501</v>
      </c>
      <c r="I336" t="s">
        <v>111</v>
      </c>
      <c r="J336" t="s">
        <v>112</v>
      </c>
      <c r="K336" t="s">
        <v>69</v>
      </c>
      <c r="L336" t="s">
        <v>1274</v>
      </c>
      <c r="M336" t="s">
        <v>71</v>
      </c>
      <c r="N336" t="s">
        <v>100</v>
      </c>
      <c r="O336" t="s">
        <v>1136</v>
      </c>
      <c r="P336" t="s">
        <v>1137</v>
      </c>
      <c r="R336" t="s">
        <v>1138</v>
      </c>
      <c r="S336" t="s">
        <v>165</v>
      </c>
      <c r="T336" t="s">
        <v>274</v>
      </c>
      <c r="U336" t="s">
        <v>146</v>
      </c>
      <c r="V336" t="s">
        <v>144</v>
      </c>
      <c r="W336">
        <v>1180</v>
      </c>
      <c r="X336">
        <v>49.99</v>
      </c>
      <c r="Y336">
        <v>155</v>
      </c>
      <c r="Z336">
        <v>859000</v>
      </c>
      <c r="AA336">
        <v>230100</v>
      </c>
      <c r="AB336">
        <v>718</v>
      </c>
      <c r="AD336" t="s">
        <v>238</v>
      </c>
      <c r="AE336">
        <v>1</v>
      </c>
      <c r="AF336">
        <v>0</v>
      </c>
      <c r="AI336">
        <v>10</v>
      </c>
      <c r="AJ336">
        <v>50</v>
      </c>
      <c r="AK336">
        <v>60</v>
      </c>
      <c r="AL336">
        <v>195</v>
      </c>
      <c r="AM336">
        <v>68</v>
      </c>
      <c r="AN336">
        <v>0</v>
      </c>
      <c r="AO336">
        <v>68</v>
      </c>
      <c r="AP336" t="s">
        <v>80</v>
      </c>
      <c r="AQ336" t="s">
        <v>954</v>
      </c>
      <c r="AS336" t="s">
        <v>86</v>
      </c>
      <c r="AT336" t="s">
        <v>86</v>
      </c>
      <c r="AU336" t="s">
        <v>261</v>
      </c>
      <c r="AV336" t="s">
        <v>1281</v>
      </c>
      <c r="AW336" t="s">
        <v>69</v>
      </c>
      <c r="AX336" t="s">
        <v>387</v>
      </c>
      <c r="AY336" t="s">
        <v>1282</v>
      </c>
      <c r="AZ336" t="s">
        <v>264</v>
      </c>
      <c r="BA336" t="s">
        <v>244</v>
      </c>
      <c r="BB336" t="s">
        <v>245</v>
      </c>
      <c r="BC336" t="s">
        <v>245</v>
      </c>
      <c r="BD336" t="s">
        <v>1285</v>
      </c>
      <c r="BE336" t="s">
        <v>1284</v>
      </c>
      <c r="BF336" t="s">
        <v>279</v>
      </c>
      <c r="BG336" t="s">
        <v>110</v>
      </c>
      <c r="BH336" t="str">
        <f>IF(COUNTIF(工作表1!A:A, $C336)&gt;0, "預購款", "非預購款")</f>
        <v>非預購款</v>
      </c>
    </row>
    <row r="337" spans="1:60" x14ac:dyDescent="0.25">
      <c r="A337" t="s">
        <v>1276</v>
      </c>
      <c r="B337" t="s">
        <v>315</v>
      </c>
      <c r="C337" t="s">
        <v>1277</v>
      </c>
      <c r="D337" t="s">
        <v>1278</v>
      </c>
      <c r="E337" t="s">
        <v>1279</v>
      </c>
      <c r="F337" t="s">
        <v>160</v>
      </c>
      <c r="G337" t="s">
        <v>1280</v>
      </c>
      <c r="H337" t="s">
        <v>280</v>
      </c>
      <c r="I337" t="s">
        <v>111</v>
      </c>
      <c r="J337" t="s">
        <v>112</v>
      </c>
      <c r="K337" t="s">
        <v>69</v>
      </c>
      <c r="L337" t="s">
        <v>1274</v>
      </c>
      <c r="M337" t="s">
        <v>71</v>
      </c>
      <c r="N337" t="s">
        <v>100</v>
      </c>
      <c r="O337" t="s">
        <v>1136</v>
      </c>
      <c r="P337" t="s">
        <v>1137</v>
      </c>
      <c r="R337" t="s">
        <v>1138</v>
      </c>
      <c r="S337" t="s">
        <v>165</v>
      </c>
      <c r="T337" t="s">
        <v>274</v>
      </c>
      <c r="U337" t="s">
        <v>146</v>
      </c>
      <c r="V337" t="s">
        <v>144</v>
      </c>
      <c r="W337">
        <v>1180</v>
      </c>
      <c r="X337">
        <v>49.99</v>
      </c>
      <c r="Y337">
        <v>155</v>
      </c>
      <c r="Z337">
        <v>859000</v>
      </c>
      <c r="AA337">
        <v>230100</v>
      </c>
      <c r="AB337">
        <v>718</v>
      </c>
      <c r="AD337" t="s">
        <v>238</v>
      </c>
      <c r="AE337">
        <v>1</v>
      </c>
      <c r="AF337">
        <v>0</v>
      </c>
      <c r="AI337">
        <v>15</v>
      </c>
      <c r="AJ337">
        <v>50</v>
      </c>
      <c r="AK337">
        <v>65</v>
      </c>
      <c r="AL337">
        <v>195</v>
      </c>
      <c r="AM337">
        <v>75</v>
      </c>
      <c r="AN337">
        <v>0</v>
      </c>
      <c r="AO337">
        <v>75</v>
      </c>
      <c r="AP337" t="s">
        <v>80</v>
      </c>
      <c r="AQ337" t="s">
        <v>954</v>
      </c>
      <c r="AS337" t="s">
        <v>86</v>
      </c>
      <c r="AT337" t="s">
        <v>86</v>
      </c>
      <c r="AU337" t="s">
        <v>261</v>
      </c>
      <c r="AV337" t="s">
        <v>1281</v>
      </c>
      <c r="AW337" t="s">
        <v>69</v>
      </c>
      <c r="AX337" t="s">
        <v>387</v>
      </c>
      <c r="AY337" t="s">
        <v>1282</v>
      </c>
      <c r="AZ337" t="s">
        <v>264</v>
      </c>
      <c r="BA337" t="s">
        <v>244</v>
      </c>
      <c r="BB337" t="s">
        <v>245</v>
      </c>
      <c r="BC337" t="s">
        <v>245</v>
      </c>
      <c r="BD337" t="s">
        <v>1286</v>
      </c>
      <c r="BE337" t="s">
        <v>1284</v>
      </c>
      <c r="BF337" t="s">
        <v>279</v>
      </c>
      <c r="BG337" t="s">
        <v>110</v>
      </c>
      <c r="BH337" t="str">
        <f>IF(COUNTIF(工作表1!A:A, $C337)&gt;0, "預購款", "非預購款")</f>
        <v>非預購款</v>
      </c>
    </row>
    <row r="338" spans="1:60" x14ac:dyDescent="0.25">
      <c r="A338" t="s">
        <v>1079</v>
      </c>
      <c r="B338" t="s">
        <v>678</v>
      </c>
      <c r="C338" t="s">
        <v>1080</v>
      </c>
      <c r="D338" t="s">
        <v>1081</v>
      </c>
      <c r="E338" t="s">
        <v>1082</v>
      </c>
      <c r="F338" t="s">
        <v>160</v>
      </c>
      <c r="G338" t="s">
        <v>1083</v>
      </c>
      <c r="H338" t="s">
        <v>119</v>
      </c>
      <c r="I338" t="s">
        <v>88</v>
      </c>
      <c r="J338" t="s">
        <v>89</v>
      </c>
      <c r="K338" t="s">
        <v>69</v>
      </c>
      <c r="L338" t="s">
        <v>1084</v>
      </c>
      <c r="M338" t="s">
        <v>71</v>
      </c>
      <c r="N338" t="s">
        <v>100</v>
      </c>
      <c r="O338" t="s">
        <v>980</v>
      </c>
      <c r="P338" t="s">
        <v>981</v>
      </c>
      <c r="R338" t="s">
        <v>982</v>
      </c>
      <c r="S338" t="s">
        <v>165</v>
      </c>
      <c r="T338" t="s">
        <v>258</v>
      </c>
      <c r="U338" t="s">
        <v>104</v>
      </c>
      <c r="V338" t="s">
        <v>292</v>
      </c>
      <c r="W338">
        <v>590</v>
      </c>
      <c r="X338">
        <v>29.99</v>
      </c>
      <c r="Y338">
        <v>75</v>
      </c>
      <c r="Z338">
        <v>429000</v>
      </c>
      <c r="AA338">
        <v>256650</v>
      </c>
      <c r="AB338">
        <v>225</v>
      </c>
      <c r="AD338" t="s">
        <v>238</v>
      </c>
      <c r="AE338">
        <v>1</v>
      </c>
      <c r="AF338">
        <v>10</v>
      </c>
      <c r="AI338">
        <v>90</v>
      </c>
      <c r="AJ338">
        <v>90</v>
      </c>
      <c r="AK338">
        <v>190</v>
      </c>
      <c r="AL338">
        <v>435</v>
      </c>
      <c r="AM338">
        <v>200</v>
      </c>
      <c r="AN338">
        <v>0</v>
      </c>
      <c r="AO338">
        <v>200</v>
      </c>
      <c r="AP338" t="s">
        <v>80</v>
      </c>
      <c r="AQ338" t="s">
        <v>624</v>
      </c>
      <c r="AR338" t="s">
        <v>86</v>
      </c>
      <c r="AS338" t="s">
        <v>86</v>
      </c>
      <c r="AT338" t="s">
        <v>86</v>
      </c>
      <c r="AU338" t="s">
        <v>240</v>
      </c>
      <c r="AV338" t="s">
        <v>81</v>
      </c>
      <c r="AW338" t="s">
        <v>69</v>
      </c>
      <c r="AX338" t="s">
        <v>262</v>
      </c>
      <c r="AY338" t="s">
        <v>1085</v>
      </c>
      <c r="AZ338" t="s">
        <v>243</v>
      </c>
      <c r="BA338" t="s">
        <v>264</v>
      </c>
      <c r="BB338" t="s">
        <v>244</v>
      </c>
      <c r="BC338" t="s">
        <v>245</v>
      </c>
      <c r="BD338" t="s">
        <v>1086</v>
      </c>
      <c r="BE338" t="s">
        <v>1287</v>
      </c>
      <c r="BF338" t="s">
        <v>240</v>
      </c>
      <c r="BG338" t="s">
        <v>150</v>
      </c>
      <c r="BH338" t="str">
        <f>IF(COUNTIF(工作表1!A:A, $C338)&gt;0, "預購款", "非預購款")</f>
        <v>非預購款</v>
      </c>
    </row>
    <row r="339" spans="1:60" x14ac:dyDescent="0.25">
      <c r="A339" t="s">
        <v>1079</v>
      </c>
      <c r="B339" t="s">
        <v>678</v>
      </c>
      <c r="C339" t="s">
        <v>1080</v>
      </c>
      <c r="D339" t="s">
        <v>1081</v>
      </c>
      <c r="E339" t="s">
        <v>1082</v>
      </c>
      <c r="F339" t="s">
        <v>160</v>
      </c>
      <c r="G339" t="s">
        <v>1083</v>
      </c>
      <c r="H339" t="s">
        <v>130</v>
      </c>
      <c r="I339" t="s">
        <v>88</v>
      </c>
      <c r="J339" t="s">
        <v>89</v>
      </c>
      <c r="K339" t="s">
        <v>69</v>
      </c>
      <c r="L339" t="s">
        <v>1084</v>
      </c>
      <c r="M339" t="s">
        <v>71</v>
      </c>
      <c r="N339" t="s">
        <v>100</v>
      </c>
      <c r="O339" t="s">
        <v>980</v>
      </c>
      <c r="P339" t="s">
        <v>981</v>
      </c>
      <c r="R339" t="s">
        <v>982</v>
      </c>
      <c r="S339" t="s">
        <v>165</v>
      </c>
      <c r="T339" t="s">
        <v>258</v>
      </c>
      <c r="U339" t="s">
        <v>104</v>
      </c>
      <c r="V339" t="s">
        <v>292</v>
      </c>
      <c r="W339">
        <v>590</v>
      </c>
      <c r="X339">
        <v>29.99</v>
      </c>
      <c r="Y339">
        <v>75</v>
      </c>
      <c r="Z339">
        <v>429000</v>
      </c>
      <c r="AA339">
        <v>256650</v>
      </c>
      <c r="AB339">
        <v>225</v>
      </c>
      <c r="AD339" t="s">
        <v>238</v>
      </c>
      <c r="AE339">
        <v>1</v>
      </c>
      <c r="AF339">
        <v>5</v>
      </c>
      <c r="AI339">
        <v>70</v>
      </c>
      <c r="AJ339">
        <v>90</v>
      </c>
      <c r="AK339">
        <v>165</v>
      </c>
      <c r="AL339">
        <v>435</v>
      </c>
      <c r="AM339">
        <v>171</v>
      </c>
      <c r="AN339">
        <v>0</v>
      </c>
      <c r="AO339">
        <v>171</v>
      </c>
      <c r="AP339" t="s">
        <v>80</v>
      </c>
      <c r="AQ339" t="s">
        <v>624</v>
      </c>
      <c r="AR339" t="s">
        <v>86</v>
      </c>
      <c r="AS339" t="s">
        <v>86</v>
      </c>
      <c r="AT339" t="s">
        <v>86</v>
      </c>
      <c r="AU339" t="s">
        <v>240</v>
      </c>
      <c r="AV339" t="s">
        <v>81</v>
      </c>
      <c r="AW339" t="s">
        <v>69</v>
      </c>
      <c r="AX339" t="s">
        <v>262</v>
      </c>
      <c r="AY339" t="s">
        <v>1085</v>
      </c>
      <c r="AZ339" t="s">
        <v>243</v>
      </c>
      <c r="BA339" t="s">
        <v>264</v>
      </c>
      <c r="BB339" t="s">
        <v>244</v>
      </c>
      <c r="BC339" t="s">
        <v>245</v>
      </c>
      <c r="BD339" t="s">
        <v>1087</v>
      </c>
      <c r="BE339" t="s">
        <v>1287</v>
      </c>
      <c r="BF339" t="s">
        <v>240</v>
      </c>
      <c r="BG339" t="s">
        <v>150</v>
      </c>
      <c r="BH339" t="str">
        <f>IF(COUNTIF(工作表1!A:A, $C339)&gt;0, "預購款", "非預購款")</f>
        <v>非預購款</v>
      </c>
    </row>
    <row r="340" spans="1:60" x14ac:dyDescent="0.25">
      <c r="A340" t="s">
        <v>1079</v>
      </c>
      <c r="B340" t="s">
        <v>678</v>
      </c>
      <c r="C340" t="s">
        <v>1080</v>
      </c>
      <c r="D340" t="s">
        <v>1081</v>
      </c>
      <c r="E340" t="s">
        <v>1082</v>
      </c>
      <c r="F340" t="s">
        <v>160</v>
      </c>
      <c r="G340" t="s">
        <v>1083</v>
      </c>
      <c r="H340" t="s">
        <v>132</v>
      </c>
      <c r="I340" t="s">
        <v>88</v>
      </c>
      <c r="J340" t="s">
        <v>89</v>
      </c>
      <c r="K340" t="s">
        <v>69</v>
      </c>
      <c r="L340" t="s">
        <v>1084</v>
      </c>
      <c r="M340" t="s">
        <v>71</v>
      </c>
      <c r="N340" t="s">
        <v>100</v>
      </c>
      <c r="O340" t="s">
        <v>980</v>
      </c>
      <c r="P340" t="s">
        <v>981</v>
      </c>
      <c r="R340" t="s">
        <v>982</v>
      </c>
      <c r="S340" t="s">
        <v>165</v>
      </c>
      <c r="T340" t="s">
        <v>258</v>
      </c>
      <c r="U340" t="s">
        <v>104</v>
      </c>
      <c r="V340" t="s">
        <v>292</v>
      </c>
      <c r="W340">
        <v>590</v>
      </c>
      <c r="X340">
        <v>29.99</v>
      </c>
      <c r="Y340">
        <v>75</v>
      </c>
      <c r="Z340">
        <v>429000</v>
      </c>
      <c r="AA340">
        <v>256650</v>
      </c>
      <c r="AB340">
        <v>225</v>
      </c>
      <c r="AD340" t="s">
        <v>238</v>
      </c>
      <c r="AE340">
        <v>1</v>
      </c>
      <c r="AF340">
        <v>0</v>
      </c>
      <c r="AI340">
        <v>50</v>
      </c>
      <c r="AJ340">
        <v>30</v>
      </c>
      <c r="AK340">
        <v>80</v>
      </c>
      <c r="AL340">
        <v>435</v>
      </c>
      <c r="AM340">
        <v>83</v>
      </c>
      <c r="AN340">
        <v>0</v>
      </c>
      <c r="AO340">
        <v>83</v>
      </c>
      <c r="AP340" t="s">
        <v>80</v>
      </c>
      <c r="AQ340" t="s">
        <v>624</v>
      </c>
      <c r="AR340" t="s">
        <v>86</v>
      </c>
      <c r="AS340" t="s">
        <v>86</v>
      </c>
      <c r="AT340" t="s">
        <v>86</v>
      </c>
      <c r="AU340" t="s">
        <v>240</v>
      </c>
      <c r="AV340" t="s">
        <v>81</v>
      </c>
      <c r="AW340" t="s">
        <v>69</v>
      </c>
      <c r="AX340" t="s">
        <v>262</v>
      </c>
      <c r="AY340" t="s">
        <v>1085</v>
      </c>
      <c r="AZ340" t="s">
        <v>243</v>
      </c>
      <c r="BA340" t="s">
        <v>264</v>
      </c>
      <c r="BB340" t="s">
        <v>244</v>
      </c>
      <c r="BC340" t="s">
        <v>245</v>
      </c>
      <c r="BD340" t="s">
        <v>1088</v>
      </c>
      <c r="BE340" t="s">
        <v>1287</v>
      </c>
      <c r="BF340" t="s">
        <v>240</v>
      </c>
      <c r="BG340" t="s">
        <v>150</v>
      </c>
      <c r="BH340" t="str">
        <f>IF(COUNTIF(工作表1!A:A, $C340)&gt;0, "預購款", "非預購款")</f>
        <v>非預購款</v>
      </c>
    </row>
    <row r="341" spans="1:60" x14ac:dyDescent="0.25">
      <c r="A341" t="s">
        <v>1288</v>
      </c>
      <c r="B341" t="s">
        <v>678</v>
      </c>
      <c r="C341" t="s">
        <v>1289</v>
      </c>
      <c r="D341" t="s">
        <v>1290</v>
      </c>
      <c r="E341" t="s">
        <v>1291</v>
      </c>
      <c r="F341" t="s">
        <v>160</v>
      </c>
      <c r="G341" t="s">
        <v>1292</v>
      </c>
      <c r="H341" t="s">
        <v>273</v>
      </c>
      <c r="I341" t="s">
        <v>97</v>
      </c>
      <c r="J341" t="s">
        <v>98</v>
      </c>
      <c r="K341" t="s">
        <v>69</v>
      </c>
      <c r="L341" t="s">
        <v>1293</v>
      </c>
      <c r="M341" t="s">
        <v>71</v>
      </c>
      <c r="N341" t="s">
        <v>100</v>
      </c>
      <c r="O341" t="s">
        <v>1136</v>
      </c>
      <c r="P341" t="s">
        <v>1137</v>
      </c>
      <c r="R341" t="s">
        <v>1138</v>
      </c>
      <c r="S341" t="s">
        <v>165</v>
      </c>
      <c r="T341" t="s">
        <v>274</v>
      </c>
      <c r="U341" t="s">
        <v>104</v>
      </c>
      <c r="V341" t="s">
        <v>1220</v>
      </c>
      <c r="W341">
        <v>490</v>
      </c>
      <c r="X341">
        <v>22.99</v>
      </c>
      <c r="Y341">
        <v>60</v>
      </c>
      <c r="Z341">
        <v>355000</v>
      </c>
      <c r="AA341">
        <v>53900</v>
      </c>
      <c r="AB341">
        <v>102</v>
      </c>
      <c r="AD341" t="s">
        <v>238</v>
      </c>
      <c r="AE341">
        <v>1</v>
      </c>
      <c r="AF341">
        <v>0</v>
      </c>
      <c r="AI341">
        <v>0</v>
      </c>
      <c r="AJ341">
        <v>50</v>
      </c>
      <c r="AK341">
        <v>50</v>
      </c>
      <c r="AL341">
        <v>110</v>
      </c>
      <c r="AM341">
        <v>56</v>
      </c>
      <c r="AN341">
        <v>0</v>
      </c>
      <c r="AO341">
        <v>56</v>
      </c>
      <c r="AP341" t="s">
        <v>80</v>
      </c>
      <c r="AQ341" t="s">
        <v>624</v>
      </c>
      <c r="AT341" t="s">
        <v>86</v>
      </c>
      <c r="AU341" t="s">
        <v>86</v>
      </c>
      <c r="AV341" t="s">
        <v>1294</v>
      </c>
      <c r="AW341" t="s">
        <v>69</v>
      </c>
      <c r="AX341" t="s">
        <v>126</v>
      </c>
      <c r="AY341" t="s">
        <v>1295</v>
      </c>
      <c r="AZ341" t="s">
        <v>244</v>
      </c>
      <c r="BA341" t="s">
        <v>245</v>
      </c>
      <c r="BB341" t="s">
        <v>264</v>
      </c>
      <c r="BC341" t="s">
        <v>264</v>
      </c>
      <c r="BD341" t="s">
        <v>1296</v>
      </c>
      <c r="BE341" t="s">
        <v>1297</v>
      </c>
      <c r="BF341" t="s">
        <v>279</v>
      </c>
      <c r="BG341" t="s">
        <v>110</v>
      </c>
      <c r="BH341" t="str">
        <f>IF(COUNTIF(工作表1!A:A, $C341)&gt;0, "預購款", "非預購款")</f>
        <v>非預購款</v>
      </c>
    </row>
    <row r="342" spans="1:60" x14ac:dyDescent="0.25">
      <c r="A342" t="s">
        <v>1288</v>
      </c>
      <c r="B342" t="s">
        <v>678</v>
      </c>
      <c r="C342" t="s">
        <v>1289</v>
      </c>
      <c r="D342" t="s">
        <v>1290</v>
      </c>
      <c r="E342" t="s">
        <v>1291</v>
      </c>
      <c r="F342" t="s">
        <v>160</v>
      </c>
      <c r="G342" t="s">
        <v>1292</v>
      </c>
      <c r="H342" t="s">
        <v>501</v>
      </c>
      <c r="I342" t="s">
        <v>97</v>
      </c>
      <c r="J342" t="s">
        <v>98</v>
      </c>
      <c r="K342" t="s">
        <v>69</v>
      </c>
      <c r="L342" t="s">
        <v>1293</v>
      </c>
      <c r="M342" t="s">
        <v>71</v>
      </c>
      <c r="N342" t="s">
        <v>100</v>
      </c>
      <c r="O342" t="s">
        <v>1136</v>
      </c>
      <c r="P342" t="s">
        <v>1137</v>
      </c>
      <c r="R342" t="s">
        <v>1138</v>
      </c>
      <c r="S342" t="s">
        <v>165</v>
      </c>
      <c r="T342" t="s">
        <v>274</v>
      </c>
      <c r="U342" t="s">
        <v>104</v>
      </c>
      <c r="V342" t="s">
        <v>1220</v>
      </c>
      <c r="W342">
        <v>490</v>
      </c>
      <c r="X342">
        <v>22.99</v>
      </c>
      <c r="Y342">
        <v>60</v>
      </c>
      <c r="Z342">
        <v>355000</v>
      </c>
      <c r="AA342">
        <v>53900</v>
      </c>
      <c r="AB342">
        <v>102</v>
      </c>
      <c r="AD342" t="s">
        <v>238</v>
      </c>
      <c r="AE342">
        <v>1</v>
      </c>
      <c r="AF342">
        <v>0</v>
      </c>
      <c r="AI342">
        <v>0</v>
      </c>
      <c r="AJ342">
        <v>25</v>
      </c>
      <c r="AK342">
        <v>25</v>
      </c>
      <c r="AL342">
        <v>110</v>
      </c>
      <c r="AM342">
        <v>28</v>
      </c>
      <c r="AN342">
        <v>0</v>
      </c>
      <c r="AO342">
        <v>28</v>
      </c>
      <c r="AP342" t="s">
        <v>80</v>
      </c>
      <c r="AQ342" t="s">
        <v>624</v>
      </c>
      <c r="AT342" t="s">
        <v>86</v>
      </c>
      <c r="AU342" t="s">
        <v>86</v>
      </c>
      <c r="AV342" t="s">
        <v>1294</v>
      </c>
      <c r="AW342" t="s">
        <v>69</v>
      </c>
      <c r="AX342" t="s">
        <v>126</v>
      </c>
      <c r="AY342" t="s">
        <v>1295</v>
      </c>
      <c r="AZ342" t="s">
        <v>244</v>
      </c>
      <c r="BA342" t="s">
        <v>245</v>
      </c>
      <c r="BB342" t="s">
        <v>264</v>
      </c>
      <c r="BC342" t="s">
        <v>264</v>
      </c>
      <c r="BD342" t="s">
        <v>1298</v>
      </c>
      <c r="BE342" t="s">
        <v>1297</v>
      </c>
      <c r="BF342" t="s">
        <v>279</v>
      </c>
      <c r="BG342" t="s">
        <v>110</v>
      </c>
      <c r="BH342" t="str">
        <f>IF(COUNTIF(工作表1!A:A, $C342)&gt;0, "預購款", "非預購款")</f>
        <v>非預購款</v>
      </c>
    </row>
    <row r="343" spans="1:60" x14ac:dyDescent="0.25">
      <c r="A343" t="s">
        <v>1288</v>
      </c>
      <c r="B343" t="s">
        <v>678</v>
      </c>
      <c r="C343" t="s">
        <v>1289</v>
      </c>
      <c r="D343" t="s">
        <v>1290</v>
      </c>
      <c r="E343" t="s">
        <v>1291</v>
      </c>
      <c r="F343" t="s">
        <v>160</v>
      </c>
      <c r="G343" t="s">
        <v>1292</v>
      </c>
      <c r="H343" t="s">
        <v>280</v>
      </c>
      <c r="I343" t="s">
        <v>97</v>
      </c>
      <c r="J343" t="s">
        <v>98</v>
      </c>
      <c r="K343" t="s">
        <v>69</v>
      </c>
      <c r="L343" t="s">
        <v>1293</v>
      </c>
      <c r="M343" t="s">
        <v>71</v>
      </c>
      <c r="N343" t="s">
        <v>100</v>
      </c>
      <c r="O343" t="s">
        <v>1136</v>
      </c>
      <c r="P343" t="s">
        <v>1137</v>
      </c>
      <c r="R343" t="s">
        <v>1138</v>
      </c>
      <c r="S343" t="s">
        <v>165</v>
      </c>
      <c r="T343" t="s">
        <v>274</v>
      </c>
      <c r="U343" t="s">
        <v>104</v>
      </c>
      <c r="V343" t="s">
        <v>1220</v>
      </c>
      <c r="W343">
        <v>490</v>
      </c>
      <c r="X343">
        <v>22.99</v>
      </c>
      <c r="Y343">
        <v>60</v>
      </c>
      <c r="Z343">
        <v>355000</v>
      </c>
      <c r="AA343">
        <v>53900</v>
      </c>
      <c r="AB343">
        <v>102</v>
      </c>
      <c r="AD343" t="s">
        <v>238</v>
      </c>
      <c r="AE343">
        <v>1</v>
      </c>
      <c r="AF343">
        <v>0</v>
      </c>
      <c r="AI343">
        <v>0</v>
      </c>
      <c r="AJ343">
        <v>35</v>
      </c>
      <c r="AK343">
        <v>35</v>
      </c>
      <c r="AL343">
        <v>110</v>
      </c>
      <c r="AM343">
        <v>38</v>
      </c>
      <c r="AN343">
        <v>0</v>
      </c>
      <c r="AO343">
        <v>38</v>
      </c>
      <c r="AP343" t="s">
        <v>80</v>
      </c>
      <c r="AQ343" t="s">
        <v>624</v>
      </c>
      <c r="AT343" t="s">
        <v>86</v>
      </c>
      <c r="AU343" t="s">
        <v>86</v>
      </c>
      <c r="AV343" t="s">
        <v>1294</v>
      </c>
      <c r="AW343" t="s">
        <v>69</v>
      </c>
      <c r="AX343" t="s">
        <v>126</v>
      </c>
      <c r="AY343" t="s">
        <v>1295</v>
      </c>
      <c r="AZ343" t="s">
        <v>244</v>
      </c>
      <c r="BA343" t="s">
        <v>245</v>
      </c>
      <c r="BB343" t="s">
        <v>264</v>
      </c>
      <c r="BC343" t="s">
        <v>264</v>
      </c>
      <c r="BD343" t="s">
        <v>1299</v>
      </c>
      <c r="BE343" t="s">
        <v>1297</v>
      </c>
      <c r="BF343" t="s">
        <v>279</v>
      </c>
      <c r="BG343" t="s">
        <v>110</v>
      </c>
      <c r="BH343" t="str">
        <f>IF(COUNTIF(工作表1!A:A, $C343)&gt;0, "預購款", "非預購款")</f>
        <v>非預購款</v>
      </c>
    </row>
    <row r="344" spans="1:60" x14ac:dyDescent="0.25">
      <c r="A344" t="s">
        <v>1089</v>
      </c>
      <c r="B344" t="s">
        <v>535</v>
      </c>
      <c r="C344" t="s">
        <v>1090</v>
      </c>
      <c r="D344" t="s">
        <v>1091</v>
      </c>
      <c r="E344" t="s">
        <v>1092</v>
      </c>
      <c r="F344" t="s">
        <v>160</v>
      </c>
      <c r="G344" t="s">
        <v>1093</v>
      </c>
      <c r="H344" t="s">
        <v>119</v>
      </c>
      <c r="I344" t="s">
        <v>162</v>
      </c>
      <c r="J344" t="s">
        <v>163</v>
      </c>
      <c r="K344" t="s">
        <v>69</v>
      </c>
      <c r="L344" t="s">
        <v>1094</v>
      </c>
      <c r="M344" t="s">
        <v>71</v>
      </c>
      <c r="N344" t="s">
        <v>100</v>
      </c>
      <c r="O344" t="s">
        <v>980</v>
      </c>
      <c r="P344" t="s">
        <v>981</v>
      </c>
      <c r="R344" t="s">
        <v>1095</v>
      </c>
      <c r="S344" t="s">
        <v>165</v>
      </c>
      <c r="T344" t="s">
        <v>76</v>
      </c>
      <c r="U344" t="s">
        <v>104</v>
      </c>
      <c r="V344" t="s">
        <v>965</v>
      </c>
      <c r="W344">
        <v>390</v>
      </c>
      <c r="X344">
        <v>16.989999999999998</v>
      </c>
      <c r="Y344">
        <v>49</v>
      </c>
      <c r="Z344">
        <v>279000</v>
      </c>
      <c r="AA344">
        <v>366600</v>
      </c>
      <c r="AB344">
        <v>192</v>
      </c>
      <c r="AD344" t="s">
        <v>238</v>
      </c>
      <c r="AE344">
        <v>2</v>
      </c>
      <c r="AF344">
        <v>0</v>
      </c>
      <c r="AI344">
        <v>100</v>
      </c>
      <c r="AJ344">
        <v>130</v>
      </c>
      <c r="AK344">
        <v>230</v>
      </c>
      <c r="AL344">
        <v>940</v>
      </c>
      <c r="AM344">
        <v>229</v>
      </c>
      <c r="AN344">
        <v>0</v>
      </c>
      <c r="AO344">
        <v>229</v>
      </c>
      <c r="AP344" t="s">
        <v>80</v>
      </c>
      <c r="AQ344" t="s">
        <v>179</v>
      </c>
      <c r="AR344" t="s">
        <v>86</v>
      </c>
      <c r="AS344" t="s">
        <v>86</v>
      </c>
      <c r="AT344" t="s">
        <v>264</v>
      </c>
      <c r="AU344" t="s">
        <v>264</v>
      </c>
      <c r="AV344" t="s">
        <v>1096</v>
      </c>
      <c r="AW344" t="s">
        <v>69</v>
      </c>
      <c r="AX344" t="s">
        <v>1097</v>
      </c>
      <c r="AY344" t="s">
        <v>1098</v>
      </c>
      <c r="AZ344" t="s">
        <v>243</v>
      </c>
      <c r="BA344" t="s">
        <v>264</v>
      </c>
      <c r="BB344" t="s">
        <v>244</v>
      </c>
      <c r="BC344" t="s">
        <v>244</v>
      </c>
      <c r="BD344" t="s">
        <v>1099</v>
      </c>
      <c r="BE344" t="s">
        <v>1300</v>
      </c>
      <c r="BF344" t="s">
        <v>86</v>
      </c>
      <c r="BG344" t="s">
        <v>150</v>
      </c>
      <c r="BH344" t="str">
        <f>IF(COUNTIF(工作表1!A:A, $C344)&gt;0, "預購款", "非預購款")</f>
        <v>非預購款</v>
      </c>
    </row>
    <row r="345" spans="1:60" x14ac:dyDescent="0.25">
      <c r="A345" t="s">
        <v>1089</v>
      </c>
      <c r="B345" t="s">
        <v>535</v>
      </c>
      <c r="C345" t="s">
        <v>1090</v>
      </c>
      <c r="D345" t="s">
        <v>1091</v>
      </c>
      <c r="E345" t="s">
        <v>1092</v>
      </c>
      <c r="F345" t="s">
        <v>160</v>
      </c>
      <c r="G345" t="s">
        <v>1093</v>
      </c>
      <c r="H345" t="s">
        <v>130</v>
      </c>
      <c r="I345" t="s">
        <v>162</v>
      </c>
      <c r="J345" t="s">
        <v>163</v>
      </c>
      <c r="K345" t="s">
        <v>69</v>
      </c>
      <c r="L345" t="s">
        <v>1094</v>
      </c>
      <c r="M345" t="s">
        <v>71</v>
      </c>
      <c r="N345" t="s">
        <v>100</v>
      </c>
      <c r="O345" t="s">
        <v>980</v>
      </c>
      <c r="P345" t="s">
        <v>981</v>
      </c>
      <c r="R345" t="s">
        <v>1095</v>
      </c>
      <c r="S345" t="s">
        <v>165</v>
      </c>
      <c r="T345" t="s">
        <v>76</v>
      </c>
      <c r="U345" t="s">
        <v>104</v>
      </c>
      <c r="V345" t="s">
        <v>965</v>
      </c>
      <c r="W345">
        <v>390</v>
      </c>
      <c r="X345">
        <v>16.989999999999998</v>
      </c>
      <c r="Y345">
        <v>49</v>
      </c>
      <c r="Z345">
        <v>279000</v>
      </c>
      <c r="AA345">
        <v>366600</v>
      </c>
      <c r="AB345">
        <v>192</v>
      </c>
      <c r="AD345" t="s">
        <v>238</v>
      </c>
      <c r="AE345">
        <v>2</v>
      </c>
      <c r="AF345">
        <v>0</v>
      </c>
      <c r="AI345">
        <v>60</v>
      </c>
      <c r="AJ345">
        <v>130</v>
      </c>
      <c r="AK345">
        <v>190</v>
      </c>
      <c r="AL345">
        <v>940</v>
      </c>
      <c r="AM345">
        <v>189</v>
      </c>
      <c r="AN345">
        <v>0</v>
      </c>
      <c r="AO345">
        <v>189</v>
      </c>
      <c r="AP345" t="s">
        <v>80</v>
      </c>
      <c r="AQ345" t="s">
        <v>179</v>
      </c>
      <c r="AR345" t="s">
        <v>86</v>
      </c>
      <c r="AS345" t="s">
        <v>86</v>
      </c>
      <c r="AT345" t="s">
        <v>264</v>
      </c>
      <c r="AU345" t="s">
        <v>264</v>
      </c>
      <c r="AV345" t="s">
        <v>1096</v>
      </c>
      <c r="AW345" t="s">
        <v>69</v>
      </c>
      <c r="AX345" t="s">
        <v>1097</v>
      </c>
      <c r="AY345" t="s">
        <v>1098</v>
      </c>
      <c r="AZ345" t="s">
        <v>243</v>
      </c>
      <c r="BA345" t="s">
        <v>264</v>
      </c>
      <c r="BB345" t="s">
        <v>244</v>
      </c>
      <c r="BC345" t="s">
        <v>244</v>
      </c>
      <c r="BD345" t="s">
        <v>1101</v>
      </c>
      <c r="BE345" t="s">
        <v>1300</v>
      </c>
      <c r="BF345" t="s">
        <v>86</v>
      </c>
      <c r="BG345" t="s">
        <v>150</v>
      </c>
      <c r="BH345" t="str">
        <f>IF(COUNTIF(工作表1!A:A, $C345)&gt;0, "預購款", "非預購款")</f>
        <v>非預購款</v>
      </c>
    </row>
    <row r="346" spans="1:60" x14ac:dyDescent="0.25">
      <c r="A346" t="s">
        <v>1089</v>
      </c>
      <c r="B346" t="s">
        <v>535</v>
      </c>
      <c r="C346" t="s">
        <v>1090</v>
      </c>
      <c r="D346" t="s">
        <v>1091</v>
      </c>
      <c r="E346" t="s">
        <v>1092</v>
      </c>
      <c r="F346" t="s">
        <v>160</v>
      </c>
      <c r="G346" t="s">
        <v>1093</v>
      </c>
      <c r="H346" t="s">
        <v>132</v>
      </c>
      <c r="I346" t="s">
        <v>162</v>
      </c>
      <c r="J346" t="s">
        <v>163</v>
      </c>
      <c r="K346" t="s">
        <v>69</v>
      </c>
      <c r="L346" t="s">
        <v>1094</v>
      </c>
      <c r="M346" t="s">
        <v>71</v>
      </c>
      <c r="N346" t="s">
        <v>100</v>
      </c>
      <c r="O346" t="s">
        <v>980</v>
      </c>
      <c r="P346" t="s">
        <v>981</v>
      </c>
      <c r="R346" t="s">
        <v>1095</v>
      </c>
      <c r="S346" t="s">
        <v>165</v>
      </c>
      <c r="T346" t="s">
        <v>76</v>
      </c>
      <c r="U346" t="s">
        <v>104</v>
      </c>
      <c r="V346" t="s">
        <v>965</v>
      </c>
      <c r="W346">
        <v>390</v>
      </c>
      <c r="X346">
        <v>16.989999999999998</v>
      </c>
      <c r="Y346">
        <v>49</v>
      </c>
      <c r="Z346">
        <v>279000</v>
      </c>
      <c r="AA346">
        <v>366600</v>
      </c>
      <c r="AB346">
        <v>192</v>
      </c>
      <c r="AD346" t="s">
        <v>238</v>
      </c>
      <c r="AE346">
        <v>2</v>
      </c>
      <c r="AF346">
        <v>0</v>
      </c>
      <c r="AI346">
        <v>40</v>
      </c>
      <c r="AJ346">
        <v>30</v>
      </c>
      <c r="AK346">
        <v>70</v>
      </c>
      <c r="AL346">
        <v>940</v>
      </c>
      <c r="AM346">
        <v>62</v>
      </c>
      <c r="AN346">
        <v>0</v>
      </c>
      <c r="AO346">
        <v>62</v>
      </c>
      <c r="AP346" t="s">
        <v>80</v>
      </c>
      <c r="AQ346" t="s">
        <v>179</v>
      </c>
      <c r="AR346" t="s">
        <v>86</v>
      </c>
      <c r="AS346" t="s">
        <v>86</v>
      </c>
      <c r="AT346" t="s">
        <v>264</v>
      </c>
      <c r="AU346" t="s">
        <v>264</v>
      </c>
      <c r="AV346" t="s">
        <v>1096</v>
      </c>
      <c r="AW346" t="s">
        <v>69</v>
      </c>
      <c r="AX346" t="s">
        <v>1097</v>
      </c>
      <c r="AY346" t="s">
        <v>1098</v>
      </c>
      <c r="AZ346" t="s">
        <v>243</v>
      </c>
      <c r="BA346" t="s">
        <v>264</v>
      </c>
      <c r="BB346" t="s">
        <v>244</v>
      </c>
      <c r="BC346" t="s">
        <v>244</v>
      </c>
      <c r="BD346" t="s">
        <v>1102</v>
      </c>
      <c r="BE346" t="s">
        <v>1300</v>
      </c>
      <c r="BF346" t="s">
        <v>86</v>
      </c>
      <c r="BG346" t="s">
        <v>150</v>
      </c>
      <c r="BH346" t="str">
        <f>IF(COUNTIF(工作表1!A:A, $C346)&gt;0, "預購款", "非預購款")</f>
        <v>非預購款</v>
      </c>
    </row>
    <row r="347" spans="1:60" x14ac:dyDescent="0.25">
      <c r="A347" t="s">
        <v>1089</v>
      </c>
      <c r="B347" t="s">
        <v>535</v>
      </c>
      <c r="C347" t="s">
        <v>1090</v>
      </c>
      <c r="D347" t="s">
        <v>1091</v>
      </c>
      <c r="E347" t="s">
        <v>1092</v>
      </c>
      <c r="F347" t="s">
        <v>160</v>
      </c>
      <c r="G347" t="s">
        <v>1093</v>
      </c>
      <c r="H347" t="s">
        <v>119</v>
      </c>
      <c r="I347" t="s">
        <v>171</v>
      </c>
      <c r="J347" t="s">
        <v>172</v>
      </c>
      <c r="K347" t="s">
        <v>69</v>
      </c>
      <c r="L347" t="s">
        <v>1094</v>
      </c>
      <c r="M347" t="s">
        <v>71</v>
      </c>
      <c r="N347" t="s">
        <v>100</v>
      </c>
      <c r="O347" t="s">
        <v>980</v>
      </c>
      <c r="P347" t="s">
        <v>981</v>
      </c>
      <c r="R347" t="s">
        <v>1095</v>
      </c>
      <c r="S347" t="s">
        <v>165</v>
      </c>
      <c r="T347" t="s">
        <v>76</v>
      </c>
      <c r="U347" t="s">
        <v>104</v>
      </c>
      <c r="V347" t="s">
        <v>965</v>
      </c>
      <c r="W347">
        <v>390</v>
      </c>
      <c r="X347">
        <v>16.989999999999998</v>
      </c>
      <c r="Y347">
        <v>49</v>
      </c>
      <c r="Z347">
        <v>279000</v>
      </c>
      <c r="AA347">
        <v>366600</v>
      </c>
      <c r="AB347">
        <v>192</v>
      </c>
      <c r="AD347" t="s">
        <v>238</v>
      </c>
      <c r="AE347">
        <v>2</v>
      </c>
      <c r="AF347">
        <v>0</v>
      </c>
      <c r="AI347">
        <v>40</v>
      </c>
      <c r="AJ347">
        <v>170</v>
      </c>
      <c r="AK347">
        <v>210</v>
      </c>
      <c r="AL347">
        <v>940</v>
      </c>
      <c r="AM347">
        <v>206</v>
      </c>
      <c r="AN347">
        <v>0</v>
      </c>
      <c r="AO347">
        <v>206</v>
      </c>
      <c r="AP347" t="s">
        <v>80</v>
      </c>
      <c r="AQ347" t="s">
        <v>179</v>
      </c>
      <c r="AR347" t="s">
        <v>86</v>
      </c>
      <c r="AS347" t="s">
        <v>86</v>
      </c>
      <c r="AT347" t="s">
        <v>264</v>
      </c>
      <c r="AU347" t="s">
        <v>264</v>
      </c>
      <c r="AV347" t="s">
        <v>1096</v>
      </c>
      <c r="AW347" t="s">
        <v>69</v>
      </c>
      <c r="AX347" t="s">
        <v>1097</v>
      </c>
      <c r="AY347" t="s">
        <v>1098</v>
      </c>
      <c r="AZ347" t="s">
        <v>243</v>
      </c>
      <c r="BA347" t="s">
        <v>264</v>
      </c>
      <c r="BB347" t="s">
        <v>244</v>
      </c>
      <c r="BC347" t="s">
        <v>244</v>
      </c>
      <c r="BD347" t="s">
        <v>1103</v>
      </c>
      <c r="BE347" t="s">
        <v>1300</v>
      </c>
      <c r="BF347" t="s">
        <v>86</v>
      </c>
      <c r="BG347" t="s">
        <v>150</v>
      </c>
      <c r="BH347" t="str">
        <f>IF(COUNTIF(工作表1!A:A, $C347)&gt;0, "預購款", "非預購款")</f>
        <v>非預購款</v>
      </c>
    </row>
    <row r="348" spans="1:60" x14ac:dyDescent="0.25">
      <c r="A348" t="s">
        <v>1089</v>
      </c>
      <c r="B348" t="s">
        <v>535</v>
      </c>
      <c r="C348" t="s">
        <v>1090</v>
      </c>
      <c r="D348" t="s">
        <v>1091</v>
      </c>
      <c r="E348" t="s">
        <v>1092</v>
      </c>
      <c r="F348" t="s">
        <v>160</v>
      </c>
      <c r="G348" t="s">
        <v>1093</v>
      </c>
      <c r="H348" t="s">
        <v>130</v>
      </c>
      <c r="I348" t="s">
        <v>171</v>
      </c>
      <c r="J348" t="s">
        <v>172</v>
      </c>
      <c r="K348" t="s">
        <v>69</v>
      </c>
      <c r="L348" t="s">
        <v>1094</v>
      </c>
      <c r="M348" t="s">
        <v>71</v>
      </c>
      <c r="N348" t="s">
        <v>100</v>
      </c>
      <c r="O348" t="s">
        <v>980</v>
      </c>
      <c r="P348" t="s">
        <v>981</v>
      </c>
      <c r="R348" t="s">
        <v>1095</v>
      </c>
      <c r="S348" t="s">
        <v>165</v>
      </c>
      <c r="T348" t="s">
        <v>76</v>
      </c>
      <c r="U348" t="s">
        <v>104</v>
      </c>
      <c r="V348" t="s">
        <v>965</v>
      </c>
      <c r="W348">
        <v>390</v>
      </c>
      <c r="X348">
        <v>16.989999999999998</v>
      </c>
      <c r="Y348">
        <v>49</v>
      </c>
      <c r="Z348">
        <v>279000</v>
      </c>
      <c r="AA348">
        <v>366600</v>
      </c>
      <c r="AB348">
        <v>192</v>
      </c>
      <c r="AD348" t="s">
        <v>238</v>
      </c>
      <c r="AE348">
        <v>2</v>
      </c>
      <c r="AF348">
        <v>0</v>
      </c>
      <c r="AI348">
        <v>30</v>
      </c>
      <c r="AJ348">
        <v>170</v>
      </c>
      <c r="AK348">
        <v>200</v>
      </c>
      <c r="AL348">
        <v>940</v>
      </c>
      <c r="AM348">
        <v>198</v>
      </c>
      <c r="AN348">
        <v>0</v>
      </c>
      <c r="AO348">
        <v>198</v>
      </c>
      <c r="AP348" t="s">
        <v>80</v>
      </c>
      <c r="AQ348" t="s">
        <v>179</v>
      </c>
      <c r="AR348" t="s">
        <v>86</v>
      </c>
      <c r="AS348" t="s">
        <v>86</v>
      </c>
      <c r="AT348" t="s">
        <v>264</v>
      </c>
      <c r="AU348" t="s">
        <v>264</v>
      </c>
      <c r="AV348" t="s">
        <v>1096</v>
      </c>
      <c r="AW348" t="s">
        <v>69</v>
      </c>
      <c r="AX348" t="s">
        <v>1097</v>
      </c>
      <c r="AY348" t="s">
        <v>1098</v>
      </c>
      <c r="AZ348" t="s">
        <v>243</v>
      </c>
      <c r="BA348" t="s">
        <v>264</v>
      </c>
      <c r="BB348" t="s">
        <v>244</v>
      </c>
      <c r="BC348" t="s">
        <v>244</v>
      </c>
      <c r="BD348" t="s">
        <v>1104</v>
      </c>
      <c r="BE348" t="s">
        <v>1300</v>
      </c>
      <c r="BF348" t="s">
        <v>86</v>
      </c>
      <c r="BG348" t="s">
        <v>150</v>
      </c>
      <c r="BH348" t="str">
        <f>IF(COUNTIF(工作表1!A:A, $C348)&gt;0, "預購款", "非預購款")</f>
        <v>非預購款</v>
      </c>
    </row>
    <row r="349" spans="1:60" x14ac:dyDescent="0.25">
      <c r="A349" t="s">
        <v>1089</v>
      </c>
      <c r="B349" t="s">
        <v>535</v>
      </c>
      <c r="C349" t="s">
        <v>1090</v>
      </c>
      <c r="D349" t="s">
        <v>1091</v>
      </c>
      <c r="E349" t="s">
        <v>1092</v>
      </c>
      <c r="F349" t="s">
        <v>160</v>
      </c>
      <c r="G349" t="s">
        <v>1093</v>
      </c>
      <c r="H349" t="s">
        <v>132</v>
      </c>
      <c r="I349" t="s">
        <v>171</v>
      </c>
      <c r="J349" t="s">
        <v>172</v>
      </c>
      <c r="K349" t="s">
        <v>69</v>
      </c>
      <c r="L349" t="s">
        <v>1094</v>
      </c>
      <c r="M349" t="s">
        <v>71</v>
      </c>
      <c r="N349" t="s">
        <v>100</v>
      </c>
      <c r="O349" t="s">
        <v>980</v>
      </c>
      <c r="P349" t="s">
        <v>981</v>
      </c>
      <c r="R349" t="s">
        <v>1095</v>
      </c>
      <c r="S349" t="s">
        <v>165</v>
      </c>
      <c r="T349" t="s">
        <v>76</v>
      </c>
      <c r="U349" t="s">
        <v>104</v>
      </c>
      <c r="V349" t="s">
        <v>965</v>
      </c>
      <c r="W349">
        <v>390</v>
      </c>
      <c r="X349">
        <v>16.989999999999998</v>
      </c>
      <c r="Y349">
        <v>49</v>
      </c>
      <c r="Z349">
        <v>279000</v>
      </c>
      <c r="AA349">
        <v>366600</v>
      </c>
      <c r="AB349">
        <v>192</v>
      </c>
      <c r="AD349" t="s">
        <v>238</v>
      </c>
      <c r="AE349">
        <v>2</v>
      </c>
      <c r="AF349">
        <v>0</v>
      </c>
      <c r="AI349">
        <v>10</v>
      </c>
      <c r="AJ349">
        <v>30</v>
      </c>
      <c r="AK349">
        <v>40</v>
      </c>
      <c r="AL349">
        <v>940</v>
      </c>
      <c r="AM349">
        <v>38</v>
      </c>
      <c r="AN349">
        <v>0</v>
      </c>
      <c r="AO349">
        <v>38</v>
      </c>
      <c r="AP349" t="s">
        <v>80</v>
      </c>
      <c r="AQ349" t="s">
        <v>179</v>
      </c>
      <c r="AR349" t="s">
        <v>86</v>
      </c>
      <c r="AS349" t="s">
        <v>86</v>
      </c>
      <c r="AT349" t="s">
        <v>264</v>
      </c>
      <c r="AU349" t="s">
        <v>264</v>
      </c>
      <c r="AV349" t="s">
        <v>1096</v>
      </c>
      <c r="AW349" t="s">
        <v>69</v>
      </c>
      <c r="AX349" t="s">
        <v>1097</v>
      </c>
      <c r="AY349" t="s">
        <v>1098</v>
      </c>
      <c r="AZ349" t="s">
        <v>243</v>
      </c>
      <c r="BA349" t="s">
        <v>264</v>
      </c>
      <c r="BB349" t="s">
        <v>244</v>
      </c>
      <c r="BC349" t="s">
        <v>244</v>
      </c>
      <c r="BD349" t="s">
        <v>1105</v>
      </c>
      <c r="BE349" t="s">
        <v>1300</v>
      </c>
      <c r="BF349" t="s">
        <v>86</v>
      </c>
      <c r="BG349" t="s">
        <v>150</v>
      </c>
      <c r="BH349" t="str">
        <f>IF(COUNTIF(工作表1!A:A, $C349)&gt;0, "預購款", "非預購款")</f>
        <v>非預購款</v>
      </c>
    </row>
    <row r="350" spans="1:60" x14ac:dyDescent="0.25">
      <c r="A350" t="s">
        <v>1301</v>
      </c>
      <c r="B350" t="s">
        <v>315</v>
      </c>
      <c r="C350" t="s">
        <v>1302</v>
      </c>
      <c r="D350" t="s">
        <v>1303</v>
      </c>
      <c r="E350" t="s">
        <v>1304</v>
      </c>
      <c r="F350" t="s">
        <v>103</v>
      </c>
      <c r="G350" t="s">
        <v>1305</v>
      </c>
      <c r="H350" t="s">
        <v>66</v>
      </c>
      <c r="I350" t="s">
        <v>111</v>
      </c>
      <c r="J350" t="s">
        <v>112</v>
      </c>
      <c r="K350" t="s">
        <v>69</v>
      </c>
      <c r="L350" t="s">
        <v>1306</v>
      </c>
      <c r="M350" t="s">
        <v>71</v>
      </c>
      <c r="N350" t="s">
        <v>100</v>
      </c>
      <c r="O350" t="s">
        <v>1307</v>
      </c>
      <c r="P350" t="s">
        <v>1308</v>
      </c>
      <c r="R350" t="s">
        <v>1309</v>
      </c>
      <c r="S350" t="s">
        <v>1310</v>
      </c>
      <c r="T350" t="s">
        <v>258</v>
      </c>
      <c r="U350" t="s">
        <v>527</v>
      </c>
      <c r="V350" t="s">
        <v>1311</v>
      </c>
      <c r="W350">
        <v>990</v>
      </c>
      <c r="X350">
        <v>39.99</v>
      </c>
      <c r="Y350">
        <v>129</v>
      </c>
      <c r="Z350">
        <v>709000</v>
      </c>
      <c r="AA350">
        <v>792000</v>
      </c>
      <c r="AB350">
        <v>520</v>
      </c>
      <c r="AD350" t="s">
        <v>238</v>
      </c>
      <c r="AE350">
        <v>2</v>
      </c>
      <c r="AF350">
        <v>0</v>
      </c>
      <c r="AI350">
        <v>150</v>
      </c>
      <c r="AJ350">
        <v>300</v>
      </c>
      <c r="AK350">
        <v>450</v>
      </c>
      <c r="AL350">
        <v>800</v>
      </c>
      <c r="AM350">
        <v>435</v>
      </c>
      <c r="AN350">
        <v>0</v>
      </c>
      <c r="AO350">
        <v>435</v>
      </c>
      <c r="AP350" t="s">
        <v>80</v>
      </c>
      <c r="AQ350" t="s">
        <v>1151</v>
      </c>
      <c r="AT350" t="s">
        <v>86</v>
      </c>
      <c r="AU350" t="s">
        <v>264</v>
      </c>
      <c r="AV350" t="s">
        <v>1312</v>
      </c>
      <c r="AW350" t="s">
        <v>69</v>
      </c>
      <c r="AX350" t="s">
        <v>675</v>
      </c>
      <c r="AY350" t="s">
        <v>1313</v>
      </c>
      <c r="BD350" t="s">
        <v>1314</v>
      </c>
      <c r="BE350" t="s">
        <v>1315</v>
      </c>
      <c r="BF350" t="s">
        <v>240</v>
      </c>
      <c r="BG350" t="s">
        <v>110</v>
      </c>
      <c r="BH350" t="str">
        <f>IF(COUNTIF(工作表1!A:A, $C350)&gt;0, "預購款", "非預購款")</f>
        <v>預購款</v>
      </c>
    </row>
    <row r="351" spans="1:60" x14ac:dyDescent="0.25">
      <c r="A351" t="s">
        <v>1301</v>
      </c>
      <c r="B351" t="s">
        <v>315</v>
      </c>
      <c r="C351" t="s">
        <v>1302</v>
      </c>
      <c r="D351" t="s">
        <v>1303</v>
      </c>
      <c r="E351" t="s">
        <v>1304</v>
      </c>
      <c r="F351" t="s">
        <v>103</v>
      </c>
      <c r="G351" t="s">
        <v>1305</v>
      </c>
      <c r="H351" t="s">
        <v>66</v>
      </c>
      <c r="I351" t="s">
        <v>214</v>
      </c>
      <c r="J351" t="s">
        <v>215</v>
      </c>
      <c r="K351" t="s">
        <v>69</v>
      </c>
      <c r="L351" t="s">
        <v>1306</v>
      </c>
      <c r="M351" t="s">
        <v>71</v>
      </c>
      <c r="N351" t="s">
        <v>100</v>
      </c>
      <c r="O351" t="s">
        <v>1307</v>
      </c>
      <c r="P351" t="s">
        <v>1308</v>
      </c>
      <c r="R351" t="s">
        <v>1309</v>
      </c>
      <c r="S351" t="s">
        <v>1310</v>
      </c>
      <c r="T351" t="s">
        <v>258</v>
      </c>
      <c r="U351" t="s">
        <v>527</v>
      </c>
      <c r="V351" t="s">
        <v>1311</v>
      </c>
      <c r="W351">
        <v>990</v>
      </c>
      <c r="X351">
        <v>39.99</v>
      </c>
      <c r="Y351">
        <v>129</v>
      </c>
      <c r="Z351">
        <v>709000</v>
      </c>
      <c r="AA351">
        <v>792000</v>
      </c>
      <c r="AB351">
        <v>520</v>
      </c>
      <c r="AD351" t="s">
        <v>238</v>
      </c>
      <c r="AE351">
        <v>2</v>
      </c>
      <c r="AF351">
        <v>0</v>
      </c>
      <c r="AI351">
        <v>150</v>
      </c>
      <c r="AJ351">
        <v>200</v>
      </c>
      <c r="AK351">
        <v>350</v>
      </c>
      <c r="AL351">
        <v>800</v>
      </c>
      <c r="AM351">
        <v>352</v>
      </c>
      <c r="AN351">
        <v>0</v>
      </c>
      <c r="AO351">
        <v>352</v>
      </c>
      <c r="AP351" t="s">
        <v>80</v>
      </c>
      <c r="AQ351" t="s">
        <v>1151</v>
      </c>
      <c r="AT351" t="s">
        <v>86</v>
      </c>
      <c r="AU351" t="s">
        <v>240</v>
      </c>
      <c r="AV351" t="s">
        <v>1312</v>
      </c>
      <c r="AW351" t="s">
        <v>69</v>
      </c>
      <c r="AX351" t="s">
        <v>675</v>
      </c>
      <c r="AY351" t="s">
        <v>1313</v>
      </c>
      <c r="BD351" t="s">
        <v>1316</v>
      </c>
      <c r="BE351" t="s">
        <v>1315</v>
      </c>
      <c r="BF351" t="s">
        <v>240</v>
      </c>
      <c r="BG351" t="s">
        <v>110</v>
      </c>
      <c r="BH351" t="str">
        <f>IF(COUNTIF(工作表1!A:A, $C351)&gt;0, "預購款", "非預購款")</f>
        <v>預購款</v>
      </c>
    </row>
    <row r="352" spans="1:60" x14ac:dyDescent="0.25">
      <c r="A352" t="s">
        <v>1317</v>
      </c>
      <c r="B352" t="s">
        <v>535</v>
      </c>
      <c r="C352" t="s">
        <v>1318</v>
      </c>
      <c r="D352" t="s">
        <v>1319</v>
      </c>
      <c r="E352" t="s">
        <v>1320</v>
      </c>
      <c r="F352" t="s">
        <v>1321</v>
      </c>
      <c r="G352" t="s">
        <v>1322</v>
      </c>
      <c r="H352" t="s">
        <v>66</v>
      </c>
      <c r="I352" t="s">
        <v>88</v>
      </c>
      <c r="J352" t="s">
        <v>89</v>
      </c>
      <c r="K352" t="s">
        <v>69</v>
      </c>
      <c r="L352" t="s">
        <v>1323</v>
      </c>
      <c r="M352" t="s">
        <v>71</v>
      </c>
      <c r="N352" t="s">
        <v>198</v>
      </c>
      <c r="O352" t="s">
        <v>1307</v>
      </c>
      <c r="P352" t="s">
        <v>1308</v>
      </c>
      <c r="R352" t="s">
        <v>1309</v>
      </c>
      <c r="S352" t="s">
        <v>1324</v>
      </c>
      <c r="T352" t="s">
        <v>258</v>
      </c>
      <c r="U352" t="s">
        <v>527</v>
      </c>
      <c r="V352" t="s">
        <v>568</v>
      </c>
      <c r="W352">
        <v>790</v>
      </c>
      <c r="X352">
        <v>34.99</v>
      </c>
      <c r="Y352">
        <v>99</v>
      </c>
      <c r="Z352">
        <v>569000</v>
      </c>
      <c r="AA352">
        <v>39500</v>
      </c>
      <c r="AB352">
        <v>140</v>
      </c>
      <c r="AD352" t="s">
        <v>238</v>
      </c>
      <c r="AE352">
        <v>1</v>
      </c>
      <c r="AF352">
        <v>0</v>
      </c>
      <c r="AI352">
        <v>0</v>
      </c>
      <c r="AJ352">
        <v>50</v>
      </c>
      <c r="AK352">
        <v>50</v>
      </c>
      <c r="AL352">
        <v>50</v>
      </c>
      <c r="AM352">
        <v>56</v>
      </c>
      <c r="AN352">
        <v>0</v>
      </c>
      <c r="AO352">
        <v>56</v>
      </c>
      <c r="AP352" t="s">
        <v>80</v>
      </c>
      <c r="AQ352" t="s">
        <v>179</v>
      </c>
      <c r="AT352" t="s">
        <v>261</v>
      </c>
      <c r="AU352" t="s">
        <v>264</v>
      </c>
      <c r="AV352" t="s">
        <v>1325</v>
      </c>
      <c r="AW352" t="s">
        <v>69</v>
      </c>
      <c r="AX352" t="s">
        <v>1326</v>
      </c>
      <c r="AY352" t="s">
        <v>1327</v>
      </c>
      <c r="AZ352" t="s">
        <v>264</v>
      </c>
      <c r="BA352" t="s">
        <v>245</v>
      </c>
      <c r="BB352" t="s">
        <v>245</v>
      </c>
      <c r="BC352" t="s">
        <v>244</v>
      </c>
      <c r="BD352" t="s">
        <v>1328</v>
      </c>
      <c r="BE352" t="s">
        <v>1329</v>
      </c>
      <c r="BF352" t="s">
        <v>240</v>
      </c>
      <c r="BG352" t="s">
        <v>110</v>
      </c>
      <c r="BH352" t="str">
        <f>IF(COUNTIF(工作表1!A:A, $C352)&gt;0, "預購款", "非預購款")</f>
        <v>非預購款</v>
      </c>
    </row>
    <row r="353" spans="1:60" x14ac:dyDescent="0.25">
      <c r="A353" t="s">
        <v>1332</v>
      </c>
      <c r="B353" t="s">
        <v>535</v>
      </c>
      <c r="C353" t="s">
        <v>1333</v>
      </c>
      <c r="D353" t="s">
        <v>1334</v>
      </c>
      <c r="E353" t="s">
        <v>1335</v>
      </c>
      <c r="F353" t="s">
        <v>1330</v>
      </c>
      <c r="G353" t="s">
        <v>1336</v>
      </c>
      <c r="H353" t="s">
        <v>66</v>
      </c>
      <c r="I353" t="s">
        <v>1228</v>
      </c>
      <c r="J353" t="s">
        <v>1229</v>
      </c>
      <c r="K353" t="s">
        <v>69</v>
      </c>
      <c r="L353" t="s">
        <v>1337</v>
      </c>
      <c r="M353" t="s">
        <v>71</v>
      </c>
      <c r="N353" t="s">
        <v>198</v>
      </c>
      <c r="O353" t="s">
        <v>1307</v>
      </c>
      <c r="P353" t="s">
        <v>1308</v>
      </c>
      <c r="R353" t="s">
        <v>1309</v>
      </c>
      <c r="S353" t="s">
        <v>1331</v>
      </c>
      <c r="T353" t="s">
        <v>258</v>
      </c>
      <c r="U353" t="s">
        <v>527</v>
      </c>
      <c r="V353" t="s">
        <v>554</v>
      </c>
      <c r="W353">
        <v>690</v>
      </c>
      <c r="X353">
        <v>29.99</v>
      </c>
      <c r="Y353">
        <v>89</v>
      </c>
      <c r="Z353">
        <v>499000</v>
      </c>
      <c r="AA353">
        <v>379500</v>
      </c>
      <c r="AB353">
        <v>90</v>
      </c>
      <c r="AD353" t="s">
        <v>238</v>
      </c>
      <c r="AE353">
        <v>1</v>
      </c>
      <c r="AF353">
        <v>0</v>
      </c>
      <c r="AI353">
        <v>400</v>
      </c>
      <c r="AJ353">
        <v>150</v>
      </c>
      <c r="AK353">
        <v>550</v>
      </c>
      <c r="AL353">
        <v>550</v>
      </c>
      <c r="AM353">
        <v>543</v>
      </c>
      <c r="AN353">
        <v>0</v>
      </c>
      <c r="AO353">
        <v>543</v>
      </c>
      <c r="AP353" t="s">
        <v>80</v>
      </c>
      <c r="AQ353" t="s">
        <v>1151</v>
      </c>
      <c r="AT353" t="s">
        <v>264</v>
      </c>
      <c r="AU353" t="s">
        <v>264</v>
      </c>
      <c r="AV353" t="s">
        <v>1338</v>
      </c>
      <c r="AW353" t="s">
        <v>69</v>
      </c>
      <c r="AX353" t="s">
        <v>1339</v>
      </c>
      <c r="AY353" t="s">
        <v>1340</v>
      </c>
      <c r="BD353" t="s">
        <v>1341</v>
      </c>
      <c r="BE353" t="s">
        <v>1342</v>
      </c>
      <c r="BF353" t="s">
        <v>240</v>
      </c>
      <c r="BH353" t="str">
        <f>IF(COUNTIF(工作表1!A:A, $C353)&gt;0, "預購款", "非預購款")</f>
        <v>預購款</v>
      </c>
    </row>
    <row r="354" spans="1:60" x14ac:dyDescent="0.25">
      <c r="A354" t="s">
        <v>1343</v>
      </c>
      <c r="B354" t="s">
        <v>535</v>
      </c>
      <c r="C354" t="s">
        <v>1344</v>
      </c>
      <c r="D354" t="s">
        <v>1345</v>
      </c>
      <c r="E354" t="s">
        <v>1346</v>
      </c>
      <c r="F354" t="s">
        <v>1330</v>
      </c>
      <c r="G354" t="s">
        <v>1347</v>
      </c>
      <c r="H354" t="s">
        <v>66</v>
      </c>
      <c r="I354" t="s">
        <v>1348</v>
      </c>
      <c r="J354" t="s">
        <v>1349</v>
      </c>
      <c r="K354" t="s">
        <v>69</v>
      </c>
      <c r="L354" t="s">
        <v>1350</v>
      </c>
      <c r="M354" t="s">
        <v>71</v>
      </c>
      <c r="N354" t="s">
        <v>198</v>
      </c>
      <c r="O354" t="s">
        <v>1307</v>
      </c>
      <c r="P354" t="s">
        <v>1308</v>
      </c>
      <c r="R354" t="s">
        <v>1309</v>
      </c>
      <c r="S354" t="s">
        <v>1331</v>
      </c>
      <c r="T354" t="s">
        <v>258</v>
      </c>
      <c r="U354" t="s">
        <v>527</v>
      </c>
      <c r="V354" t="s">
        <v>554</v>
      </c>
      <c r="W354">
        <v>690</v>
      </c>
      <c r="X354">
        <v>29.99</v>
      </c>
      <c r="Y354">
        <v>89</v>
      </c>
      <c r="Z354">
        <v>499000</v>
      </c>
      <c r="AA354">
        <v>345000</v>
      </c>
      <c r="AB354">
        <v>90</v>
      </c>
      <c r="AD354" t="s">
        <v>238</v>
      </c>
      <c r="AE354">
        <v>1</v>
      </c>
      <c r="AF354">
        <v>0</v>
      </c>
      <c r="AI354">
        <v>250</v>
      </c>
      <c r="AJ354">
        <v>250</v>
      </c>
      <c r="AK354">
        <v>500</v>
      </c>
      <c r="AL354">
        <v>500</v>
      </c>
      <c r="AM354">
        <v>495</v>
      </c>
      <c r="AN354">
        <v>0</v>
      </c>
      <c r="AO354">
        <v>495</v>
      </c>
      <c r="AP354" t="s">
        <v>80</v>
      </c>
      <c r="AQ354" t="s">
        <v>1151</v>
      </c>
      <c r="AT354" t="s">
        <v>264</v>
      </c>
      <c r="AU354" t="s">
        <v>264</v>
      </c>
      <c r="AV354" t="s">
        <v>1351</v>
      </c>
      <c r="AW354" t="s">
        <v>69</v>
      </c>
      <c r="AX354" t="s">
        <v>1339</v>
      </c>
      <c r="AY354" t="s">
        <v>1340</v>
      </c>
      <c r="BD354" t="s">
        <v>1352</v>
      </c>
      <c r="BE354" t="s">
        <v>1353</v>
      </c>
      <c r="BH354" t="str">
        <f>IF(COUNTIF(工作表1!A:A, $C354)&gt;0, "預購款", "非預購款")</f>
        <v>預購款</v>
      </c>
    </row>
    <row r="355" spans="1:60" x14ac:dyDescent="0.25">
      <c r="A355" t="s">
        <v>1354</v>
      </c>
      <c r="B355" t="s">
        <v>535</v>
      </c>
      <c r="C355" t="s">
        <v>1355</v>
      </c>
      <c r="D355" t="s">
        <v>1356</v>
      </c>
      <c r="E355" t="s">
        <v>1357</v>
      </c>
      <c r="F355" t="s">
        <v>1330</v>
      </c>
      <c r="G355" t="s">
        <v>1358</v>
      </c>
      <c r="H355" t="s">
        <v>66</v>
      </c>
      <c r="I355" t="s">
        <v>1359</v>
      </c>
      <c r="J355" t="s">
        <v>1360</v>
      </c>
      <c r="K355" t="s">
        <v>69</v>
      </c>
      <c r="L355" t="s">
        <v>1361</v>
      </c>
      <c r="M355" t="s">
        <v>71</v>
      </c>
      <c r="N355" t="s">
        <v>198</v>
      </c>
      <c r="O355" t="s">
        <v>1307</v>
      </c>
      <c r="P355" t="s">
        <v>1308</v>
      </c>
      <c r="R355" t="s">
        <v>1309</v>
      </c>
      <c r="S355" t="s">
        <v>1331</v>
      </c>
      <c r="T355" t="s">
        <v>258</v>
      </c>
      <c r="U355" t="s">
        <v>527</v>
      </c>
      <c r="V355" t="s">
        <v>554</v>
      </c>
      <c r="W355">
        <v>790</v>
      </c>
      <c r="X355">
        <v>34.99</v>
      </c>
      <c r="Y355">
        <v>99</v>
      </c>
      <c r="Z355">
        <v>569000</v>
      </c>
      <c r="AA355">
        <v>501650</v>
      </c>
      <c r="AB355">
        <v>130</v>
      </c>
      <c r="AD355" t="s">
        <v>238</v>
      </c>
      <c r="AE355">
        <v>1</v>
      </c>
      <c r="AF355">
        <v>0</v>
      </c>
      <c r="AI355">
        <v>500</v>
      </c>
      <c r="AJ355">
        <v>135</v>
      </c>
      <c r="AK355">
        <v>635</v>
      </c>
      <c r="AL355">
        <v>635</v>
      </c>
      <c r="AM355">
        <v>634</v>
      </c>
      <c r="AN355">
        <v>0</v>
      </c>
      <c r="AO355">
        <v>634</v>
      </c>
      <c r="AP355" t="s">
        <v>80</v>
      </c>
      <c r="AQ355" t="s">
        <v>1151</v>
      </c>
      <c r="AT355" t="s">
        <v>240</v>
      </c>
      <c r="AU355" t="s">
        <v>264</v>
      </c>
      <c r="AV355" t="s">
        <v>1362</v>
      </c>
      <c r="AW355" t="s">
        <v>69</v>
      </c>
      <c r="AX355" t="s">
        <v>1363</v>
      </c>
      <c r="AY355" t="s">
        <v>1364</v>
      </c>
      <c r="BD355" t="s">
        <v>1365</v>
      </c>
      <c r="BE355" t="s">
        <v>1366</v>
      </c>
      <c r="BF355" t="s">
        <v>240</v>
      </c>
      <c r="BH355" t="str">
        <f>IF(COUNTIF(工作表1!A:A, $C355)&gt;0, "預購款", "非預購款")</f>
        <v>預購款</v>
      </c>
    </row>
    <row r="356" spans="1:60" x14ac:dyDescent="0.25">
      <c r="A356" t="s">
        <v>1375</v>
      </c>
      <c r="B356" t="s">
        <v>576</v>
      </c>
      <c r="C356" t="s">
        <v>1376</v>
      </c>
      <c r="D356" t="s">
        <v>1377</v>
      </c>
      <c r="E356" t="s">
        <v>1378</v>
      </c>
      <c r="F356" t="s">
        <v>145</v>
      </c>
      <c r="G356" t="s">
        <v>1379</v>
      </c>
      <c r="H356" t="s">
        <v>66</v>
      </c>
      <c r="I356" t="s">
        <v>97</v>
      </c>
      <c r="J356" t="s">
        <v>98</v>
      </c>
      <c r="K356" t="s">
        <v>69</v>
      </c>
      <c r="L356" t="s">
        <v>1380</v>
      </c>
      <c r="M356" t="s">
        <v>71</v>
      </c>
      <c r="N356" t="s">
        <v>100</v>
      </c>
      <c r="O356" t="s">
        <v>1136</v>
      </c>
      <c r="P356" t="s">
        <v>1137</v>
      </c>
      <c r="R356" t="s">
        <v>1138</v>
      </c>
      <c r="S356" t="s">
        <v>167</v>
      </c>
      <c r="T356" t="s">
        <v>76</v>
      </c>
      <c r="U356" t="s">
        <v>104</v>
      </c>
      <c r="V356" t="s">
        <v>99</v>
      </c>
      <c r="W356">
        <v>790</v>
      </c>
      <c r="X356">
        <v>34.99</v>
      </c>
      <c r="Y356">
        <v>99</v>
      </c>
      <c r="Z356">
        <v>569000</v>
      </c>
      <c r="AA356">
        <v>244900</v>
      </c>
      <c r="AB356">
        <v>374</v>
      </c>
      <c r="AD356" t="s">
        <v>238</v>
      </c>
      <c r="AE356">
        <v>2</v>
      </c>
      <c r="AF356">
        <v>25</v>
      </c>
      <c r="AI356">
        <v>0</v>
      </c>
      <c r="AJ356">
        <v>200</v>
      </c>
      <c r="AK356">
        <v>225</v>
      </c>
      <c r="AL356">
        <v>310</v>
      </c>
      <c r="AM356">
        <v>236</v>
      </c>
      <c r="AN356">
        <v>0</v>
      </c>
      <c r="AO356">
        <v>236</v>
      </c>
      <c r="AP356" t="s">
        <v>80</v>
      </c>
      <c r="AQ356" t="s">
        <v>954</v>
      </c>
      <c r="AR356" t="s">
        <v>86</v>
      </c>
      <c r="AS356" t="s">
        <v>86</v>
      </c>
      <c r="AT356" t="s">
        <v>86</v>
      </c>
      <c r="AU356" t="s">
        <v>86</v>
      </c>
      <c r="AV356" t="s">
        <v>81</v>
      </c>
      <c r="AW356" t="s">
        <v>69</v>
      </c>
      <c r="AX356" t="s">
        <v>126</v>
      </c>
      <c r="AY356" t="s">
        <v>1381</v>
      </c>
      <c r="AZ356" t="s">
        <v>264</v>
      </c>
      <c r="BA356" t="s">
        <v>243</v>
      </c>
      <c r="BB356" t="s">
        <v>244</v>
      </c>
      <c r="BC356" t="s">
        <v>244</v>
      </c>
      <c r="BD356" t="s">
        <v>1382</v>
      </c>
      <c r="BE356" t="s">
        <v>1383</v>
      </c>
      <c r="BF356" t="s">
        <v>86</v>
      </c>
      <c r="BG356" t="s">
        <v>110</v>
      </c>
      <c r="BH356" t="str">
        <f>IF(COUNTIF(工作表1!A:A, $C356)&gt;0, "預購款", "非預購款")</f>
        <v>非預購款</v>
      </c>
    </row>
    <row r="357" spans="1:60" x14ac:dyDescent="0.25">
      <c r="A357" t="s">
        <v>1385</v>
      </c>
      <c r="B357" t="s">
        <v>576</v>
      </c>
      <c r="C357" t="s">
        <v>1386</v>
      </c>
      <c r="D357" t="s">
        <v>1387</v>
      </c>
      <c r="E357" t="s">
        <v>1388</v>
      </c>
      <c r="F357" t="s">
        <v>145</v>
      </c>
      <c r="G357" t="s">
        <v>1389</v>
      </c>
      <c r="H357" t="s">
        <v>273</v>
      </c>
      <c r="I357" t="s">
        <v>88</v>
      </c>
      <c r="J357" t="s">
        <v>89</v>
      </c>
      <c r="K357" t="s">
        <v>69</v>
      </c>
      <c r="L357" t="s">
        <v>1390</v>
      </c>
      <c r="M357" t="s">
        <v>71</v>
      </c>
      <c r="N357" t="s">
        <v>100</v>
      </c>
      <c r="O357" t="s">
        <v>1391</v>
      </c>
      <c r="P357" t="s">
        <v>1392</v>
      </c>
      <c r="R357" t="s">
        <v>1393</v>
      </c>
      <c r="S357" t="s">
        <v>167</v>
      </c>
      <c r="T357" t="s">
        <v>274</v>
      </c>
      <c r="U357" t="s">
        <v>104</v>
      </c>
      <c r="V357" t="s">
        <v>1394</v>
      </c>
      <c r="W357">
        <v>890</v>
      </c>
      <c r="X357">
        <v>39.99</v>
      </c>
      <c r="Y357">
        <v>115</v>
      </c>
      <c r="Z357">
        <v>639000</v>
      </c>
      <c r="AA357">
        <v>276790</v>
      </c>
      <c r="AB357">
        <v>182</v>
      </c>
      <c r="AD357" t="s">
        <v>238</v>
      </c>
      <c r="AE357">
        <v>1</v>
      </c>
      <c r="AF357">
        <v>8</v>
      </c>
      <c r="AI357">
        <v>0</v>
      </c>
      <c r="AJ357">
        <v>190</v>
      </c>
      <c r="AK357">
        <v>198</v>
      </c>
      <c r="AL357">
        <v>311</v>
      </c>
      <c r="AM357">
        <v>208</v>
      </c>
      <c r="AN357">
        <v>0</v>
      </c>
      <c r="AO357">
        <v>208</v>
      </c>
      <c r="AP357" t="s">
        <v>80</v>
      </c>
      <c r="AQ357" t="s">
        <v>954</v>
      </c>
      <c r="AS357" t="s">
        <v>86</v>
      </c>
      <c r="AT357" t="s">
        <v>240</v>
      </c>
      <c r="AU357" t="s">
        <v>240</v>
      </c>
      <c r="AV357" t="s">
        <v>1395</v>
      </c>
      <c r="AW357" t="s">
        <v>69</v>
      </c>
      <c r="AX357" t="s">
        <v>126</v>
      </c>
      <c r="AY357" t="s">
        <v>1396</v>
      </c>
      <c r="AZ357" t="s">
        <v>264</v>
      </c>
      <c r="BA357" t="s">
        <v>243</v>
      </c>
      <c r="BB357" t="s">
        <v>264</v>
      </c>
      <c r="BC357" t="s">
        <v>264</v>
      </c>
      <c r="BD357" t="s">
        <v>1397</v>
      </c>
      <c r="BE357" t="s">
        <v>1398</v>
      </c>
      <c r="BF357" t="s">
        <v>279</v>
      </c>
      <c r="BG357" t="s">
        <v>110</v>
      </c>
      <c r="BH357" t="str">
        <f>IF(COUNTIF(工作表1!A:A, $C357)&gt;0, "預購款", "非預購款")</f>
        <v>非預購款</v>
      </c>
    </row>
    <row r="358" spans="1:60" x14ac:dyDescent="0.25">
      <c r="A358" t="s">
        <v>1385</v>
      </c>
      <c r="B358" t="s">
        <v>576</v>
      </c>
      <c r="C358" t="s">
        <v>1386</v>
      </c>
      <c r="D358" t="s">
        <v>1387</v>
      </c>
      <c r="E358" t="s">
        <v>1388</v>
      </c>
      <c r="F358" t="s">
        <v>145</v>
      </c>
      <c r="G358" t="s">
        <v>1389</v>
      </c>
      <c r="H358" t="s">
        <v>501</v>
      </c>
      <c r="I358" t="s">
        <v>88</v>
      </c>
      <c r="J358" t="s">
        <v>89</v>
      </c>
      <c r="K358" t="s">
        <v>69</v>
      </c>
      <c r="L358" t="s">
        <v>1390</v>
      </c>
      <c r="M358" t="s">
        <v>71</v>
      </c>
      <c r="N358" t="s">
        <v>100</v>
      </c>
      <c r="O358" t="s">
        <v>1391</v>
      </c>
      <c r="P358" t="s">
        <v>1392</v>
      </c>
      <c r="R358" t="s">
        <v>1393</v>
      </c>
      <c r="S358" t="s">
        <v>167</v>
      </c>
      <c r="T358" t="s">
        <v>274</v>
      </c>
      <c r="U358" t="s">
        <v>104</v>
      </c>
      <c r="V358" t="s">
        <v>1394</v>
      </c>
      <c r="W358">
        <v>890</v>
      </c>
      <c r="X358">
        <v>39.99</v>
      </c>
      <c r="Y358">
        <v>115</v>
      </c>
      <c r="Z358">
        <v>639000</v>
      </c>
      <c r="AA358">
        <v>276790</v>
      </c>
      <c r="AB358">
        <v>182</v>
      </c>
      <c r="AD358" t="s">
        <v>238</v>
      </c>
      <c r="AE358">
        <v>1</v>
      </c>
      <c r="AF358">
        <v>0</v>
      </c>
      <c r="AI358">
        <v>0</v>
      </c>
      <c r="AJ358">
        <v>40</v>
      </c>
      <c r="AK358">
        <v>40</v>
      </c>
      <c r="AL358">
        <v>311</v>
      </c>
      <c r="AM358">
        <v>43</v>
      </c>
      <c r="AN358">
        <v>0</v>
      </c>
      <c r="AO358">
        <v>43</v>
      </c>
      <c r="AP358" t="s">
        <v>80</v>
      </c>
      <c r="AQ358" t="s">
        <v>954</v>
      </c>
      <c r="AS358" t="s">
        <v>86</v>
      </c>
      <c r="AT358" t="s">
        <v>240</v>
      </c>
      <c r="AU358" t="s">
        <v>240</v>
      </c>
      <c r="AV358" t="s">
        <v>1395</v>
      </c>
      <c r="AW358" t="s">
        <v>69</v>
      </c>
      <c r="AX358" t="s">
        <v>126</v>
      </c>
      <c r="AY358" t="s">
        <v>1396</v>
      </c>
      <c r="AZ358" t="s">
        <v>264</v>
      </c>
      <c r="BA358" t="s">
        <v>243</v>
      </c>
      <c r="BB358" t="s">
        <v>264</v>
      </c>
      <c r="BC358" t="s">
        <v>264</v>
      </c>
      <c r="BD358" t="s">
        <v>1399</v>
      </c>
      <c r="BE358" t="s">
        <v>1398</v>
      </c>
      <c r="BF358" t="s">
        <v>279</v>
      </c>
      <c r="BG358" t="s">
        <v>110</v>
      </c>
      <c r="BH358" t="str">
        <f>IF(COUNTIF(工作表1!A:A, $C358)&gt;0, "預購款", "非預購款")</f>
        <v>非預購款</v>
      </c>
    </row>
    <row r="359" spans="1:60" x14ac:dyDescent="0.25">
      <c r="A359" t="s">
        <v>1385</v>
      </c>
      <c r="B359" t="s">
        <v>576</v>
      </c>
      <c r="C359" t="s">
        <v>1386</v>
      </c>
      <c r="D359" t="s">
        <v>1387</v>
      </c>
      <c r="E359" t="s">
        <v>1388</v>
      </c>
      <c r="F359" t="s">
        <v>145</v>
      </c>
      <c r="G359" t="s">
        <v>1389</v>
      </c>
      <c r="H359" t="s">
        <v>280</v>
      </c>
      <c r="I359" t="s">
        <v>88</v>
      </c>
      <c r="J359" t="s">
        <v>89</v>
      </c>
      <c r="K359" t="s">
        <v>69</v>
      </c>
      <c r="L359" t="s">
        <v>1390</v>
      </c>
      <c r="M359" t="s">
        <v>71</v>
      </c>
      <c r="N359" t="s">
        <v>100</v>
      </c>
      <c r="O359" t="s">
        <v>1391</v>
      </c>
      <c r="P359" t="s">
        <v>1392</v>
      </c>
      <c r="R359" t="s">
        <v>1393</v>
      </c>
      <c r="S359" t="s">
        <v>167</v>
      </c>
      <c r="T359" t="s">
        <v>274</v>
      </c>
      <c r="U359" t="s">
        <v>104</v>
      </c>
      <c r="V359" t="s">
        <v>1394</v>
      </c>
      <c r="W359">
        <v>890</v>
      </c>
      <c r="X359">
        <v>39.99</v>
      </c>
      <c r="Y359">
        <v>115</v>
      </c>
      <c r="Z359">
        <v>639000</v>
      </c>
      <c r="AA359">
        <v>276790</v>
      </c>
      <c r="AB359">
        <v>182</v>
      </c>
      <c r="AD359" t="s">
        <v>238</v>
      </c>
      <c r="AE359">
        <v>1</v>
      </c>
      <c r="AF359">
        <v>3</v>
      </c>
      <c r="AI359">
        <v>0</v>
      </c>
      <c r="AJ359">
        <v>70</v>
      </c>
      <c r="AK359">
        <v>73</v>
      </c>
      <c r="AL359">
        <v>311</v>
      </c>
      <c r="AM359">
        <v>75</v>
      </c>
      <c r="AN359">
        <v>0</v>
      </c>
      <c r="AO359">
        <v>75</v>
      </c>
      <c r="AP359" t="s">
        <v>80</v>
      </c>
      <c r="AQ359" t="s">
        <v>954</v>
      </c>
      <c r="AS359" t="s">
        <v>86</v>
      </c>
      <c r="AT359" t="s">
        <v>240</v>
      </c>
      <c r="AU359" t="s">
        <v>240</v>
      </c>
      <c r="AV359" t="s">
        <v>1395</v>
      </c>
      <c r="AW359" t="s">
        <v>69</v>
      </c>
      <c r="AX359" t="s">
        <v>126</v>
      </c>
      <c r="AY359" t="s">
        <v>1396</v>
      </c>
      <c r="AZ359" t="s">
        <v>264</v>
      </c>
      <c r="BA359" t="s">
        <v>243</v>
      </c>
      <c r="BB359" t="s">
        <v>264</v>
      </c>
      <c r="BC359" t="s">
        <v>264</v>
      </c>
      <c r="BD359" t="s">
        <v>1400</v>
      </c>
      <c r="BE359" t="s">
        <v>1398</v>
      </c>
      <c r="BF359" t="s">
        <v>279</v>
      </c>
      <c r="BG359" t="s">
        <v>110</v>
      </c>
      <c r="BH359" t="str">
        <f>IF(COUNTIF(工作表1!A:A, $C359)&gt;0, "預購款", "非預購款")</f>
        <v>非預購款</v>
      </c>
    </row>
    <row r="360" spans="1:60" x14ac:dyDescent="0.25">
      <c r="A360" t="s">
        <v>1401</v>
      </c>
      <c r="B360" t="s">
        <v>576</v>
      </c>
      <c r="C360" t="s">
        <v>1402</v>
      </c>
      <c r="D360" t="s">
        <v>1403</v>
      </c>
      <c r="E360" t="s">
        <v>1404</v>
      </c>
      <c r="F360" t="s">
        <v>145</v>
      </c>
      <c r="G360" t="s">
        <v>1405</v>
      </c>
      <c r="H360" t="s">
        <v>119</v>
      </c>
      <c r="I360" t="s">
        <v>97</v>
      </c>
      <c r="J360" t="s">
        <v>98</v>
      </c>
      <c r="K360" t="s">
        <v>69</v>
      </c>
      <c r="L360" t="s">
        <v>1406</v>
      </c>
      <c r="M360" t="s">
        <v>71</v>
      </c>
      <c r="N360" t="s">
        <v>100</v>
      </c>
      <c r="O360" t="s">
        <v>1391</v>
      </c>
      <c r="P360" t="s">
        <v>1392</v>
      </c>
      <c r="R360" t="s">
        <v>1393</v>
      </c>
      <c r="S360" t="s">
        <v>167</v>
      </c>
      <c r="T360" t="s">
        <v>76</v>
      </c>
      <c r="U360" t="s">
        <v>383</v>
      </c>
      <c r="V360" t="s">
        <v>384</v>
      </c>
      <c r="W360">
        <v>990</v>
      </c>
      <c r="X360">
        <v>39.99</v>
      </c>
      <c r="Y360">
        <v>129</v>
      </c>
      <c r="Z360">
        <v>709000</v>
      </c>
      <c r="AA360">
        <v>257400</v>
      </c>
      <c r="AB360">
        <v>544</v>
      </c>
      <c r="AD360" t="s">
        <v>238</v>
      </c>
      <c r="AE360">
        <v>1</v>
      </c>
      <c r="AF360">
        <v>15</v>
      </c>
      <c r="AI360">
        <v>0</v>
      </c>
      <c r="AJ360">
        <v>120</v>
      </c>
      <c r="AK360">
        <v>135</v>
      </c>
      <c r="AL360">
        <v>260</v>
      </c>
      <c r="AM360">
        <v>146</v>
      </c>
      <c r="AN360">
        <v>0</v>
      </c>
      <c r="AO360">
        <v>146</v>
      </c>
      <c r="AP360" t="s">
        <v>80</v>
      </c>
      <c r="AQ360" t="s">
        <v>954</v>
      </c>
      <c r="AR360" t="s">
        <v>261</v>
      </c>
      <c r="AS360" t="s">
        <v>261</v>
      </c>
      <c r="AT360" t="s">
        <v>86</v>
      </c>
      <c r="AU360" t="s">
        <v>261</v>
      </c>
      <c r="AV360" t="s">
        <v>81</v>
      </c>
      <c r="AW360" t="s">
        <v>69</v>
      </c>
      <c r="AX360" t="s">
        <v>1407</v>
      </c>
      <c r="AY360" t="s">
        <v>858</v>
      </c>
      <c r="AZ360" t="s">
        <v>264</v>
      </c>
      <c r="BA360" t="s">
        <v>245</v>
      </c>
      <c r="BB360" t="s">
        <v>245</v>
      </c>
      <c r="BC360" t="s">
        <v>245</v>
      </c>
      <c r="BD360" t="s">
        <v>1408</v>
      </c>
      <c r="BE360" t="s">
        <v>1409</v>
      </c>
      <c r="BF360" t="s">
        <v>86</v>
      </c>
      <c r="BG360" t="s">
        <v>110</v>
      </c>
      <c r="BH360" t="str">
        <f>IF(COUNTIF(工作表1!A:A, $C360)&gt;0, "預購款", "非預購款")</f>
        <v>非預購款</v>
      </c>
    </row>
    <row r="361" spans="1:60" x14ac:dyDescent="0.25">
      <c r="A361" t="s">
        <v>1401</v>
      </c>
      <c r="B361" t="s">
        <v>576</v>
      </c>
      <c r="C361" t="s">
        <v>1402</v>
      </c>
      <c r="D361" t="s">
        <v>1403</v>
      </c>
      <c r="E361" t="s">
        <v>1404</v>
      </c>
      <c r="F361" t="s">
        <v>145</v>
      </c>
      <c r="G361" t="s">
        <v>1405</v>
      </c>
      <c r="H361" t="s">
        <v>130</v>
      </c>
      <c r="I361" t="s">
        <v>97</v>
      </c>
      <c r="J361" t="s">
        <v>98</v>
      </c>
      <c r="K361" t="s">
        <v>69</v>
      </c>
      <c r="L361" t="s">
        <v>1406</v>
      </c>
      <c r="M361" t="s">
        <v>71</v>
      </c>
      <c r="N361" t="s">
        <v>100</v>
      </c>
      <c r="O361" t="s">
        <v>1391</v>
      </c>
      <c r="P361" t="s">
        <v>1392</v>
      </c>
      <c r="R361" t="s">
        <v>1393</v>
      </c>
      <c r="S361" t="s">
        <v>167</v>
      </c>
      <c r="T361" t="s">
        <v>76</v>
      </c>
      <c r="U361" t="s">
        <v>383</v>
      </c>
      <c r="V361" t="s">
        <v>384</v>
      </c>
      <c r="W361">
        <v>990</v>
      </c>
      <c r="X361">
        <v>39.99</v>
      </c>
      <c r="Y361">
        <v>129</v>
      </c>
      <c r="Z361">
        <v>709000</v>
      </c>
      <c r="AA361">
        <v>257400</v>
      </c>
      <c r="AB361">
        <v>544</v>
      </c>
      <c r="AD361" t="s">
        <v>238</v>
      </c>
      <c r="AE361">
        <v>1</v>
      </c>
      <c r="AF361">
        <v>10</v>
      </c>
      <c r="AI361">
        <v>0</v>
      </c>
      <c r="AJ361">
        <v>80</v>
      </c>
      <c r="AK361">
        <v>90</v>
      </c>
      <c r="AL361">
        <v>260</v>
      </c>
      <c r="AM361">
        <v>98</v>
      </c>
      <c r="AN361">
        <v>0</v>
      </c>
      <c r="AO361">
        <v>98</v>
      </c>
      <c r="AP361" t="s">
        <v>80</v>
      </c>
      <c r="AQ361" t="s">
        <v>954</v>
      </c>
      <c r="AR361" t="s">
        <v>261</v>
      </c>
      <c r="AS361" t="s">
        <v>261</v>
      </c>
      <c r="AT361" t="s">
        <v>86</v>
      </c>
      <c r="AU361" t="s">
        <v>261</v>
      </c>
      <c r="AV361" t="s">
        <v>81</v>
      </c>
      <c r="AW361" t="s">
        <v>69</v>
      </c>
      <c r="AX361" t="s">
        <v>1407</v>
      </c>
      <c r="AY361" t="s">
        <v>858</v>
      </c>
      <c r="AZ361" t="s">
        <v>264</v>
      </c>
      <c r="BA361" t="s">
        <v>245</v>
      </c>
      <c r="BB361" t="s">
        <v>245</v>
      </c>
      <c r="BC361" t="s">
        <v>245</v>
      </c>
      <c r="BD361" t="s">
        <v>1410</v>
      </c>
      <c r="BE361" t="s">
        <v>1409</v>
      </c>
      <c r="BF361" t="s">
        <v>86</v>
      </c>
      <c r="BG361" t="s">
        <v>110</v>
      </c>
      <c r="BH361" t="str">
        <f>IF(COUNTIF(工作表1!A:A, $C361)&gt;0, "預購款", "非預購款")</f>
        <v>非預購款</v>
      </c>
    </row>
    <row r="362" spans="1:60" x14ac:dyDescent="0.25">
      <c r="A362" t="s">
        <v>1401</v>
      </c>
      <c r="B362" t="s">
        <v>576</v>
      </c>
      <c r="C362" t="s">
        <v>1402</v>
      </c>
      <c r="D362" t="s">
        <v>1403</v>
      </c>
      <c r="E362" t="s">
        <v>1404</v>
      </c>
      <c r="F362" t="s">
        <v>145</v>
      </c>
      <c r="G362" t="s">
        <v>1405</v>
      </c>
      <c r="H362" t="s">
        <v>132</v>
      </c>
      <c r="I362" t="s">
        <v>97</v>
      </c>
      <c r="J362" t="s">
        <v>98</v>
      </c>
      <c r="K362" t="s">
        <v>69</v>
      </c>
      <c r="L362" t="s">
        <v>1406</v>
      </c>
      <c r="M362" t="s">
        <v>71</v>
      </c>
      <c r="N362" t="s">
        <v>100</v>
      </c>
      <c r="O362" t="s">
        <v>1391</v>
      </c>
      <c r="P362" t="s">
        <v>1392</v>
      </c>
      <c r="R362" t="s">
        <v>1393</v>
      </c>
      <c r="S362" t="s">
        <v>167</v>
      </c>
      <c r="T362" t="s">
        <v>76</v>
      </c>
      <c r="U362" t="s">
        <v>383</v>
      </c>
      <c r="V362" t="s">
        <v>384</v>
      </c>
      <c r="W362">
        <v>990</v>
      </c>
      <c r="X362">
        <v>39.99</v>
      </c>
      <c r="Y362">
        <v>129</v>
      </c>
      <c r="Z362">
        <v>709000</v>
      </c>
      <c r="AA362">
        <v>257400</v>
      </c>
      <c r="AB362">
        <v>544</v>
      </c>
      <c r="AD362" t="s">
        <v>238</v>
      </c>
      <c r="AE362">
        <v>1</v>
      </c>
      <c r="AF362">
        <v>0</v>
      </c>
      <c r="AI362">
        <v>0</v>
      </c>
      <c r="AJ362">
        <v>35</v>
      </c>
      <c r="AK362">
        <v>35</v>
      </c>
      <c r="AL362">
        <v>260</v>
      </c>
      <c r="AM362">
        <v>36</v>
      </c>
      <c r="AN362">
        <v>0</v>
      </c>
      <c r="AO362">
        <v>36</v>
      </c>
      <c r="AP362" t="s">
        <v>80</v>
      </c>
      <c r="AQ362" t="s">
        <v>954</v>
      </c>
      <c r="AR362" t="s">
        <v>261</v>
      </c>
      <c r="AS362" t="s">
        <v>261</v>
      </c>
      <c r="AT362" t="s">
        <v>86</v>
      </c>
      <c r="AU362" t="s">
        <v>261</v>
      </c>
      <c r="AV362" t="s">
        <v>81</v>
      </c>
      <c r="AW362" t="s">
        <v>69</v>
      </c>
      <c r="AX362" t="s">
        <v>1407</v>
      </c>
      <c r="AY362" t="s">
        <v>858</v>
      </c>
      <c r="AZ362" t="s">
        <v>264</v>
      </c>
      <c r="BA362" t="s">
        <v>245</v>
      </c>
      <c r="BB362" t="s">
        <v>245</v>
      </c>
      <c r="BC362" t="s">
        <v>245</v>
      </c>
      <c r="BD362" t="s">
        <v>1411</v>
      </c>
      <c r="BE362" t="s">
        <v>1409</v>
      </c>
      <c r="BF362" t="s">
        <v>86</v>
      </c>
      <c r="BG362" t="s">
        <v>110</v>
      </c>
      <c r="BH362" t="str">
        <f>IF(COUNTIF(工作表1!A:A, $C362)&gt;0, "預購款", "非預購款")</f>
        <v>非預購款</v>
      </c>
    </row>
    <row r="363" spans="1:60" x14ac:dyDescent="0.25">
      <c r="A363" t="s">
        <v>1412</v>
      </c>
      <c r="B363" t="s">
        <v>759</v>
      </c>
      <c r="C363" t="s">
        <v>1413</v>
      </c>
      <c r="D363" t="s">
        <v>1414</v>
      </c>
      <c r="E363" t="s">
        <v>1415</v>
      </c>
      <c r="F363" t="s">
        <v>145</v>
      </c>
      <c r="G363" t="s">
        <v>1416</v>
      </c>
      <c r="H363" t="s">
        <v>119</v>
      </c>
      <c r="I363" t="s">
        <v>88</v>
      </c>
      <c r="J363" t="s">
        <v>89</v>
      </c>
      <c r="K363" t="s">
        <v>69</v>
      </c>
      <c r="L363" t="s">
        <v>1417</v>
      </c>
      <c r="M363" t="s">
        <v>71</v>
      </c>
      <c r="N363" t="s">
        <v>100</v>
      </c>
      <c r="O363" t="s">
        <v>1391</v>
      </c>
      <c r="P363" t="s">
        <v>1392</v>
      </c>
      <c r="R363" t="s">
        <v>1393</v>
      </c>
      <c r="S363" t="s">
        <v>167</v>
      </c>
      <c r="T363" t="s">
        <v>258</v>
      </c>
      <c r="U363" t="s">
        <v>104</v>
      </c>
      <c r="V363" t="s">
        <v>1418</v>
      </c>
      <c r="W363">
        <v>890</v>
      </c>
      <c r="X363">
        <v>39.99</v>
      </c>
      <c r="Y363">
        <v>115</v>
      </c>
      <c r="Z363">
        <v>639000</v>
      </c>
      <c r="AA363">
        <v>676400</v>
      </c>
      <c r="AB363">
        <v>250</v>
      </c>
      <c r="AD363" t="s">
        <v>238</v>
      </c>
      <c r="AE363">
        <v>1</v>
      </c>
      <c r="AF363">
        <v>0</v>
      </c>
      <c r="AI363">
        <v>0</v>
      </c>
      <c r="AJ363">
        <v>430</v>
      </c>
      <c r="AK363">
        <v>430</v>
      </c>
      <c r="AL363">
        <v>760</v>
      </c>
      <c r="AM363">
        <v>428</v>
      </c>
      <c r="AN363">
        <v>0</v>
      </c>
      <c r="AO363">
        <v>428</v>
      </c>
      <c r="AP363" t="s">
        <v>80</v>
      </c>
      <c r="AQ363" t="s">
        <v>954</v>
      </c>
      <c r="AR363" t="s">
        <v>86</v>
      </c>
      <c r="AS363" t="s">
        <v>86</v>
      </c>
      <c r="AT363" t="s">
        <v>240</v>
      </c>
      <c r="AU363" t="s">
        <v>240</v>
      </c>
      <c r="AV363" t="s">
        <v>1419</v>
      </c>
      <c r="AW363" t="s">
        <v>69</v>
      </c>
      <c r="AX363" t="s">
        <v>126</v>
      </c>
      <c r="AY363" t="s">
        <v>1420</v>
      </c>
      <c r="AZ363" t="s">
        <v>264</v>
      </c>
      <c r="BA363" t="s">
        <v>245</v>
      </c>
      <c r="BB363" t="s">
        <v>244</v>
      </c>
      <c r="BC363" t="s">
        <v>244</v>
      </c>
      <c r="BD363" t="s">
        <v>1421</v>
      </c>
      <c r="BE363" t="s">
        <v>1422</v>
      </c>
      <c r="BF363" t="s">
        <v>240</v>
      </c>
      <c r="BG363" t="s">
        <v>110</v>
      </c>
      <c r="BH363" t="str">
        <f>IF(COUNTIF(工作表1!A:A, $C363)&gt;0, "預購款", "非預購款")</f>
        <v>非預購款</v>
      </c>
    </row>
    <row r="364" spans="1:60" x14ac:dyDescent="0.25">
      <c r="A364" t="s">
        <v>1412</v>
      </c>
      <c r="B364" t="s">
        <v>759</v>
      </c>
      <c r="C364" t="s">
        <v>1413</v>
      </c>
      <c r="D364" t="s">
        <v>1414</v>
      </c>
      <c r="E364" t="s">
        <v>1415</v>
      </c>
      <c r="F364" t="s">
        <v>145</v>
      </c>
      <c r="G364" t="s">
        <v>1416</v>
      </c>
      <c r="H364" t="s">
        <v>130</v>
      </c>
      <c r="I364" t="s">
        <v>88</v>
      </c>
      <c r="J364" t="s">
        <v>89</v>
      </c>
      <c r="K364" t="s">
        <v>69</v>
      </c>
      <c r="L364" t="s">
        <v>1417</v>
      </c>
      <c r="M364" t="s">
        <v>71</v>
      </c>
      <c r="N364" t="s">
        <v>100</v>
      </c>
      <c r="O364" t="s">
        <v>1391</v>
      </c>
      <c r="P364" t="s">
        <v>1392</v>
      </c>
      <c r="R364" t="s">
        <v>1393</v>
      </c>
      <c r="S364" t="s">
        <v>167</v>
      </c>
      <c r="T364" t="s">
        <v>258</v>
      </c>
      <c r="U364" t="s">
        <v>104</v>
      </c>
      <c r="V364" t="s">
        <v>1418</v>
      </c>
      <c r="W364">
        <v>890</v>
      </c>
      <c r="X364">
        <v>39.99</v>
      </c>
      <c r="Y364">
        <v>115</v>
      </c>
      <c r="Z364">
        <v>639000</v>
      </c>
      <c r="AA364">
        <v>676400</v>
      </c>
      <c r="AB364">
        <v>250</v>
      </c>
      <c r="AD364" t="s">
        <v>238</v>
      </c>
      <c r="AE364">
        <v>1</v>
      </c>
      <c r="AF364">
        <v>0</v>
      </c>
      <c r="AI364">
        <v>0</v>
      </c>
      <c r="AJ364">
        <v>240</v>
      </c>
      <c r="AK364">
        <v>240</v>
      </c>
      <c r="AL364">
        <v>760</v>
      </c>
      <c r="AM364">
        <v>239</v>
      </c>
      <c r="AN364">
        <v>0</v>
      </c>
      <c r="AO364">
        <v>239</v>
      </c>
      <c r="AP364" t="s">
        <v>80</v>
      </c>
      <c r="AQ364" t="s">
        <v>954</v>
      </c>
      <c r="AR364" t="s">
        <v>86</v>
      </c>
      <c r="AS364" t="s">
        <v>86</v>
      </c>
      <c r="AT364" t="s">
        <v>240</v>
      </c>
      <c r="AU364" t="s">
        <v>240</v>
      </c>
      <c r="AV364" t="s">
        <v>1419</v>
      </c>
      <c r="AW364" t="s">
        <v>69</v>
      </c>
      <c r="AX364" t="s">
        <v>126</v>
      </c>
      <c r="AY364" t="s">
        <v>1420</v>
      </c>
      <c r="AZ364" t="s">
        <v>264</v>
      </c>
      <c r="BA364" t="s">
        <v>245</v>
      </c>
      <c r="BB364" t="s">
        <v>244</v>
      </c>
      <c r="BC364" t="s">
        <v>244</v>
      </c>
      <c r="BD364" t="s">
        <v>1423</v>
      </c>
      <c r="BE364" t="s">
        <v>1422</v>
      </c>
      <c r="BF364" t="s">
        <v>240</v>
      </c>
      <c r="BG364" t="s">
        <v>110</v>
      </c>
      <c r="BH364" t="str">
        <f>IF(COUNTIF(工作表1!A:A, $C364)&gt;0, "預購款", "非預購款")</f>
        <v>非預購款</v>
      </c>
    </row>
    <row r="365" spans="1:60" x14ac:dyDescent="0.25">
      <c r="A365" t="s">
        <v>1412</v>
      </c>
      <c r="B365" t="s">
        <v>759</v>
      </c>
      <c r="C365" t="s">
        <v>1413</v>
      </c>
      <c r="D365" t="s">
        <v>1414</v>
      </c>
      <c r="E365" t="s">
        <v>1415</v>
      </c>
      <c r="F365" t="s">
        <v>145</v>
      </c>
      <c r="G365" t="s">
        <v>1416</v>
      </c>
      <c r="H365" t="s">
        <v>132</v>
      </c>
      <c r="I365" t="s">
        <v>88</v>
      </c>
      <c r="J365" t="s">
        <v>89</v>
      </c>
      <c r="K365" t="s">
        <v>69</v>
      </c>
      <c r="L365" t="s">
        <v>1417</v>
      </c>
      <c r="M365" t="s">
        <v>71</v>
      </c>
      <c r="N365" t="s">
        <v>100</v>
      </c>
      <c r="O365" t="s">
        <v>1391</v>
      </c>
      <c r="P365" t="s">
        <v>1392</v>
      </c>
      <c r="R365" t="s">
        <v>1393</v>
      </c>
      <c r="S365" t="s">
        <v>167</v>
      </c>
      <c r="T365" t="s">
        <v>258</v>
      </c>
      <c r="U365" t="s">
        <v>104</v>
      </c>
      <c r="V365" t="s">
        <v>1418</v>
      </c>
      <c r="W365">
        <v>890</v>
      </c>
      <c r="X365">
        <v>39.99</v>
      </c>
      <c r="Y365">
        <v>115</v>
      </c>
      <c r="Z365">
        <v>639000</v>
      </c>
      <c r="AA365">
        <v>676400</v>
      </c>
      <c r="AB365">
        <v>250</v>
      </c>
      <c r="AD365" t="s">
        <v>238</v>
      </c>
      <c r="AE365">
        <v>1</v>
      </c>
      <c r="AF365">
        <v>0</v>
      </c>
      <c r="AI365">
        <v>0</v>
      </c>
      <c r="AJ365">
        <v>90</v>
      </c>
      <c r="AK365">
        <v>90</v>
      </c>
      <c r="AL365">
        <v>760</v>
      </c>
      <c r="AM365">
        <v>96</v>
      </c>
      <c r="AN365">
        <v>0</v>
      </c>
      <c r="AO365">
        <v>96</v>
      </c>
      <c r="AP365" t="s">
        <v>80</v>
      </c>
      <c r="AQ365" t="s">
        <v>954</v>
      </c>
      <c r="AR365" t="s">
        <v>86</v>
      </c>
      <c r="AS365" t="s">
        <v>86</v>
      </c>
      <c r="AT365" t="s">
        <v>240</v>
      </c>
      <c r="AU365" t="s">
        <v>240</v>
      </c>
      <c r="AV365" t="s">
        <v>1419</v>
      </c>
      <c r="AW365" t="s">
        <v>69</v>
      </c>
      <c r="AX365" t="s">
        <v>126</v>
      </c>
      <c r="AY365" t="s">
        <v>1420</v>
      </c>
      <c r="AZ365" t="s">
        <v>264</v>
      </c>
      <c r="BA365" t="s">
        <v>245</v>
      </c>
      <c r="BB365" t="s">
        <v>244</v>
      </c>
      <c r="BC365" t="s">
        <v>244</v>
      </c>
      <c r="BD365" t="s">
        <v>1424</v>
      </c>
      <c r="BE365" t="s">
        <v>1422</v>
      </c>
      <c r="BF365" t="s">
        <v>240</v>
      </c>
      <c r="BG365" t="s">
        <v>110</v>
      </c>
      <c r="BH365" t="str">
        <f>IF(COUNTIF(工作表1!A:A, $C365)&gt;0, "預購款", "非預購款")</f>
        <v>非預購款</v>
      </c>
    </row>
    <row r="366" spans="1:60" x14ac:dyDescent="0.25">
      <c r="A366" t="s">
        <v>1425</v>
      </c>
      <c r="B366" t="s">
        <v>759</v>
      </c>
      <c r="C366" t="s">
        <v>1426</v>
      </c>
      <c r="D366" t="s">
        <v>1427</v>
      </c>
      <c r="E366" t="s">
        <v>1428</v>
      </c>
      <c r="F366" t="s">
        <v>145</v>
      </c>
      <c r="G366" t="s">
        <v>1429</v>
      </c>
      <c r="H366" t="s">
        <v>273</v>
      </c>
      <c r="I366" t="s">
        <v>88</v>
      </c>
      <c r="J366" t="s">
        <v>89</v>
      </c>
      <c r="K366" t="s">
        <v>69</v>
      </c>
      <c r="L366" t="s">
        <v>1417</v>
      </c>
      <c r="M366" t="s">
        <v>71</v>
      </c>
      <c r="N366" t="s">
        <v>100</v>
      </c>
      <c r="O366" t="s">
        <v>1391</v>
      </c>
      <c r="P366" t="s">
        <v>1392</v>
      </c>
      <c r="R366" t="s">
        <v>1393</v>
      </c>
      <c r="S366" t="s">
        <v>167</v>
      </c>
      <c r="T366" t="s">
        <v>274</v>
      </c>
      <c r="U366" t="s">
        <v>104</v>
      </c>
      <c r="V366" t="s">
        <v>1418</v>
      </c>
      <c r="W366">
        <v>990</v>
      </c>
      <c r="X366">
        <v>39.99</v>
      </c>
      <c r="Y366">
        <v>129</v>
      </c>
      <c r="Z366">
        <v>709000</v>
      </c>
      <c r="AA366">
        <v>257400</v>
      </c>
      <c r="AB366">
        <v>270</v>
      </c>
      <c r="AD366" t="s">
        <v>238</v>
      </c>
      <c r="AE366">
        <v>1</v>
      </c>
      <c r="AF366">
        <v>0</v>
      </c>
      <c r="AI366">
        <v>0</v>
      </c>
      <c r="AJ366">
        <v>100</v>
      </c>
      <c r="AK366">
        <v>100</v>
      </c>
      <c r="AL366">
        <v>260</v>
      </c>
      <c r="AM366">
        <v>97</v>
      </c>
      <c r="AN366">
        <v>0</v>
      </c>
      <c r="AO366">
        <v>97</v>
      </c>
      <c r="AP366" t="s">
        <v>80</v>
      </c>
      <c r="AQ366" t="s">
        <v>179</v>
      </c>
      <c r="AS366" t="s">
        <v>86</v>
      </c>
      <c r="AT366" t="s">
        <v>86</v>
      </c>
      <c r="AU366" t="s">
        <v>86</v>
      </c>
      <c r="AV366" t="s">
        <v>275</v>
      </c>
      <c r="AW366" t="s">
        <v>69</v>
      </c>
      <c r="AX366" t="s">
        <v>126</v>
      </c>
      <c r="AY366" t="s">
        <v>1430</v>
      </c>
      <c r="AZ366" t="s">
        <v>264</v>
      </c>
      <c r="BA366" t="s">
        <v>245</v>
      </c>
      <c r="BB366" t="s">
        <v>244</v>
      </c>
      <c r="BC366" t="s">
        <v>244</v>
      </c>
      <c r="BD366" t="s">
        <v>1431</v>
      </c>
      <c r="BE366" t="s">
        <v>1432</v>
      </c>
      <c r="BF366" t="s">
        <v>279</v>
      </c>
      <c r="BG366" t="s">
        <v>110</v>
      </c>
      <c r="BH366" t="str">
        <f>IF(COUNTIF(工作表1!A:A, $C366)&gt;0, "預購款", "非預購款")</f>
        <v>非預購款</v>
      </c>
    </row>
    <row r="367" spans="1:60" x14ac:dyDescent="0.25">
      <c r="A367" t="s">
        <v>1425</v>
      </c>
      <c r="B367" t="s">
        <v>759</v>
      </c>
      <c r="C367" t="s">
        <v>1426</v>
      </c>
      <c r="D367" t="s">
        <v>1427</v>
      </c>
      <c r="E367" t="s">
        <v>1428</v>
      </c>
      <c r="F367" t="s">
        <v>145</v>
      </c>
      <c r="G367" t="s">
        <v>1429</v>
      </c>
      <c r="H367" t="s">
        <v>501</v>
      </c>
      <c r="I367" t="s">
        <v>88</v>
      </c>
      <c r="J367" t="s">
        <v>89</v>
      </c>
      <c r="K367" t="s">
        <v>69</v>
      </c>
      <c r="L367" t="s">
        <v>1417</v>
      </c>
      <c r="M367" t="s">
        <v>71</v>
      </c>
      <c r="N367" t="s">
        <v>100</v>
      </c>
      <c r="O367" t="s">
        <v>1391</v>
      </c>
      <c r="P367" t="s">
        <v>1392</v>
      </c>
      <c r="R367" t="s">
        <v>1393</v>
      </c>
      <c r="S367" t="s">
        <v>167</v>
      </c>
      <c r="T367" t="s">
        <v>274</v>
      </c>
      <c r="U367" t="s">
        <v>104</v>
      </c>
      <c r="V367" t="s">
        <v>1418</v>
      </c>
      <c r="W367">
        <v>990</v>
      </c>
      <c r="X367">
        <v>39.99</v>
      </c>
      <c r="Y367">
        <v>129</v>
      </c>
      <c r="Z367">
        <v>709000</v>
      </c>
      <c r="AA367">
        <v>257400</v>
      </c>
      <c r="AB367">
        <v>270</v>
      </c>
      <c r="AD367" t="s">
        <v>238</v>
      </c>
      <c r="AE367">
        <v>1</v>
      </c>
      <c r="AF367">
        <v>0</v>
      </c>
      <c r="AI367">
        <v>0</v>
      </c>
      <c r="AJ367">
        <v>60</v>
      </c>
      <c r="AK367">
        <v>60</v>
      </c>
      <c r="AL367">
        <v>260</v>
      </c>
      <c r="AM367">
        <v>60</v>
      </c>
      <c r="AN367">
        <v>0</v>
      </c>
      <c r="AO367">
        <v>60</v>
      </c>
      <c r="AP367" t="s">
        <v>80</v>
      </c>
      <c r="AQ367" t="s">
        <v>179</v>
      </c>
      <c r="AS367" t="s">
        <v>86</v>
      </c>
      <c r="AT367" t="s">
        <v>86</v>
      </c>
      <c r="AU367" t="s">
        <v>86</v>
      </c>
      <c r="AV367" t="s">
        <v>275</v>
      </c>
      <c r="AW367" t="s">
        <v>69</v>
      </c>
      <c r="AX367" t="s">
        <v>126</v>
      </c>
      <c r="AY367" t="s">
        <v>1430</v>
      </c>
      <c r="AZ367" t="s">
        <v>264</v>
      </c>
      <c r="BA367" t="s">
        <v>245</v>
      </c>
      <c r="BB367" t="s">
        <v>244</v>
      </c>
      <c r="BC367" t="s">
        <v>244</v>
      </c>
      <c r="BD367" t="s">
        <v>1433</v>
      </c>
      <c r="BE367" t="s">
        <v>1432</v>
      </c>
      <c r="BF367" t="s">
        <v>279</v>
      </c>
      <c r="BG367" t="s">
        <v>110</v>
      </c>
      <c r="BH367" t="str">
        <f>IF(COUNTIF(工作表1!A:A, $C367)&gt;0, "預購款", "非預購款")</f>
        <v>非預購款</v>
      </c>
    </row>
    <row r="368" spans="1:60" x14ac:dyDescent="0.25">
      <c r="A368" t="s">
        <v>1425</v>
      </c>
      <c r="B368" t="s">
        <v>759</v>
      </c>
      <c r="C368" t="s">
        <v>1426</v>
      </c>
      <c r="D368" t="s">
        <v>1427</v>
      </c>
      <c r="E368" t="s">
        <v>1428</v>
      </c>
      <c r="F368" t="s">
        <v>145</v>
      </c>
      <c r="G368" t="s">
        <v>1429</v>
      </c>
      <c r="H368" t="s">
        <v>280</v>
      </c>
      <c r="I368" t="s">
        <v>88</v>
      </c>
      <c r="J368" t="s">
        <v>89</v>
      </c>
      <c r="K368" t="s">
        <v>69</v>
      </c>
      <c r="L368" t="s">
        <v>1417</v>
      </c>
      <c r="M368" t="s">
        <v>71</v>
      </c>
      <c r="N368" t="s">
        <v>100</v>
      </c>
      <c r="O368" t="s">
        <v>1391</v>
      </c>
      <c r="P368" t="s">
        <v>1392</v>
      </c>
      <c r="R368" t="s">
        <v>1393</v>
      </c>
      <c r="S368" t="s">
        <v>167</v>
      </c>
      <c r="T368" t="s">
        <v>274</v>
      </c>
      <c r="U368" t="s">
        <v>104</v>
      </c>
      <c r="V368" t="s">
        <v>1418</v>
      </c>
      <c r="W368">
        <v>990</v>
      </c>
      <c r="X368">
        <v>39.99</v>
      </c>
      <c r="Y368">
        <v>129</v>
      </c>
      <c r="Z368">
        <v>709000</v>
      </c>
      <c r="AA368">
        <v>257400</v>
      </c>
      <c r="AB368">
        <v>270</v>
      </c>
      <c r="AD368" t="s">
        <v>238</v>
      </c>
      <c r="AE368">
        <v>1</v>
      </c>
      <c r="AF368">
        <v>0</v>
      </c>
      <c r="AI368">
        <v>0</v>
      </c>
      <c r="AJ368">
        <v>100</v>
      </c>
      <c r="AK368">
        <v>100</v>
      </c>
      <c r="AL368">
        <v>260</v>
      </c>
      <c r="AM368">
        <v>100</v>
      </c>
      <c r="AN368">
        <v>0</v>
      </c>
      <c r="AO368">
        <v>100</v>
      </c>
      <c r="AP368" t="s">
        <v>80</v>
      </c>
      <c r="AQ368" t="s">
        <v>179</v>
      </c>
      <c r="AS368" t="s">
        <v>86</v>
      </c>
      <c r="AT368" t="s">
        <v>86</v>
      </c>
      <c r="AU368" t="s">
        <v>86</v>
      </c>
      <c r="AV368" t="s">
        <v>275</v>
      </c>
      <c r="AW368" t="s">
        <v>69</v>
      </c>
      <c r="AX368" t="s">
        <v>126</v>
      </c>
      <c r="AY368" t="s">
        <v>1430</v>
      </c>
      <c r="AZ368" t="s">
        <v>264</v>
      </c>
      <c r="BA368" t="s">
        <v>245</v>
      </c>
      <c r="BB368" t="s">
        <v>244</v>
      </c>
      <c r="BC368" t="s">
        <v>244</v>
      </c>
      <c r="BD368" t="s">
        <v>1434</v>
      </c>
      <c r="BE368" t="s">
        <v>1432</v>
      </c>
      <c r="BF368" t="s">
        <v>279</v>
      </c>
      <c r="BG368" t="s">
        <v>110</v>
      </c>
      <c r="BH368" t="str">
        <f>IF(COUNTIF(工作表1!A:A, $C368)&gt;0, "預購款", "非預購款")</f>
        <v>非預購款</v>
      </c>
    </row>
    <row r="369" spans="1:60" x14ac:dyDescent="0.25">
      <c r="A369" t="s">
        <v>1435</v>
      </c>
      <c r="B369" t="s">
        <v>759</v>
      </c>
      <c r="C369" t="s">
        <v>1436</v>
      </c>
      <c r="D369" t="s">
        <v>1437</v>
      </c>
      <c r="E369" t="s">
        <v>1438</v>
      </c>
      <c r="F369" t="s">
        <v>145</v>
      </c>
      <c r="G369" t="s">
        <v>1439</v>
      </c>
      <c r="H369" t="s">
        <v>119</v>
      </c>
      <c r="I369" t="s">
        <v>88</v>
      </c>
      <c r="J369" t="s">
        <v>89</v>
      </c>
      <c r="K369" t="s">
        <v>69</v>
      </c>
      <c r="L369" t="s">
        <v>1440</v>
      </c>
      <c r="M369" t="s">
        <v>71</v>
      </c>
      <c r="N369" t="s">
        <v>100</v>
      </c>
      <c r="O369" t="s">
        <v>1391</v>
      </c>
      <c r="P369" t="s">
        <v>1392</v>
      </c>
      <c r="R369" t="s">
        <v>1393</v>
      </c>
      <c r="S369" t="s">
        <v>167</v>
      </c>
      <c r="T369" t="s">
        <v>258</v>
      </c>
      <c r="U369" t="s">
        <v>146</v>
      </c>
      <c r="V369" t="s">
        <v>321</v>
      </c>
      <c r="W369">
        <v>890</v>
      </c>
      <c r="X369">
        <v>39.99</v>
      </c>
      <c r="Y369">
        <v>115</v>
      </c>
      <c r="Z369">
        <v>639000</v>
      </c>
      <c r="AA369">
        <v>578500</v>
      </c>
      <c r="AB369">
        <v>345</v>
      </c>
      <c r="AD369" t="s">
        <v>238</v>
      </c>
      <c r="AE369">
        <v>1</v>
      </c>
      <c r="AF369">
        <v>0</v>
      </c>
      <c r="AI369">
        <v>0</v>
      </c>
      <c r="AJ369">
        <v>260</v>
      </c>
      <c r="AK369">
        <v>260</v>
      </c>
      <c r="AL369">
        <v>650</v>
      </c>
      <c r="AM369">
        <v>261</v>
      </c>
      <c r="AN369">
        <v>0</v>
      </c>
      <c r="AO369">
        <v>261</v>
      </c>
      <c r="AP369" t="s">
        <v>80</v>
      </c>
      <c r="AQ369" t="s">
        <v>179</v>
      </c>
      <c r="AR369" t="s">
        <v>86</v>
      </c>
      <c r="AS369" t="s">
        <v>86</v>
      </c>
      <c r="AT369" t="s">
        <v>240</v>
      </c>
      <c r="AU369" t="s">
        <v>240</v>
      </c>
      <c r="AV369" t="s">
        <v>1441</v>
      </c>
      <c r="AW369" t="s">
        <v>69</v>
      </c>
      <c r="AX369" t="s">
        <v>126</v>
      </c>
      <c r="AY369" t="s">
        <v>1442</v>
      </c>
      <c r="AZ369" t="s">
        <v>264</v>
      </c>
      <c r="BA369" t="s">
        <v>245</v>
      </c>
      <c r="BB369" t="s">
        <v>244</v>
      </c>
      <c r="BC369" t="s">
        <v>244</v>
      </c>
      <c r="BD369" t="s">
        <v>1443</v>
      </c>
      <c r="BE369" t="s">
        <v>1444</v>
      </c>
      <c r="BF369" t="s">
        <v>240</v>
      </c>
      <c r="BG369" t="s">
        <v>110</v>
      </c>
      <c r="BH369" t="str">
        <f>IF(COUNTIF(工作表1!A:A, $C369)&gt;0, "預購款", "非預購款")</f>
        <v>非預購款</v>
      </c>
    </row>
    <row r="370" spans="1:60" x14ac:dyDescent="0.25">
      <c r="A370" t="s">
        <v>1435</v>
      </c>
      <c r="B370" t="s">
        <v>759</v>
      </c>
      <c r="C370" t="s">
        <v>1436</v>
      </c>
      <c r="D370" t="s">
        <v>1437</v>
      </c>
      <c r="E370" t="s">
        <v>1438</v>
      </c>
      <c r="F370" t="s">
        <v>145</v>
      </c>
      <c r="G370" t="s">
        <v>1439</v>
      </c>
      <c r="H370" t="s">
        <v>130</v>
      </c>
      <c r="I370" t="s">
        <v>88</v>
      </c>
      <c r="J370" t="s">
        <v>89</v>
      </c>
      <c r="K370" t="s">
        <v>69</v>
      </c>
      <c r="L370" t="s">
        <v>1440</v>
      </c>
      <c r="M370" t="s">
        <v>71</v>
      </c>
      <c r="N370" t="s">
        <v>100</v>
      </c>
      <c r="O370" t="s">
        <v>1391</v>
      </c>
      <c r="P370" t="s">
        <v>1392</v>
      </c>
      <c r="R370" t="s">
        <v>1393</v>
      </c>
      <c r="S370" t="s">
        <v>167</v>
      </c>
      <c r="T370" t="s">
        <v>258</v>
      </c>
      <c r="U370" t="s">
        <v>146</v>
      </c>
      <c r="V370" t="s">
        <v>321</v>
      </c>
      <c r="W370">
        <v>890</v>
      </c>
      <c r="X370">
        <v>39.99</v>
      </c>
      <c r="Y370">
        <v>115</v>
      </c>
      <c r="Z370">
        <v>639000</v>
      </c>
      <c r="AA370">
        <v>578500</v>
      </c>
      <c r="AB370">
        <v>345</v>
      </c>
      <c r="AD370" t="s">
        <v>238</v>
      </c>
      <c r="AE370">
        <v>1</v>
      </c>
      <c r="AF370">
        <v>0</v>
      </c>
      <c r="AI370">
        <v>0</v>
      </c>
      <c r="AJ370">
        <v>230</v>
      </c>
      <c r="AK370">
        <v>230</v>
      </c>
      <c r="AL370">
        <v>650</v>
      </c>
      <c r="AM370">
        <v>231</v>
      </c>
      <c r="AN370">
        <v>0</v>
      </c>
      <c r="AO370">
        <v>231</v>
      </c>
      <c r="AP370" t="s">
        <v>80</v>
      </c>
      <c r="AQ370" t="s">
        <v>179</v>
      </c>
      <c r="AR370" t="s">
        <v>86</v>
      </c>
      <c r="AS370" t="s">
        <v>86</v>
      </c>
      <c r="AT370" t="s">
        <v>240</v>
      </c>
      <c r="AU370" t="s">
        <v>240</v>
      </c>
      <c r="AV370" t="s">
        <v>1441</v>
      </c>
      <c r="AW370" t="s">
        <v>69</v>
      </c>
      <c r="AX370" t="s">
        <v>126</v>
      </c>
      <c r="AY370" t="s">
        <v>1442</v>
      </c>
      <c r="AZ370" t="s">
        <v>264</v>
      </c>
      <c r="BA370" t="s">
        <v>245</v>
      </c>
      <c r="BB370" t="s">
        <v>244</v>
      </c>
      <c r="BC370" t="s">
        <v>244</v>
      </c>
      <c r="BD370" t="s">
        <v>1445</v>
      </c>
      <c r="BE370" t="s">
        <v>1444</v>
      </c>
      <c r="BF370" t="s">
        <v>240</v>
      </c>
      <c r="BG370" t="s">
        <v>110</v>
      </c>
      <c r="BH370" t="str">
        <f>IF(COUNTIF(工作表1!A:A, $C370)&gt;0, "預購款", "非預購款")</f>
        <v>非預購款</v>
      </c>
    </row>
    <row r="371" spans="1:60" x14ac:dyDescent="0.25">
      <c r="A371" t="s">
        <v>1435</v>
      </c>
      <c r="B371" t="s">
        <v>759</v>
      </c>
      <c r="C371" t="s">
        <v>1436</v>
      </c>
      <c r="D371" t="s">
        <v>1437</v>
      </c>
      <c r="E371" t="s">
        <v>1438</v>
      </c>
      <c r="F371" t="s">
        <v>145</v>
      </c>
      <c r="G371" t="s">
        <v>1439</v>
      </c>
      <c r="H371" t="s">
        <v>132</v>
      </c>
      <c r="I371" t="s">
        <v>88</v>
      </c>
      <c r="J371" t="s">
        <v>89</v>
      </c>
      <c r="K371" t="s">
        <v>69</v>
      </c>
      <c r="L371" t="s">
        <v>1440</v>
      </c>
      <c r="M371" t="s">
        <v>71</v>
      </c>
      <c r="N371" t="s">
        <v>100</v>
      </c>
      <c r="O371" t="s">
        <v>1391</v>
      </c>
      <c r="P371" t="s">
        <v>1392</v>
      </c>
      <c r="R371" t="s">
        <v>1393</v>
      </c>
      <c r="S371" t="s">
        <v>167</v>
      </c>
      <c r="T371" t="s">
        <v>258</v>
      </c>
      <c r="U371" t="s">
        <v>146</v>
      </c>
      <c r="V371" t="s">
        <v>321</v>
      </c>
      <c r="W371">
        <v>890</v>
      </c>
      <c r="X371">
        <v>39.99</v>
      </c>
      <c r="Y371">
        <v>115</v>
      </c>
      <c r="Z371">
        <v>639000</v>
      </c>
      <c r="AA371">
        <v>578500</v>
      </c>
      <c r="AB371">
        <v>345</v>
      </c>
      <c r="AD371" t="s">
        <v>238</v>
      </c>
      <c r="AE371">
        <v>1</v>
      </c>
      <c r="AF371">
        <v>0</v>
      </c>
      <c r="AI371">
        <v>0</v>
      </c>
      <c r="AJ371">
        <v>160</v>
      </c>
      <c r="AK371">
        <v>160</v>
      </c>
      <c r="AL371">
        <v>650</v>
      </c>
      <c r="AM371">
        <v>162</v>
      </c>
      <c r="AN371">
        <v>0</v>
      </c>
      <c r="AO371">
        <v>162</v>
      </c>
      <c r="AP371" t="s">
        <v>80</v>
      </c>
      <c r="AQ371" t="s">
        <v>179</v>
      </c>
      <c r="AR371" t="s">
        <v>86</v>
      </c>
      <c r="AS371" t="s">
        <v>86</v>
      </c>
      <c r="AT371" t="s">
        <v>240</v>
      </c>
      <c r="AU371" t="s">
        <v>240</v>
      </c>
      <c r="AV371" t="s">
        <v>1441</v>
      </c>
      <c r="AW371" t="s">
        <v>69</v>
      </c>
      <c r="AX371" t="s">
        <v>126</v>
      </c>
      <c r="AY371" t="s">
        <v>1442</v>
      </c>
      <c r="AZ371" t="s">
        <v>264</v>
      </c>
      <c r="BA371" t="s">
        <v>245</v>
      </c>
      <c r="BB371" t="s">
        <v>244</v>
      </c>
      <c r="BC371" t="s">
        <v>244</v>
      </c>
      <c r="BD371" t="s">
        <v>1446</v>
      </c>
      <c r="BE371" t="s">
        <v>1444</v>
      </c>
      <c r="BF371" t="s">
        <v>240</v>
      </c>
      <c r="BG371" t="s">
        <v>110</v>
      </c>
      <c r="BH371" t="str">
        <f>IF(COUNTIF(工作表1!A:A, $C371)&gt;0, "預購款", "非預購款")</f>
        <v>非預購款</v>
      </c>
    </row>
    <row r="372" spans="1:60" x14ac:dyDescent="0.25">
      <c r="A372" t="s">
        <v>1447</v>
      </c>
      <c r="B372" t="s">
        <v>759</v>
      </c>
      <c r="C372" t="s">
        <v>1448</v>
      </c>
      <c r="D372" t="s">
        <v>1449</v>
      </c>
      <c r="E372" t="s">
        <v>1450</v>
      </c>
      <c r="F372" t="s">
        <v>145</v>
      </c>
      <c r="G372" t="s">
        <v>1451</v>
      </c>
      <c r="H372" t="s">
        <v>273</v>
      </c>
      <c r="I372" t="s">
        <v>88</v>
      </c>
      <c r="J372" t="s">
        <v>89</v>
      </c>
      <c r="K372" t="s">
        <v>69</v>
      </c>
      <c r="L372" t="s">
        <v>1440</v>
      </c>
      <c r="M372" t="s">
        <v>71</v>
      </c>
      <c r="N372" t="s">
        <v>100</v>
      </c>
      <c r="O372" t="s">
        <v>1391</v>
      </c>
      <c r="P372" t="s">
        <v>1392</v>
      </c>
      <c r="R372" t="s">
        <v>1393</v>
      </c>
      <c r="S372" t="s">
        <v>167</v>
      </c>
      <c r="T372" t="s">
        <v>274</v>
      </c>
      <c r="U372" t="s">
        <v>146</v>
      </c>
      <c r="V372" t="s">
        <v>321</v>
      </c>
      <c r="W372">
        <v>990</v>
      </c>
      <c r="X372">
        <v>39.99</v>
      </c>
      <c r="Y372">
        <v>129</v>
      </c>
      <c r="Z372">
        <v>709000</v>
      </c>
      <c r="AA372">
        <v>247500</v>
      </c>
      <c r="AB372">
        <v>376</v>
      </c>
      <c r="AD372" t="s">
        <v>238</v>
      </c>
      <c r="AE372">
        <v>1</v>
      </c>
      <c r="AF372">
        <v>0</v>
      </c>
      <c r="AI372">
        <v>0</v>
      </c>
      <c r="AJ372">
        <v>110</v>
      </c>
      <c r="AK372">
        <v>110</v>
      </c>
      <c r="AL372">
        <v>250</v>
      </c>
      <c r="AM372">
        <v>110</v>
      </c>
      <c r="AN372">
        <v>0</v>
      </c>
      <c r="AO372">
        <v>110</v>
      </c>
      <c r="AP372" t="s">
        <v>80</v>
      </c>
      <c r="AQ372" t="s">
        <v>954</v>
      </c>
      <c r="AS372" t="s">
        <v>86</v>
      </c>
      <c r="AT372" t="s">
        <v>86</v>
      </c>
      <c r="AU372" t="s">
        <v>86</v>
      </c>
      <c r="AV372" t="s">
        <v>1452</v>
      </c>
      <c r="AW372" t="s">
        <v>69</v>
      </c>
      <c r="AX372" t="s">
        <v>126</v>
      </c>
      <c r="AY372" t="s">
        <v>1453</v>
      </c>
      <c r="AZ372" t="s">
        <v>264</v>
      </c>
      <c r="BA372" t="s">
        <v>245</v>
      </c>
      <c r="BB372" t="s">
        <v>244</v>
      </c>
      <c r="BC372" t="s">
        <v>244</v>
      </c>
      <c r="BD372" t="s">
        <v>1454</v>
      </c>
      <c r="BE372" t="s">
        <v>1455</v>
      </c>
      <c r="BF372" t="s">
        <v>279</v>
      </c>
      <c r="BG372" t="s">
        <v>110</v>
      </c>
      <c r="BH372" t="str">
        <f>IF(COUNTIF(工作表1!A:A, $C372)&gt;0, "預購款", "非預購款")</f>
        <v>非預購款</v>
      </c>
    </row>
    <row r="373" spans="1:60" x14ac:dyDescent="0.25">
      <c r="A373" t="s">
        <v>1447</v>
      </c>
      <c r="B373" t="s">
        <v>759</v>
      </c>
      <c r="C373" t="s">
        <v>1448</v>
      </c>
      <c r="D373" t="s">
        <v>1449</v>
      </c>
      <c r="E373" t="s">
        <v>1450</v>
      </c>
      <c r="F373" t="s">
        <v>145</v>
      </c>
      <c r="G373" t="s">
        <v>1451</v>
      </c>
      <c r="H373" t="s">
        <v>501</v>
      </c>
      <c r="I373" t="s">
        <v>88</v>
      </c>
      <c r="J373" t="s">
        <v>89</v>
      </c>
      <c r="K373" t="s">
        <v>69</v>
      </c>
      <c r="L373" t="s">
        <v>1440</v>
      </c>
      <c r="M373" t="s">
        <v>71</v>
      </c>
      <c r="N373" t="s">
        <v>100</v>
      </c>
      <c r="O373" t="s">
        <v>1391</v>
      </c>
      <c r="P373" t="s">
        <v>1392</v>
      </c>
      <c r="R373" t="s">
        <v>1393</v>
      </c>
      <c r="S373" t="s">
        <v>167</v>
      </c>
      <c r="T373" t="s">
        <v>274</v>
      </c>
      <c r="U373" t="s">
        <v>146</v>
      </c>
      <c r="V373" t="s">
        <v>321</v>
      </c>
      <c r="W373">
        <v>990</v>
      </c>
      <c r="X373">
        <v>39.99</v>
      </c>
      <c r="Y373">
        <v>129</v>
      </c>
      <c r="Z373">
        <v>709000</v>
      </c>
      <c r="AA373">
        <v>247500</v>
      </c>
      <c r="AB373">
        <v>376</v>
      </c>
      <c r="AD373" t="s">
        <v>238</v>
      </c>
      <c r="AE373">
        <v>1</v>
      </c>
      <c r="AF373">
        <v>0</v>
      </c>
      <c r="AI373">
        <v>0</v>
      </c>
      <c r="AJ373">
        <v>60</v>
      </c>
      <c r="AK373">
        <v>60</v>
      </c>
      <c r="AL373">
        <v>250</v>
      </c>
      <c r="AM373">
        <v>60</v>
      </c>
      <c r="AN373">
        <v>0</v>
      </c>
      <c r="AO373">
        <v>60</v>
      </c>
      <c r="AP373" t="s">
        <v>80</v>
      </c>
      <c r="AQ373" t="s">
        <v>954</v>
      </c>
      <c r="AS373" t="s">
        <v>86</v>
      </c>
      <c r="AT373" t="s">
        <v>86</v>
      </c>
      <c r="AU373" t="s">
        <v>86</v>
      </c>
      <c r="AV373" t="s">
        <v>1452</v>
      </c>
      <c r="AW373" t="s">
        <v>69</v>
      </c>
      <c r="AX373" t="s">
        <v>126</v>
      </c>
      <c r="AY373" t="s">
        <v>1453</v>
      </c>
      <c r="AZ373" t="s">
        <v>264</v>
      </c>
      <c r="BA373" t="s">
        <v>245</v>
      </c>
      <c r="BB373" t="s">
        <v>244</v>
      </c>
      <c r="BC373" t="s">
        <v>244</v>
      </c>
      <c r="BD373" t="s">
        <v>1456</v>
      </c>
      <c r="BE373" t="s">
        <v>1455</v>
      </c>
      <c r="BF373" t="s">
        <v>279</v>
      </c>
      <c r="BG373" t="s">
        <v>110</v>
      </c>
      <c r="BH373" t="str">
        <f>IF(COUNTIF(工作表1!A:A, $C373)&gt;0, "預購款", "非預購款")</f>
        <v>非預購款</v>
      </c>
    </row>
    <row r="374" spans="1:60" x14ac:dyDescent="0.25">
      <c r="A374" t="s">
        <v>1447</v>
      </c>
      <c r="B374" t="s">
        <v>759</v>
      </c>
      <c r="C374" t="s">
        <v>1448</v>
      </c>
      <c r="D374" t="s">
        <v>1449</v>
      </c>
      <c r="E374" t="s">
        <v>1450</v>
      </c>
      <c r="F374" t="s">
        <v>145</v>
      </c>
      <c r="G374" t="s">
        <v>1451</v>
      </c>
      <c r="H374" t="s">
        <v>280</v>
      </c>
      <c r="I374" t="s">
        <v>88</v>
      </c>
      <c r="J374" t="s">
        <v>89</v>
      </c>
      <c r="K374" t="s">
        <v>69</v>
      </c>
      <c r="L374" t="s">
        <v>1440</v>
      </c>
      <c r="M374" t="s">
        <v>71</v>
      </c>
      <c r="N374" t="s">
        <v>100</v>
      </c>
      <c r="O374" t="s">
        <v>1391</v>
      </c>
      <c r="P374" t="s">
        <v>1392</v>
      </c>
      <c r="R374" t="s">
        <v>1393</v>
      </c>
      <c r="S374" t="s">
        <v>167</v>
      </c>
      <c r="T374" t="s">
        <v>274</v>
      </c>
      <c r="U374" t="s">
        <v>146</v>
      </c>
      <c r="V374" t="s">
        <v>321</v>
      </c>
      <c r="W374">
        <v>990</v>
      </c>
      <c r="X374">
        <v>39.99</v>
      </c>
      <c r="Y374">
        <v>129</v>
      </c>
      <c r="Z374">
        <v>709000</v>
      </c>
      <c r="AA374">
        <v>247500</v>
      </c>
      <c r="AB374">
        <v>376</v>
      </c>
      <c r="AD374" t="s">
        <v>238</v>
      </c>
      <c r="AE374">
        <v>1</v>
      </c>
      <c r="AF374">
        <v>0</v>
      </c>
      <c r="AI374">
        <v>0</v>
      </c>
      <c r="AJ374">
        <v>80</v>
      </c>
      <c r="AK374">
        <v>80</v>
      </c>
      <c r="AL374">
        <v>250</v>
      </c>
      <c r="AM374">
        <v>80</v>
      </c>
      <c r="AN374">
        <v>0</v>
      </c>
      <c r="AO374">
        <v>80</v>
      </c>
      <c r="AP374" t="s">
        <v>80</v>
      </c>
      <c r="AQ374" t="s">
        <v>954</v>
      </c>
      <c r="AS374" t="s">
        <v>86</v>
      </c>
      <c r="AT374" t="s">
        <v>86</v>
      </c>
      <c r="AU374" t="s">
        <v>86</v>
      </c>
      <c r="AV374" t="s">
        <v>1452</v>
      </c>
      <c r="AW374" t="s">
        <v>69</v>
      </c>
      <c r="AX374" t="s">
        <v>126</v>
      </c>
      <c r="AY374" t="s">
        <v>1453</v>
      </c>
      <c r="AZ374" t="s">
        <v>264</v>
      </c>
      <c r="BA374" t="s">
        <v>245</v>
      </c>
      <c r="BB374" t="s">
        <v>244</v>
      </c>
      <c r="BC374" t="s">
        <v>244</v>
      </c>
      <c r="BD374" t="s">
        <v>1457</v>
      </c>
      <c r="BE374" t="s">
        <v>1455</v>
      </c>
      <c r="BF374" t="s">
        <v>279</v>
      </c>
      <c r="BG374" t="s">
        <v>110</v>
      </c>
      <c r="BH374" t="str">
        <f>IF(COUNTIF(工作表1!A:A, $C374)&gt;0, "預購款", "非預購款")</f>
        <v>非預購款</v>
      </c>
    </row>
    <row r="375" spans="1:60" x14ac:dyDescent="0.25">
      <c r="A375" t="s">
        <v>1458</v>
      </c>
      <c r="B375" t="s">
        <v>759</v>
      </c>
      <c r="C375" t="s">
        <v>1459</v>
      </c>
      <c r="D375" t="s">
        <v>1460</v>
      </c>
      <c r="E375" t="s">
        <v>1461</v>
      </c>
      <c r="F375" t="s">
        <v>145</v>
      </c>
      <c r="G375" t="s">
        <v>1462</v>
      </c>
      <c r="H375" t="s">
        <v>119</v>
      </c>
      <c r="I375" t="s">
        <v>134</v>
      </c>
      <c r="J375" t="s">
        <v>135</v>
      </c>
      <c r="K375" t="s">
        <v>69</v>
      </c>
      <c r="L375" t="s">
        <v>1463</v>
      </c>
      <c r="M375" t="s">
        <v>71</v>
      </c>
      <c r="N375" t="s">
        <v>100</v>
      </c>
      <c r="O375" t="s">
        <v>1391</v>
      </c>
      <c r="P375" t="s">
        <v>1392</v>
      </c>
      <c r="R375" t="s">
        <v>1393</v>
      </c>
      <c r="S375" t="s">
        <v>167</v>
      </c>
      <c r="T375" t="s">
        <v>291</v>
      </c>
      <c r="U375" t="s">
        <v>77</v>
      </c>
      <c r="V375" t="s">
        <v>933</v>
      </c>
      <c r="W375">
        <v>990</v>
      </c>
      <c r="X375">
        <v>39.99</v>
      </c>
      <c r="Y375">
        <v>129</v>
      </c>
      <c r="Z375">
        <v>709000</v>
      </c>
      <c r="AA375">
        <v>267300</v>
      </c>
      <c r="AB375">
        <v>600</v>
      </c>
      <c r="AD375" t="s">
        <v>238</v>
      </c>
      <c r="AE375">
        <v>1</v>
      </c>
      <c r="AF375">
        <v>0</v>
      </c>
      <c r="AI375">
        <v>30</v>
      </c>
      <c r="AJ375">
        <v>140</v>
      </c>
      <c r="AK375">
        <v>170</v>
      </c>
      <c r="AL375">
        <v>270</v>
      </c>
      <c r="AM375">
        <v>163</v>
      </c>
      <c r="AN375">
        <v>0</v>
      </c>
      <c r="AO375">
        <v>163</v>
      </c>
      <c r="AP375" t="s">
        <v>80</v>
      </c>
      <c r="AQ375" t="s">
        <v>179</v>
      </c>
      <c r="AT375" t="s">
        <v>86</v>
      </c>
      <c r="AU375" t="s">
        <v>86</v>
      </c>
      <c r="AV375" t="s">
        <v>1464</v>
      </c>
      <c r="AW375" t="s">
        <v>69</v>
      </c>
      <c r="AX375" t="s">
        <v>126</v>
      </c>
      <c r="AY375" t="s">
        <v>1465</v>
      </c>
      <c r="AZ375" t="s">
        <v>244</v>
      </c>
      <c r="BA375" t="s">
        <v>245</v>
      </c>
      <c r="BB375" t="s">
        <v>244</v>
      </c>
      <c r="BC375" t="s">
        <v>244</v>
      </c>
      <c r="BD375" t="s">
        <v>1466</v>
      </c>
      <c r="BE375" t="s">
        <v>1467</v>
      </c>
      <c r="BF375" t="s">
        <v>291</v>
      </c>
      <c r="BG375" t="s">
        <v>110</v>
      </c>
      <c r="BH375" t="str">
        <f>IF(COUNTIF(工作表1!A:A, $C375)&gt;0, "預購款", "非預購款")</f>
        <v>非預購款</v>
      </c>
    </row>
    <row r="376" spans="1:60" x14ac:dyDescent="0.25">
      <c r="A376" t="s">
        <v>1458</v>
      </c>
      <c r="B376" t="s">
        <v>759</v>
      </c>
      <c r="C376" t="s">
        <v>1459</v>
      </c>
      <c r="D376" t="s">
        <v>1460</v>
      </c>
      <c r="E376" t="s">
        <v>1461</v>
      </c>
      <c r="F376" t="s">
        <v>145</v>
      </c>
      <c r="G376" t="s">
        <v>1462</v>
      </c>
      <c r="H376" t="s">
        <v>130</v>
      </c>
      <c r="I376" t="s">
        <v>134</v>
      </c>
      <c r="J376" t="s">
        <v>135</v>
      </c>
      <c r="K376" t="s">
        <v>69</v>
      </c>
      <c r="L376" t="s">
        <v>1463</v>
      </c>
      <c r="M376" t="s">
        <v>71</v>
      </c>
      <c r="N376" t="s">
        <v>100</v>
      </c>
      <c r="O376" t="s">
        <v>1391</v>
      </c>
      <c r="P376" t="s">
        <v>1392</v>
      </c>
      <c r="R376" t="s">
        <v>1393</v>
      </c>
      <c r="S376" t="s">
        <v>167</v>
      </c>
      <c r="T376" t="s">
        <v>291</v>
      </c>
      <c r="U376" t="s">
        <v>77</v>
      </c>
      <c r="V376" t="s">
        <v>933</v>
      </c>
      <c r="W376">
        <v>990</v>
      </c>
      <c r="X376">
        <v>39.99</v>
      </c>
      <c r="Y376">
        <v>129</v>
      </c>
      <c r="Z376">
        <v>709000</v>
      </c>
      <c r="AA376">
        <v>267300</v>
      </c>
      <c r="AB376">
        <v>600</v>
      </c>
      <c r="AD376" t="s">
        <v>238</v>
      </c>
      <c r="AE376">
        <v>1</v>
      </c>
      <c r="AF376">
        <v>0</v>
      </c>
      <c r="AI376">
        <v>15</v>
      </c>
      <c r="AJ376">
        <v>40</v>
      </c>
      <c r="AK376">
        <v>55</v>
      </c>
      <c r="AL376">
        <v>270</v>
      </c>
      <c r="AM376">
        <v>54</v>
      </c>
      <c r="AN376">
        <v>0</v>
      </c>
      <c r="AO376">
        <v>54</v>
      </c>
      <c r="AP376" t="s">
        <v>80</v>
      </c>
      <c r="AQ376" t="s">
        <v>179</v>
      </c>
      <c r="AT376" t="s">
        <v>86</v>
      </c>
      <c r="AU376" t="s">
        <v>86</v>
      </c>
      <c r="AV376" t="s">
        <v>1464</v>
      </c>
      <c r="AW376" t="s">
        <v>69</v>
      </c>
      <c r="AX376" t="s">
        <v>126</v>
      </c>
      <c r="AY376" t="s">
        <v>1465</v>
      </c>
      <c r="AZ376" t="s">
        <v>244</v>
      </c>
      <c r="BA376" t="s">
        <v>245</v>
      </c>
      <c r="BB376" t="s">
        <v>244</v>
      </c>
      <c r="BC376" t="s">
        <v>244</v>
      </c>
      <c r="BD376" t="s">
        <v>1468</v>
      </c>
      <c r="BE376" t="s">
        <v>1467</v>
      </c>
      <c r="BF376" t="s">
        <v>291</v>
      </c>
      <c r="BG376" t="s">
        <v>110</v>
      </c>
      <c r="BH376" t="str">
        <f>IF(COUNTIF(工作表1!A:A, $C376)&gt;0, "預購款", "非預購款")</f>
        <v>非預購款</v>
      </c>
    </row>
    <row r="377" spans="1:60" x14ac:dyDescent="0.25">
      <c r="A377" t="s">
        <v>1458</v>
      </c>
      <c r="B377" t="s">
        <v>759</v>
      </c>
      <c r="C377" t="s">
        <v>1459</v>
      </c>
      <c r="D377" t="s">
        <v>1460</v>
      </c>
      <c r="E377" t="s">
        <v>1461</v>
      </c>
      <c r="F377" t="s">
        <v>145</v>
      </c>
      <c r="G377" t="s">
        <v>1462</v>
      </c>
      <c r="H377" t="s">
        <v>132</v>
      </c>
      <c r="I377" t="s">
        <v>134</v>
      </c>
      <c r="J377" t="s">
        <v>135</v>
      </c>
      <c r="K377" t="s">
        <v>69</v>
      </c>
      <c r="L377" t="s">
        <v>1463</v>
      </c>
      <c r="M377" t="s">
        <v>71</v>
      </c>
      <c r="N377" t="s">
        <v>100</v>
      </c>
      <c r="O377" t="s">
        <v>1391</v>
      </c>
      <c r="P377" t="s">
        <v>1392</v>
      </c>
      <c r="R377" t="s">
        <v>1393</v>
      </c>
      <c r="S377" t="s">
        <v>167</v>
      </c>
      <c r="T377" t="s">
        <v>291</v>
      </c>
      <c r="U377" t="s">
        <v>77</v>
      </c>
      <c r="V377" t="s">
        <v>933</v>
      </c>
      <c r="W377">
        <v>990</v>
      </c>
      <c r="X377">
        <v>39.99</v>
      </c>
      <c r="Y377">
        <v>129</v>
      </c>
      <c r="Z377">
        <v>709000</v>
      </c>
      <c r="AA377">
        <v>267300</v>
      </c>
      <c r="AB377">
        <v>600</v>
      </c>
      <c r="AD377" t="s">
        <v>238</v>
      </c>
      <c r="AE377">
        <v>1</v>
      </c>
      <c r="AF377">
        <v>0</v>
      </c>
      <c r="AI377">
        <v>15</v>
      </c>
      <c r="AJ377">
        <v>30</v>
      </c>
      <c r="AK377">
        <v>45</v>
      </c>
      <c r="AL377">
        <v>270</v>
      </c>
      <c r="AM377">
        <v>44</v>
      </c>
      <c r="AN377">
        <v>0</v>
      </c>
      <c r="AO377">
        <v>44</v>
      </c>
      <c r="AP377" t="s">
        <v>80</v>
      </c>
      <c r="AQ377" t="s">
        <v>179</v>
      </c>
      <c r="AT377" t="s">
        <v>86</v>
      </c>
      <c r="AU377" t="s">
        <v>86</v>
      </c>
      <c r="AV377" t="s">
        <v>1464</v>
      </c>
      <c r="AW377" t="s">
        <v>69</v>
      </c>
      <c r="AX377" t="s">
        <v>126</v>
      </c>
      <c r="AY377" t="s">
        <v>1465</v>
      </c>
      <c r="AZ377" t="s">
        <v>244</v>
      </c>
      <c r="BA377" t="s">
        <v>245</v>
      </c>
      <c r="BB377" t="s">
        <v>244</v>
      </c>
      <c r="BC377" t="s">
        <v>244</v>
      </c>
      <c r="BD377" t="s">
        <v>1469</v>
      </c>
      <c r="BE377" t="s">
        <v>1467</v>
      </c>
      <c r="BF377" t="s">
        <v>291</v>
      </c>
      <c r="BG377" t="s">
        <v>110</v>
      </c>
      <c r="BH377" t="str">
        <f>IF(COUNTIF(工作表1!A:A, $C377)&gt;0, "預購款", "非預購款")</f>
        <v>非預購款</v>
      </c>
    </row>
    <row r="378" spans="1:60" x14ac:dyDescent="0.25">
      <c r="A378" t="s">
        <v>1186</v>
      </c>
      <c r="B378" t="s">
        <v>759</v>
      </c>
      <c r="C378" t="s">
        <v>1187</v>
      </c>
      <c r="D378" t="s">
        <v>1188</v>
      </c>
      <c r="E378" t="s">
        <v>1189</v>
      </c>
      <c r="F378" t="s">
        <v>145</v>
      </c>
      <c r="G378" t="s">
        <v>1190</v>
      </c>
      <c r="H378" t="s">
        <v>119</v>
      </c>
      <c r="I378" t="s">
        <v>97</v>
      </c>
      <c r="J378" t="s">
        <v>98</v>
      </c>
      <c r="K378" t="s">
        <v>69</v>
      </c>
      <c r="L378" t="s">
        <v>1191</v>
      </c>
      <c r="M378" t="s">
        <v>71</v>
      </c>
      <c r="N378" t="s">
        <v>100</v>
      </c>
      <c r="O378" t="s">
        <v>1136</v>
      </c>
      <c r="P378" t="s">
        <v>1137</v>
      </c>
      <c r="R378" t="s">
        <v>1138</v>
      </c>
      <c r="S378" t="s">
        <v>167</v>
      </c>
      <c r="T378" t="s">
        <v>258</v>
      </c>
      <c r="U378" t="s">
        <v>104</v>
      </c>
      <c r="V378" t="s">
        <v>653</v>
      </c>
      <c r="W378">
        <v>390</v>
      </c>
      <c r="X378">
        <v>16.989999999999998</v>
      </c>
      <c r="Y378">
        <v>49</v>
      </c>
      <c r="Z378">
        <v>279000</v>
      </c>
      <c r="AA378">
        <v>105300</v>
      </c>
      <c r="AB378">
        <v>130</v>
      </c>
      <c r="AD378" t="s">
        <v>238</v>
      </c>
      <c r="AE378">
        <v>1</v>
      </c>
      <c r="AF378">
        <v>0</v>
      </c>
      <c r="AI378">
        <v>150</v>
      </c>
      <c r="AJ378">
        <v>60</v>
      </c>
      <c r="AK378">
        <v>210</v>
      </c>
      <c r="AL378">
        <v>270</v>
      </c>
      <c r="AM378">
        <v>219</v>
      </c>
      <c r="AN378">
        <v>0</v>
      </c>
      <c r="AO378">
        <v>219</v>
      </c>
      <c r="AP378" t="s">
        <v>80</v>
      </c>
      <c r="AQ378" t="s">
        <v>954</v>
      </c>
      <c r="AR378" t="s">
        <v>86</v>
      </c>
      <c r="AS378" t="s">
        <v>240</v>
      </c>
      <c r="AT378" t="s">
        <v>240</v>
      </c>
      <c r="AU378" t="s">
        <v>240</v>
      </c>
      <c r="AV378" t="s">
        <v>1192</v>
      </c>
      <c r="AW378" t="s">
        <v>69</v>
      </c>
      <c r="AX378" t="s">
        <v>1193</v>
      </c>
      <c r="AY378" t="s">
        <v>1194</v>
      </c>
      <c r="AZ378" t="s">
        <v>245</v>
      </c>
      <c r="BA378" t="s">
        <v>244</v>
      </c>
      <c r="BB378" t="s">
        <v>244</v>
      </c>
      <c r="BC378" t="s">
        <v>264</v>
      </c>
      <c r="BD378" t="s">
        <v>1199</v>
      </c>
      <c r="BE378" t="s">
        <v>1471</v>
      </c>
      <c r="BF378" t="s">
        <v>658</v>
      </c>
      <c r="BG378" t="s">
        <v>150</v>
      </c>
      <c r="BH378" t="str">
        <f>IF(COUNTIF(工作表1!A:A, $C378)&gt;0, "預購款", "非預購款")</f>
        <v>非預購款</v>
      </c>
    </row>
    <row r="379" spans="1:60" x14ac:dyDescent="0.25">
      <c r="A379" t="s">
        <v>1472</v>
      </c>
      <c r="B379" t="s">
        <v>776</v>
      </c>
      <c r="C379" t="s">
        <v>1473</v>
      </c>
      <c r="D379" t="s">
        <v>1474</v>
      </c>
      <c r="E379" t="s">
        <v>1475</v>
      </c>
      <c r="F379" t="s">
        <v>145</v>
      </c>
      <c r="G379" t="s">
        <v>1476</v>
      </c>
      <c r="H379" t="s">
        <v>119</v>
      </c>
      <c r="I379" t="s">
        <v>97</v>
      </c>
      <c r="J379" t="s">
        <v>98</v>
      </c>
      <c r="K379" t="s">
        <v>69</v>
      </c>
      <c r="L379" t="s">
        <v>1477</v>
      </c>
      <c r="M379" t="s">
        <v>71</v>
      </c>
      <c r="N379" t="s">
        <v>100</v>
      </c>
      <c r="O379" t="s">
        <v>1391</v>
      </c>
      <c r="P379" t="s">
        <v>1392</v>
      </c>
      <c r="R379" t="s">
        <v>1393</v>
      </c>
      <c r="S379" t="s">
        <v>167</v>
      </c>
      <c r="T379" t="s">
        <v>76</v>
      </c>
      <c r="U379" t="s">
        <v>104</v>
      </c>
      <c r="V379" t="s">
        <v>292</v>
      </c>
      <c r="W379">
        <v>690</v>
      </c>
      <c r="X379">
        <v>29.99</v>
      </c>
      <c r="Y379">
        <v>89</v>
      </c>
      <c r="Z379">
        <v>499000</v>
      </c>
      <c r="AA379">
        <v>282900</v>
      </c>
      <c r="AB379">
        <v>206</v>
      </c>
      <c r="AD379" t="s">
        <v>238</v>
      </c>
      <c r="AE379">
        <v>1</v>
      </c>
      <c r="AF379">
        <v>0</v>
      </c>
      <c r="AI379">
        <v>30</v>
      </c>
      <c r="AJ379">
        <v>130</v>
      </c>
      <c r="AK379">
        <v>160</v>
      </c>
      <c r="AL379">
        <v>410</v>
      </c>
      <c r="AM379">
        <v>166</v>
      </c>
      <c r="AN379">
        <v>0</v>
      </c>
      <c r="AO379">
        <v>166</v>
      </c>
      <c r="AP379" t="s">
        <v>80</v>
      </c>
      <c r="AQ379" t="s">
        <v>954</v>
      </c>
      <c r="AR379" t="s">
        <v>86</v>
      </c>
      <c r="AS379" t="s">
        <v>86</v>
      </c>
      <c r="AT379" t="s">
        <v>86</v>
      </c>
      <c r="AU379" t="s">
        <v>86</v>
      </c>
      <c r="AV379" t="s">
        <v>81</v>
      </c>
      <c r="AW379" t="s">
        <v>69</v>
      </c>
      <c r="AX379" t="s">
        <v>126</v>
      </c>
      <c r="AY379" t="s">
        <v>1478</v>
      </c>
      <c r="AZ379" t="s">
        <v>243</v>
      </c>
      <c r="BA379" t="s">
        <v>244</v>
      </c>
      <c r="BB379" t="s">
        <v>244</v>
      </c>
      <c r="BC379" t="s">
        <v>244</v>
      </c>
      <c r="BD379" t="s">
        <v>1479</v>
      </c>
      <c r="BE379" t="s">
        <v>1480</v>
      </c>
      <c r="BF379" t="s">
        <v>86</v>
      </c>
      <c r="BG379" t="s">
        <v>150</v>
      </c>
      <c r="BH379" t="str">
        <f>IF(COUNTIF(工作表1!A:A, $C379)&gt;0, "預購款", "非預購款")</f>
        <v>非預購款</v>
      </c>
    </row>
    <row r="380" spans="1:60" x14ac:dyDescent="0.25">
      <c r="A380" t="s">
        <v>1472</v>
      </c>
      <c r="B380" t="s">
        <v>776</v>
      </c>
      <c r="C380" t="s">
        <v>1473</v>
      </c>
      <c r="D380" t="s">
        <v>1474</v>
      </c>
      <c r="E380" t="s">
        <v>1475</v>
      </c>
      <c r="F380" t="s">
        <v>145</v>
      </c>
      <c r="G380" t="s">
        <v>1476</v>
      </c>
      <c r="H380" t="s">
        <v>130</v>
      </c>
      <c r="I380" t="s">
        <v>97</v>
      </c>
      <c r="J380" t="s">
        <v>98</v>
      </c>
      <c r="K380" t="s">
        <v>69</v>
      </c>
      <c r="L380" t="s">
        <v>1477</v>
      </c>
      <c r="M380" t="s">
        <v>71</v>
      </c>
      <c r="N380" t="s">
        <v>100</v>
      </c>
      <c r="O380" t="s">
        <v>1391</v>
      </c>
      <c r="P380" t="s">
        <v>1392</v>
      </c>
      <c r="R380" t="s">
        <v>1393</v>
      </c>
      <c r="S380" t="s">
        <v>167</v>
      </c>
      <c r="T380" t="s">
        <v>76</v>
      </c>
      <c r="U380" t="s">
        <v>104</v>
      </c>
      <c r="V380" t="s">
        <v>292</v>
      </c>
      <c r="W380">
        <v>690</v>
      </c>
      <c r="X380">
        <v>29.99</v>
      </c>
      <c r="Y380">
        <v>89</v>
      </c>
      <c r="Z380">
        <v>499000</v>
      </c>
      <c r="AA380">
        <v>282900</v>
      </c>
      <c r="AB380">
        <v>206</v>
      </c>
      <c r="AD380" t="s">
        <v>238</v>
      </c>
      <c r="AE380">
        <v>1</v>
      </c>
      <c r="AF380">
        <v>0</v>
      </c>
      <c r="AI380">
        <v>20</v>
      </c>
      <c r="AJ380">
        <v>170</v>
      </c>
      <c r="AK380">
        <v>190</v>
      </c>
      <c r="AL380">
        <v>410</v>
      </c>
      <c r="AM380">
        <v>198</v>
      </c>
      <c r="AN380">
        <v>0</v>
      </c>
      <c r="AO380">
        <v>198</v>
      </c>
      <c r="AP380" t="s">
        <v>80</v>
      </c>
      <c r="AQ380" t="s">
        <v>954</v>
      </c>
      <c r="AR380" t="s">
        <v>86</v>
      </c>
      <c r="AS380" t="s">
        <v>86</v>
      </c>
      <c r="AT380" t="s">
        <v>86</v>
      </c>
      <c r="AU380" t="s">
        <v>86</v>
      </c>
      <c r="AV380" t="s">
        <v>81</v>
      </c>
      <c r="AW380" t="s">
        <v>69</v>
      </c>
      <c r="AX380" t="s">
        <v>126</v>
      </c>
      <c r="AY380" t="s">
        <v>1478</v>
      </c>
      <c r="AZ380" t="s">
        <v>243</v>
      </c>
      <c r="BA380" t="s">
        <v>244</v>
      </c>
      <c r="BB380" t="s">
        <v>244</v>
      </c>
      <c r="BC380" t="s">
        <v>244</v>
      </c>
      <c r="BD380" t="s">
        <v>1481</v>
      </c>
      <c r="BE380" t="s">
        <v>1480</v>
      </c>
      <c r="BF380" t="s">
        <v>86</v>
      </c>
      <c r="BG380" t="s">
        <v>150</v>
      </c>
      <c r="BH380" t="str">
        <f>IF(COUNTIF(工作表1!A:A, $C380)&gt;0, "預購款", "非預購款")</f>
        <v>非預購款</v>
      </c>
    </row>
    <row r="381" spans="1:60" x14ac:dyDescent="0.25">
      <c r="A381" t="s">
        <v>1472</v>
      </c>
      <c r="B381" t="s">
        <v>776</v>
      </c>
      <c r="C381" t="s">
        <v>1473</v>
      </c>
      <c r="D381" t="s">
        <v>1474</v>
      </c>
      <c r="E381" t="s">
        <v>1475</v>
      </c>
      <c r="F381" t="s">
        <v>145</v>
      </c>
      <c r="G381" t="s">
        <v>1476</v>
      </c>
      <c r="H381" t="s">
        <v>132</v>
      </c>
      <c r="I381" t="s">
        <v>97</v>
      </c>
      <c r="J381" t="s">
        <v>98</v>
      </c>
      <c r="K381" t="s">
        <v>69</v>
      </c>
      <c r="L381" t="s">
        <v>1477</v>
      </c>
      <c r="M381" t="s">
        <v>71</v>
      </c>
      <c r="N381" t="s">
        <v>100</v>
      </c>
      <c r="O381" t="s">
        <v>1391</v>
      </c>
      <c r="P381" t="s">
        <v>1392</v>
      </c>
      <c r="R381" t="s">
        <v>1393</v>
      </c>
      <c r="S381" t="s">
        <v>167</v>
      </c>
      <c r="T381" t="s">
        <v>76</v>
      </c>
      <c r="U381" t="s">
        <v>104</v>
      </c>
      <c r="V381" t="s">
        <v>292</v>
      </c>
      <c r="W381">
        <v>690</v>
      </c>
      <c r="X381">
        <v>29.99</v>
      </c>
      <c r="Y381">
        <v>89</v>
      </c>
      <c r="Z381">
        <v>499000</v>
      </c>
      <c r="AA381">
        <v>282900</v>
      </c>
      <c r="AB381">
        <v>206</v>
      </c>
      <c r="AD381" t="s">
        <v>238</v>
      </c>
      <c r="AE381">
        <v>1</v>
      </c>
      <c r="AF381">
        <v>0</v>
      </c>
      <c r="AI381">
        <v>10</v>
      </c>
      <c r="AJ381">
        <v>50</v>
      </c>
      <c r="AK381">
        <v>60</v>
      </c>
      <c r="AL381">
        <v>410</v>
      </c>
      <c r="AM381">
        <v>70</v>
      </c>
      <c r="AN381">
        <v>0</v>
      </c>
      <c r="AO381">
        <v>70</v>
      </c>
      <c r="AP381" t="s">
        <v>80</v>
      </c>
      <c r="AQ381" t="s">
        <v>954</v>
      </c>
      <c r="AR381" t="s">
        <v>86</v>
      </c>
      <c r="AS381" t="s">
        <v>86</v>
      </c>
      <c r="AT381" t="s">
        <v>86</v>
      </c>
      <c r="AU381" t="s">
        <v>86</v>
      </c>
      <c r="AV381" t="s">
        <v>81</v>
      </c>
      <c r="AW381" t="s">
        <v>69</v>
      </c>
      <c r="AX381" t="s">
        <v>126</v>
      </c>
      <c r="AY381" t="s">
        <v>1478</v>
      </c>
      <c r="AZ381" t="s">
        <v>243</v>
      </c>
      <c r="BA381" t="s">
        <v>244</v>
      </c>
      <c r="BB381" t="s">
        <v>244</v>
      </c>
      <c r="BC381" t="s">
        <v>244</v>
      </c>
      <c r="BD381" t="s">
        <v>1482</v>
      </c>
      <c r="BE381" t="s">
        <v>1480</v>
      </c>
      <c r="BF381" t="s">
        <v>86</v>
      </c>
      <c r="BG381" t="s">
        <v>150</v>
      </c>
      <c r="BH381" t="str">
        <f>IF(COUNTIF(工作表1!A:A, $C381)&gt;0, "預購款", "非預購款")</f>
        <v>非預購款</v>
      </c>
    </row>
    <row r="382" spans="1:60" x14ac:dyDescent="0.25">
      <c r="A382" t="s">
        <v>1483</v>
      </c>
      <c r="B382" t="s">
        <v>776</v>
      </c>
      <c r="C382" t="s">
        <v>1484</v>
      </c>
      <c r="D382" t="s">
        <v>1485</v>
      </c>
      <c r="E382" t="s">
        <v>1486</v>
      </c>
      <c r="F382" t="s">
        <v>145</v>
      </c>
      <c r="G382" t="s">
        <v>1487</v>
      </c>
      <c r="H382" t="s">
        <v>119</v>
      </c>
      <c r="I382" t="s">
        <v>97</v>
      </c>
      <c r="J382" t="s">
        <v>98</v>
      </c>
      <c r="K382" t="s">
        <v>69</v>
      </c>
      <c r="L382" t="s">
        <v>1488</v>
      </c>
      <c r="M382" t="s">
        <v>71</v>
      </c>
      <c r="N382" t="s">
        <v>100</v>
      </c>
      <c r="O382" t="s">
        <v>1391</v>
      </c>
      <c r="P382" t="s">
        <v>1392</v>
      </c>
      <c r="R382" t="s">
        <v>1393</v>
      </c>
      <c r="S382" t="s">
        <v>167</v>
      </c>
      <c r="T382" t="s">
        <v>76</v>
      </c>
      <c r="U382" t="s">
        <v>146</v>
      </c>
      <c r="V382" t="s">
        <v>144</v>
      </c>
      <c r="W382">
        <v>890</v>
      </c>
      <c r="X382">
        <v>39.99</v>
      </c>
      <c r="Y382">
        <v>115</v>
      </c>
      <c r="Z382">
        <v>639000</v>
      </c>
      <c r="AA382">
        <v>293700</v>
      </c>
      <c r="AB382">
        <v>352</v>
      </c>
      <c r="AD382" t="s">
        <v>238</v>
      </c>
      <c r="AE382">
        <v>1</v>
      </c>
      <c r="AF382">
        <v>0</v>
      </c>
      <c r="AI382">
        <v>20</v>
      </c>
      <c r="AJ382">
        <v>160</v>
      </c>
      <c r="AK382">
        <v>180</v>
      </c>
      <c r="AL382">
        <v>330</v>
      </c>
      <c r="AM382">
        <v>176</v>
      </c>
      <c r="AN382">
        <v>0</v>
      </c>
      <c r="AO382">
        <v>176</v>
      </c>
      <c r="AP382" t="s">
        <v>80</v>
      </c>
      <c r="AQ382" t="s">
        <v>954</v>
      </c>
      <c r="AR382" t="s">
        <v>86</v>
      </c>
      <c r="AS382" t="s">
        <v>86</v>
      </c>
      <c r="AT382" t="s">
        <v>86</v>
      </c>
      <c r="AU382" t="s">
        <v>86</v>
      </c>
      <c r="AV382" t="s">
        <v>81</v>
      </c>
      <c r="AW382" t="s">
        <v>69</v>
      </c>
      <c r="AX382" t="s">
        <v>126</v>
      </c>
      <c r="AY382" t="s">
        <v>1478</v>
      </c>
      <c r="AZ382" t="s">
        <v>243</v>
      </c>
      <c r="BA382" t="s">
        <v>244</v>
      </c>
      <c r="BB382" t="s">
        <v>244</v>
      </c>
      <c r="BC382" t="s">
        <v>244</v>
      </c>
      <c r="BD382" t="s">
        <v>1489</v>
      </c>
      <c r="BE382" t="s">
        <v>1490</v>
      </c>
      <c r="BF382" t="s">
        <v>86</v>
      </c>
      <c r="BG382" t="s">
        <v>150</v>
      </c>
      <c r="BH382" t="str">
        <f>IF(COUNTIF(工作表1!A:A, $C382)&gt;0, "預購款", "非預購款")</f>
        <v>非預購款</v>
      </c>
    </row>
    <row r="383" spans="1:60" x14ac:dyDescent="0.25">
      <c r="A383" t="s">
        <v>1483</v>
      </c>
      <c r="B383" t="s">
        <v>776</v>
      </c>
      <c r="C383" t="s">
        <v>1484</v>
      </c>
      <c r="D383" t="s">
        <v>1485</v>
      </c>
      <c r="E383" t="s">
        <v>1486</v>
      </c>
      <c r="F383" t="s">
        <v>145</v>
      </c>
      <c r="G383" t="s">
        <v>1487</v>
      </c>
      <c r="H383" t="s">
        <v>130</v>
      </c>
      <c r="I383" t="s">
        <v>97</v>
      </c>
      <c r="J383" t="s">
        <v>98</v>
      </c>
      <c r="K383" t="s">
        <v>69</v>
      </c>
      <c r="L383" t="s">
        <v>1488</v>
      </c>
      <c r="M383" t="s">
        <v>71</v>
      </c>
      <c r="N383" t="s">
        <v>100</v>
      </c>
      <c r="O383" t="s">
        <v>1391</v>
      </c>
      <c r="P383" t="s">
        <v>1392</v>
      </c>
      <c r="R383" t="s">
        <v>1393</v>
      </c>
      <c r="S383" t="s">
        <v>167</v>
      </c>
      <c r="T383" t="s">
        <v>76</v>
      </c>
      <c r="U383" t="s">
        <v>146</v>
      </c>
      <c r="V383" t="s">
        <v>144</v>
      </c>
      <c r="W383">
        <v>890</v>
      </c>
      <c r="X383">
        <v>39.99</v>
      </c>
      <c r="Y383">
        <v>115</v>
      </c>
      <c r="Z383">
        <v>639000</v>
      </c>
      <c r="AA383">
        <v>293700</v>
      </c>
      <c r="AB383">
        <v>352</v>
      </c>
      <c r="AD383" t="s">
        <v>238</v>
      </c>
      <c r="AE383">
        <v>1</v>
      </c>
      <c r="AF383">
        <v>0</v>
      </c>
      <c r="AI383">
        <v>10</v>
      </c>
      <c r="AJ383">
        <v>100</v>
      </c>
      <c r="AK383">
        <v>110</v>
      </c>
      <c r="AL383">
        <v>330</v>
      </c>
      <c r="AM383">
        <v>103</v>
      </c>
      <c r="AN383">
        <v>0</v>
      </c>
      <c r="AO383">
        <v>103</v>
      </c>
      <c r="AP383" t="s">
        <v>80</v>
      </c>
      <c r="AQ383" t="s">
        <v>954</v>
      </c>
      <c r="AR383" t="s">
        <v>86</v>
      </c>
      <c r="AS383" t="s">
        <v>86</v>
      </c>
      <c r="AT383" t="s">
        <v>86</v>
      </c>
      <c r="AU383" t="s">
        <v>86</v>
      </c>
      <c r="AV383" t="s">
        <v>81</v>
      </c>
      <c r="AW383" t="s">
        <v>69</v>
      </c>
      <c r="AX383" t="s">
        <v>126</v>
      </c>
      <c r="AY383" t="s">
        <v>1478</v>
      </c>
      <c r="AZ383" t="s">
        <v>243</v>
      </c>
      <c r="BA383" t="s">
        <v>244</v>
      </c>
      <c r="BB383" t="s">
        <v>244</v>
      </c>
      <c r="BC383" t="s">
        <v>244</v>
      </c>
      <c r="BD383" t="s">
        <v>1491</v>
      </c>
      <c r="BE383" t="s">
        <v>1490</v>
      </c>
      <c r="BF383" t="s">
        <v>86</v>
      </c>
      <c r="BG383" t="s">
        <v>150</v>
      </c>
      <c r="BH383" t="str">
        <f>IF(COUNTIF(工作表1!A:A, $C383)&gt;0, "預購款", "非預購款")</f>
        <v>非預購款</v>
      </c>
    </row>
    <row r="384" spans="1:60" x14ac:dyDescent="0.25">
      <c r="A384" t="s">
        <v>1483</v>
      </c>
      <c r="B384" t="s">
        <v>776</v>
      </c>
      <c r="C384" t="s">
        <v>1484</v>
      </c>
      <c r="D384" t="s">
        <v>1485</v>
      </c>
      <c r="E384" t="s">
        <v>1486</v>
      </c>
      <c r="F384" t="s">
        <v>145</v>
      </c>
      <c r="G384" t="s">
        <v>1487</v>
      </c>
      <c r="H384" t="s">
        <v>132</v>
      </c>
      <c r="I384" t="s">
        <v>97</v>
      </c>
      <c r="J384" t="s">
        <v>98</v>
      </c>
      <c r="K384" t="s">
        <v>69</v>
      </c>
      <c r="L384" t="s">
        <v>1488</v>
      </c>
      <c r="M384" t="s">
        <v>71</v>
      </c>
      <c r="N384" t="s">
        <v>100</v>
      </c>
      <c r="O384" t="s">
        <v>1391</v>
      </c>
      <c r="P384" t="s">
        <v>1392</v>
      </c>
      <c r="R384" t="s">
        <v>1393</v>
      </c>
      <c r="S384" t="s">
        <v>167</v>
      </c>
      <c r="T384" t="s">
        <v>76</v>
      </c>
      <c r="U384" t="s">
        <v>146</v>
      </c>
      <c r="V384" t="s">
        <v>144</v>
      </c>
      <c r="W384">
        <v>890</v>
      </c>
      <c r="X384">
        <v>39.99</v>
      </c>
      <c r="Y384">
        <v>115</v>
      </c>
      <c r="Z384">
        <v>639000</v>
      </c>
      <c r="AA384">
        <v>293700</v>
      </c>
      <c r="AB384">
        <v>352</v>
      </c>
      <c r="AD384" t="s">
        <v>238</v>
      </c>
      <c r="AE384">
        <v>1</v>
      </c>
      <c r="AF384">
        <v>0</v>
      </c>
      <c r="AI384">
        <v>0</v>
      </c>
      <c r="AJ384">
        <v>40</v>
      </c>
      <c r="AK384">
        <v>40</v>
      </c>
      <c r="AL384">
        <v>330</v>
      </c>
      <c r="AM384">
        <v>49</v>
      </c>
      <c r="AN384">
        <v>0</v>
      </c>
      <c r="AO384">
        <v>49</v>
      </c>
      <c r="AP384" t="s">
        <v>80</v>
      </c>
      <c r="AQ384" t="s">
        <v>954</v>
      </c>
      <c r="AR384" t="s">
        <v>86</v>
      </c>
      <c r="AS384" t="s">
        <v>86</v>
      </c>
      <c r="AT384" t="s">
        <v>86</v>
      </c>
      <c r="AU384" t="s">
        <v>86</v>
      </c>
      <c r="AV384" t="s">
        <v>81</v>
      </c>
      <c r="AW384" t="s">
        <v>69</v>
      </c>
      <c r="AX384" t="s">
        <v>126</v>
      </c>
      <c r="AY384" t="s">
        <v>1478</v>
      </c>
      <c r="AZ384" t="s">
        <v>243</v>
      </c>
      <c r="BA384" t="s">
        <v>244</v>
      </c>
      <c r="BB384" t="s">
        <v>244</v>
      </c>
      <c r="BC384" t="s">
        <v>244</v>
      </c>
      <c r="BD384" t="s">
        <v>1492</v>
      </c>
      <c r="BE384" t="s">
        <v>1490</v>
      </c>
      <c r="BF384" t="s">
        <v>86</v>
      </c>
      <c r="BG384" t="s">
        <v>150</v>
      </c>
      <c r="BH384" t="str">
        <f>IF(COUNTIF(工作表1!A:A, $C384)&gt;0, "預購款", "非預購款")</f>
        <v>非預購款</v>
      </c>
    </row>
    <row r="385" spans="1:60" x14ac:dyDescent="0.25">
      <c r="A385" t="s">
        <v>1493</v>
      </c>
      <c r="B385" t="s">
        <v>226</v>
      </c>
      <c r="C385" t="s">
        <v>1494</v>
      </c>
      <c r="D385" t="s">
        <v>1495</v>
      </c>
      <c r="E385" t="s">
        <v>1496</v>
      </c>
      <c r="F385" t="s">
        <v>145</v>
      </c>
      <c r="G385" t="s">
        <v>1497</v>
      </c>
      <c r="H385" t="s">
        <v>273</v>
      </c>
      <c r="I385" t="s">
        <v>120</v>
      </c>
      <c r="J385" t="s">
        <v>121</v>
      </c>
      <c r="K385" t="s">
        <v>69</v>
      </c>
      <c r="L385" t="s">
        <v>1498</v>
      </c>
      <c r="M385" t="s">
        <v>71</v>
      </c>
      <c r="N385" t="s">
        <v>100</v>
      </c>
      <c r="O385" t="s">
        <v>1136</v>
      </c>
      <c r="P385" t="s">
        <v>1137</v>
      </c>
      <c r="R385" t="s">
        <v>1138</v>
      </c>
      <c r="S385" t="s">
        <v>167</v>
      </c>
      <c r="T385" t="s">
        <v>274</v>
      </c>
      <c r="U385" t="s">
        <v>684</v>
      </c>
      <c r="V385" t="s">
        <v>685</v>
      </c>
      <c r="W385">
        <v>890</v>
      </c>
      <c r="X385">
        <v>39.99</v>
      </c>
      <c r="Y385">
        <v>115</v>
      </c>
      <c r="Z385">
        <v>639000</v>
      </c>
      <c r="AA385">
        <v>416520</v>
      </c>
      <c r="AB385">
        <v>428</v>
      </c>
      <c r="AD385" t="s">
        <v>238</v>
      </c>
      <c r="AE385">
        <v>3</v>
      </c>
      <c r="AF385">
        <v>10</v>
      </c>
      <c r="AI385">
        <v>40</v>
      </c>
      <c r="AJ385">
        <v>60</v>
      </c>
      <c r="AK385">
        <v>110</v>
      </c>
      <c r="AL385">
        <v>468</v>
      </c>
      <c r="AM385">
        <v>110</v>
      </c>
      <c r="AN385">
        <v>0</v>
      </c>
      <c r="AO385">
        <v>110</v>
      </c>
      <c r="AP385" t="s">
        <v>80</v>
      </c>
      <c r="AQ385" t="s">
        <v>954</v>
      </c>
      <c r="AS385" t="s">
        <v>86</v>
      </c>
      <c r="AT385" t="s">
        <v>240</v>
      </c>
      <c r="AU385" t="s">
        <v>240</v>
      </c>
      <c r="AV385" t="s">
        <v>1499</v>
      </c>
      <c r="AW385" t="s">
        <v>69</v>
      </c>
      <c r="AX385" t="s">
        <v>1500</v>
      </c>
      <c r="AY385" t="s">
        <v>1501</v>
      </c>
      <c r="AZ385" t="s">
        <v>245</v>
      </c>
      <c r="BA385" t="s">
        <v>244</v>
      </c>
      <c r="BB385" t="s">
        <v>244</v>
      </c>
      <c r="BC385" t="s">
        <v>244</v>
      </c>
      <c r="BD385" t="s">
        <v>1502</v>
      </c>
      <c r="BE385" t="s">
        <v>1503</v>
      </c>
      <c r="BF385" t="s">
        <v>279</v>
      </c>
      <c r="BG385" t="s">
        <v>150</v>
      </c>
      <c r="BH385" t="str">
        <f>IF(COUNTIF(工作表1!A:A, $C385)&gt;0, "預購款", "非預購款")</f>
        <v>非預購款</v>
      </c>
    </row>
    <row r="386" spans="1:60" x14ac:dyDescent="0.25">
      <c r="A386" t="s">
        <v>1493</v>
      </c>
      <c r="B386" t="s">
        <v>226</v>
      </c>
      <c r="C386" t="s">
        <v>1494</v>
      </c>
      <c r="D386" t="s">
        <v>1495</v>
      </c>
      <c r="E386" t="s">
        <v>1496</v>
      </c>
      <c r="F386" t="s">
        <v>145</v>
      </c>
      <c r="G386" t="s">
        <v>1497</v>
      </c>
      <c r="H386" t="s">
        <v>501</v>
      </c>
      <c r="I386" t="s">
        <v>120</v>
      </c>
      <c r="J386" t="s">
        <v>121</v>
      </c>
      <c r="K386" t="s">
        <v>69</v>
      </c>
      <c r="L386" t="s">
        <v>1498</v>
      </c>
      <c r="M386" t="s">
        <v>71</v>
      </c>
      <c r="N386" t="s">
        <v>100</v>
      </c>
      <c r="O386" t="s">
        <v>1136</v>
      </c>
      <c r="P386" t="s">
        <v>1137</v>
      </c>
      <c r="R386" t="s">
        <v>1138</v>
      </c>
      <c r="S386" t="s">
        <v>167</v>
      </c>
      <c r="T386" t="s">
        <v>274</v>
      </c>
      <c r="U386" t="s">
        <v>684</v>
      </c>
      <c r="V386" t="s">
        <v>685</v>
      </c>
      <c r="W386">
        <v>890</v>
      </c>
      <c r="X386">
        <v>39.99</v>
      </c>
      <c r="Y386">
        <v>115</v>
      </c>
      <c r="Z386">
        <v>639000</v>
      </c>
      <c r="AA386">
        <v>416520</v>
      </c>
      <c r="AB386">
        <v>428</v>
      </c>
      <c r="AD386" t="s">
        <v>238</v>
      </c>
      <c r="AE386">
        <v>3</v>
      </c>
      <c r="AF386">
        <v>0</v>
      </c>
      <c r="AI386">
        <v>10</v>
      </c>
      <c r="AJ386">
        <v>10</v>
      </c>
      <c r="AK386">
        <v>20</v>
      </c>
      <c r="AL386">
        <v>468</v>
      </c>
      <c r="AM386">
        <v>23</v>
      </c>
      <c r="AN386">
        <v>0</v>
      </c>
      <c r="AO386">
        <v>23</v>
      </c>
      <c r="AP386" t="s">
        <v>80</v>
      </c>
      <c r="AQ386" t="s">
        <v>954</v>
      </c>
      <c r="AS386" t="s">
        <v>86</v>
      </c>
      <c r="AT386" t="s">
        <v>240</v>
      </c>
      <c r="AU386" t="s">
        <v>240</v>
      </c>
      <c r="AV386" t="s">
        <v>1499</v>
      </c>
      <c r="AW386" t="s">
        <v>69</v>
      </c>
      <c r="AX386" t="s">
        <v>1500</v>
      </c>
      <c r="AY386" t="s">
        <v>1501</v>
      </c>
      <c r="AZ386" t="s">
        <v>245</v>
      </c>
      <c r="BA386" t="s">
        <v>244</v>
      </c>
      <c r="BB386" t="s">
        <v>244</v>
      </c>
      <c r="BC386" t="s">
        <v>244</v>
      </c>
      <c r="BD386" t="s">
        <v>1504</v>
      </c>
      <c r="BE386" t="s">
        <v>1503</v>
      </c>
      <c r="BF386" t="s">
        <v>279</v>
      </c>
      <c r="BG386" t="s">
        <v>150</v>
      </c>
      <c r="BH386" t="str">
        <f>IF(COUNTIF(工作表1!A:A, $C386)&gt;0, "預購款", "非預購款")</f>
        <v>非預購款</v>
      </c>
    </row>
    <row r="387" spans="1:60" x14ac:dyDescent="0.25">
      <c r="A387" t="s">
        <v>1493</v>
      </c>
      <c r="B387" t="s">
        <v>226</v>
      </c>
      <c r="C387" t="s">
        <v>1494</v>
      </c>
      <c r="D387" t="s">
        <v>1495</v>
      </c>
      <c r="E387" t="s">
        <v>1496</v>
      </c>
      <c r="F387" t="s">
        <v>145</v>
      </c>
      <c r="G387" t="s">
        <v>1497</v>
      </c>
      <c r="H387" t="s">
        <v>280</v>
      </c>
      <c r="I387" t="s">
        <v>120</v>
      </c>
      <c r="J387" t="s">
        <v>121</v>
      </c>
      <c r="K387" t="s">
        <v>69</v>
      </c>
      <c r="L387" t="s">
        <v>1498</v>
      </c>
      <c r="M387" t="s">
        <v>71</v>
      </c>
      <c r="N387" t="s">
        <v>100</v>
      </c>
      <c r="O387" t="s">
        <v>1136</v>
      </c>
      <c r="P387" t="s">
        <v>1137</v>
      </c>
      <c r="R387" t="s">
        <v>1138</v>
      </c>
      <c r="S387" t="s">
        <v>167</v>
      </c>
      <c r="T387" t="s">
        <v>274</v>
      </c>
      <c r="U387" t="s">
        <v>684</v>
      </c>
      <c r="V387" t="s">
        <v>685</v>
      </c>
      <c r="W387">
        <v>890</v>
      </c>
      <c r="X387">
        <v>39.99</v>
      </c>
      <c r="Y387">
        <v>115</v>
      </c>
      <c r="Z387">
        <v>639000</v>
      </c>
      <c r="AA387">
        <v>416520</v>
      </c>
      <c r="AB387">
        <v>428</v>
      </c>
      <c r="AD387" t="s">
        <v>238</v>
      </c>
      <c r="AE387">
        <v>3</v>
      </c>
      <c r="AF387">
        <v>3</v>
      </c>
      <c r="AI387">
        <v>20</v>
      </c>
      <c r="AJ387">
        <v>15</v>
      </c>
      <c r="AK387">
        <v>38</v>
      </c>
      <c r="AL387">
        <v>468</v>
      </c>
      <c r="AM387">
        <v>46</v>
      </c>
      <c r="AN387">
        <v>0</v>
      </c>
      <c r="AO387">
        <v>46</v>
      </c>
      <c r="AP387" t="s">
        <v>80</v>
      </c>
      <c r="AQ387" t="s">
        <v>954</v>
      </c>
      <c r="AS387" t="s">
        <v>86</v>
      </c>
      <c r="AT387" t="s">
        <v>240</v>
      </c>
      <c r="AU387" t="s">
        <v>240</v>
      </c>
      <c r="AV387" t="s">
        <v>1499</v>
      </c>
      <c r="AW387" t="s">
        <v>69</v>
      </c>
      <c r="AX387" t="s">
        <v>1500</v>
      </c>
      <c r="AY387" t="s">
        <v>1501</v>
      </c>
      <c r="AZ387" t="s">
        <v>245</v>
      </c>
      <c r="BA387" t="s">
        <v>244</v>
      </c>
      <c r="BB387" t="s">
        <v>244</v>
      </c>
      <c r="BC387" t="s">
        <v>244</v>
      </c>
      <c r="BD387" t="s">
        <v>1505</v>
      </c>
      <c r="BE387" t="s">
        <v>1503</v>
      </c>
      <c r="BF387" t="s">
        <v>279</v>
      </c>
      <c r="BG387" t="s">
        <v>150</v>
      </c>
      <c r="BH387" t="str">
        <f>IF(COUNTIF(工作表1!A:A, $C387)&gt;0, "預購款", "非預購款")</f>
        <v>非預購款</v>
      </c>
    </row>
    <row r="388" spans="1:60" x14ac:dyDescent="0.25">
      <c r="A388" t="s">
        <v>1493</v>
      </c>
      <c r="B388" t="s">
        <v>226</v>
      </c>
      <c r="C388" t="s">
        <v>1494</v>
      </c>
      <c r="D388" t="s">
        <v>1495</v>
      </c>
      <c r="E388" t="s">
        <v>1496</v>
      </c>
      <c r="F388" t="s">
        <v>145</v>
      </c>
      <c r="G388" t="s">
        <v>1497</v>
      </c>
      <c r="H388" t="s">
        <v>273</v>
      </c>
      <c r="I388" t="s">
        <v>97</v>
      </c>
      <c r="J388" t="s">
        <v>98</v>
      </c>
      <c r="K388" t="s">
        <v>69</v>
      </c>
      <c r="L388" t="s">
        <v>1498</v>
      </c>
      <c r="M388" t="s">
        <v>71</v>
      </c>
      <c r="N388" t="s">
        <v>100</v>
      </c>
      <c r="O388" t="s">
        <v>1136</v>
      </c>
      <c r="P388" t="s">
        <v>1137</v>
      </c>
      <c r="R388" t="s">
        <v>1138</v>
      </c>
      <c r="S388" t="s">
        <v>167</v>
      </c>
      <c r="T388" t="s">
        <v>274</v>
      </c>
      <c r="U388" t="s">
        <v>684</v>
      </c>
      <c r="V388" t="s">
        <v>685</v>
      </c>
      <c r="W388">
        <v>890</v>
      </c>
      <c r="X388">
        <v>39.99</v>
      </c>
      <c r="Y388">
        <v>115</v>
      </c>
      <c r="Z388">
        <v>639000</v>
      </c>
      <c r="AA388">
        <v>416520</v>
      </c>
      <c r="AB388">
        <v>428</v>
      </c>
      <c r="AD388" t="s">
        <v>238</v>
      </c>
      <c r="AE388">
        <v>3</v>
      </c>
      <c r="AF388">
        <v>5</v>
      </c>
      <c r="AI388">
        <v>0</v>
      </c>
      <c r="AJ388">
        <v>90</v>
      </c>
      <c r="AK388">
        <v>95</v>
      </c>
      <c r="AL388">
        <v>468</v>
      </c>
      <c r="AM388">
        <v>110</v>
      </c>
      <c r="AN388">
        <v>0</v>
      </c>
      <c r="AO388">
        <v>110</v>
      </c>
      <c r="AP388" t="s">
        <v>80</v>
      </c>
      <c r="AQ388" t="s">
        <v>954</v>
      </c>
      <c r="AS388" t="s">
        <v>86</v>
      </c>
      <c r="AT388" t="s">
        <v>240</v>
      </c>
      <c r="AU388" t="s">
        <v>240</v>
      </c>
      <c r="AV388" t="s">
        <v>1499</v>
      </c>
      <c r="AW388" t="s">
        <v>69</v>
      </c>
      <c r="AX388" t="s">
        <v>1500</v>
      </c>
      <c r="AY388" t="s">
        <v>1501</v>
      </c>
      <c r="AZ388" t="s">
        <v>245</v>
      </c>
      <c r="BA388" t="s">
        <v>244</v>
      </c>
      <c r="BB388" t="s">
        <v>244</v>
      </c>
      <c r="BC388" t="s">
        <v>244</v>
      </c>
      <c r="BD388" t="s">
        <v>1506</v>
      </c>
      <c r="BE388" t="s">
        <v>1503</v>
      </c>
      <c r="BF388" t="s">
        <v>279</v>
      </c>
      <c r="BG388" t="s">
        <v>150</v>
      </c>
      <c r="BH388" t="str">
        <f>IF(COUNTIF(工作表1!A:A, $C388)&gt;0, "預購款", "非預購款")</f>
        <v>非預購款</v>
      </c>
    </row>
    <row r="389" spans="1:60" x14ac:dyDescent="0.25">
      <c r="A389" t="s">
        <v>1493</v>
      </c>
      <c r="B389" t="s">
        <v>226</v>
      </c>
      <c r="C389" t="s">
        <v>1494</v>
      </c>
      <c r="D389" t="s">
        <v>1495</v>
      </c>
      <c r="E389" t="s">
        <v>1496</v>
      </c>
      <c r="F389" t="s">
        <v>145</v>
      </c>
      <c r="G389" t="s">
        <v>1497</v>
      </c>
      <c r="H389" t="s">
        <v>501</v>
      </c>
      <c r="I389" t="s">
        <v>97</v>
      </c>
      <c r="J389" t="s">
        <v>98</v>
      </c>
      <c r="K389" t="s">
        <v>69</v>
      </c>
      <c r="L389" t="s">
        <v>1498</v>
      </c>
      <c r="M389" t="s">
        <v>71</v>
      </c>
      <c r="N389" t="s">
        <v>100</v>
      </c>
      <c r="O389" t="s">
        <v>1136</v>
      </c>
      <c r="P389" t="s">
        <v>1137</v>
      </c>
      <c r="R389" t="s">
        <v>1138</v>
      </c>
      <c r="S389" t="s">
        <v>167</v>
      </c>
      <c r="T389" t="s">
        <v>274</v>
      </c>
      <c r="U389" t="s">
        <v>684</v>
      </c>
      <c r="V389" t="s">
        <v>685</v>
      </c>
      <c r="W389">
        <v>890</v>
      </c>
      <c r="X389">
        <v>39.99</v>
      </c>
      <c r="Y389">
        <v>115</v>
      </c>
      <c r="Z389">
        <v>639000</v>
      </c>
      <c r="AA389">
        <v>416520</v>
      </c>
      <c r="AB389">
        <v>428</v>
      </c>
      <c r="AD389" t="s">
        <v>238</v>
      </c>
      <c r="AE389">
        <v>3</v>
      </c>
      <c r="AF389">
        <v>0</v>
      </c>
      <c r="AI389">
        <v>0</v>
      </c>
      <c r="AJ389">
        <v>10</v>
      </c>
      <c r="AK389">
        <v>10</v>
      </c>
      <c r="AL389">
        <v>468</v>
      </c>
      <c r="AM389">
        <v>15</v>
      </c>
      <c r="AN389">
        <v>0</v>
      </c>
      <c r="AO389">
        <v>15</v>
      </c>
      <c r="AP389" t="s">
        <v>80</v>
      </c>
      <c r="AQ389" t="s">
        <v>954</v>
      </c>
      <c r="AS389" t="s">
        <v>86</v>
      </c>
      <c r="AT389" t="s">
        <v>240</v>
      </c>
      <c r="AU389" t="s">
        <v>240</v>
      </c>
      <c r="AV389" t="s">
        <v>1499</v>
      </c>
      <c r="AW389" t="s">
        <v>69</v>
      </c>
      <c r="AX389" t="s">
        <v>1500</v>
      </c>
      <c r="AY389" t="s">
        <v>1501</v>
      </c>
      <c r="AZ389" t="s">
        <v>245</v>
      </c>
      <c r="BA389" t="s">
        <v>244</v>
      </c>
      <c r="BB389" t="s">
        <v>244</v>
      </c>
      <c r="BC389" t="s">
        <v>244</v>
      </c>
      <c r="BD389" t="s">
        <v>1507</v>
      </c>
      <c r="BE389" t="s">
        <v>1503</v>
      </c>
      <c r="BF389" t="s">
        <v>279</v>
      </c>
      <c r="BG389" t="s">
        <v>150</v>
      </c>
      <c r="BH389" t="str">
        <f>IF(COUNTIF(工作表1!A:A, $C389)&gt;0, "預購款", "非預購款")</f>
        <v>非預購款</v>
      </c>
    </row>
    <row r="390" spans="1:60" x14ac:dyDescent="0.25">
      <c r="A390" t="s">
        <v>1493</v>
      </c>
      <c r="B390" t="s">
        <v>226</v>
      </c>
      <c r="C390" t="s">
        <v>1494</v>
      </c>
      <c r="D390" t="s">
        <v>1495</v>
      </c>
      <c r="E390" t="s">
        <v>1496</v>
      </c>
      <c r="F390" t="s">
        <v>145</v>
      </c>
      <c r="G390" t="s">
        <v>1497</v>
      </c>
      <c r="H390" t="s">
        <v>280</v>
      </c>
      <c r="I390" t="s">
        <v>97</v>
      </c>
      <c r="J390" t="s">
        <v>98</v>
      </c>
      <c r="K390" t="s">
        <v>69</v>
      </c>
      <c r="L390" t="s">
        <v>1498</v>
      </c>
      <c r="M390" t="s">
        <v>71</v>
      </c>
      <c r="N390" t="s">
        <v>100</v>
      </c>
      <c r="O390" t="s">
        <v>1136</v>
      </c>
      <c r="P390" t="s">
        <v>1137</v>
      </c>
      <c r="R390" t="s">
        <v>1138</v>
      </c>
      <c r="S390" t="s">
        <v>167</v>
      </c>
      <c r="T390" t="s">
        <v>274</v>
      </c>
      <c r="U390" t="s">
        <v>684</v>
      </c>
      <c r="V390" t="s">
        <v>685</v>
      </c>
      <c r="W390">
        <v>890</v>
      </c>
      <c r="X390">
        <v>39.99</v>
      </c>
      <c r="Y390">
        <v>115</v>
      </c>
      <c r="Z390">
        <v>639000</v>
      </c>
      <c r="AA390">
        <v>416520</v>
      </c>
      <c r="AB390">
        <v>428</v>
      </c>
      <c r="AD390" t="s">
        <v>238</v>
      </c>
      <c r="AE390">
        <v>3</v>
      </c>
      <c r="AF390">
        <v>0</v>
      </c>
      <c r="AI390">
        <v>0</v>
      </c>
      <c r="AJ390">
        <v>30</v>
      </c>
      <c r="AK390">
        <v>30</v>
      </c>
      <c r="AL390">
        <v>468</v>
      </c>
      <c r="AM390">
        <v>40</v>
      </c>
      <c r="AN390">
        <v>0</v>
      </c>
      <c r="AO390">
        <v>40</v>
      </c>
      <c r="AP390" t="s">
        <v>80</v>
      </c>
      <c r="AQ390" t="s">
        <v>954</v>
      </c>
      <c r="AS390" t="s">
        <v>86</v>
      </c>
      <c r="AT390" t="s">
        <v>240</v>
      </c>
      <c r="AU390" t="s">
        <v>240</v>
      </c>
      <c r="AV390" t="s">
        <v>1499</v>
      </c>
      <c r="AW390" t="s">
        <v>69</v>
      </c>
      <c r="AX390" t="s">
        <v>1500</v>
      </c>
      <c r="AY390" t="s">
        <v>1501</v>
      </c>
      <c r="AZ390" t="s">
        <v>245</v>
      </c>
      <c r="BA390" t="s">
        <v>244</v>
      </c>
      <c r="BB390" t="s">
        <v>244</v>
      </c>
      <c r="BC390" t="s">
        <v>244</v>
      </c>
      <c r="BD390" t="s">
        <v>1508</v>
      </c>
      <c r="BE390" t="s">
        <v>1503</v>
      </c>
      <c r="BF390" t="s">
        <v>279</v>
      </c>
      <c r="BG390" t="s">
        <v>150</v>
      </c>
      <c r="BH390" t="str">
        <f>IF(COUNTIF(工作表1!A:A, $C390)&gt;0, "預購款", "非預購款")</f>
        <v>非預購款</v>
      </c>
    </row>
    <row r="391" spans="1:60" x14ac:dyDescent="0.25">
      <c r="A391" t="s">
        <v>1493</v>
      </c>
      <c r="B391" t="s">
        <v>226</v>
      </c>
      <c r="C391" t="s">
        <v>1494</v>
      </c>
      <c r="D391" t="s">
        <v>1495</v>
      </c>
      <c r="E391" t="s">
        <v>1496</v>
      </c>
      <c r="F391" t="s">
        <v>145</v>
      </c>
      <c r="G391" t="s">
        <v>1497</v>
      </c>
      <c r="H391" t="s">
        <v>273</v>
      </c>
      <c r="I391" t="s">
        <v>67</v>
      </c>
      <c r="J391" t="s">
        <v>68</v>
      </c>
      <c r="K391" t="s">
        <v>69</v>
      </c>
      <c r="L391" t="s">
        <v>1498</v>
      </c>
      <c r="M391" t="s">
        <v>71</v>
      </c>
      <c r="N391" t="s">
        <v>100</v>
      </c>
      <c r="O391" t="s">
        <v>1136</v>
      </c>
      <c r="P391" t="s">
        <v>1137</v>
      </c>
      <c r="R391" t="s">
        <v>1138</v>
      </c>
      <c r="S391" t="s">
        <v>167</v>
      </c>
      <c r="T391" t="s">
        <v>274</v>
      </c>
      <c r="U391" t="s">
        <v>684</v>
      </c>
      <c r="V391" t="s">
        <v>685</v>
      </c>
      <c r="W391">
        <v>890</v>
      </c>
      <c r="X391">
        <v>39.99</v>
      </c>
      <c r="Y391">
        <v>115</v>
      </c>
      <c r="Z391">
        <v>639000</v>
      </c>
      <c r="AA391">
        <v>416520</v>
      </c>
      <c r="AB391">
        <v>428</v>
      </c>
      <c r="AD391" t="s">
        <v>238</v>
      </c>
      <c r="AE391">
        <v>3</v>
      </c>
      <c r="AF391">
        <v>5</v>
      </c>
      <c r="AI391">
        <v>20</v>
      </c>
      <c r="AJ391">
        <v>70</v>
      </c>
      <c r="AK391">
        <v>95</v>
      </c>
      <c r="AL391">
        <v>468</v>
      </c>
      <c r="AM391">
        <v>107</v>
      </c>
      <c r="AN391">
        <v>0</v>
      </c>
      <c r="AO391">
        <v>107</v>
      </c>
      <c r="AP391" t="s">
        <v>80</v>
      </c>
      <c r="AQ391" t="s">
        <v>954</v>
      </c>
      <c r="AS391" t="s">
        <v>86</v>
      </c>
      <c r="AT391" t="s">
        <v>240</v>
      </c>
      <c r="AU391" t="s">
        <v>240</v>
      </c>
      <c r="AV391" t="s">
        <v>1499</v>
      </c>
      <c r="AW391" t="s">
        <v>69</v>
      </c>
      <c r="AX391" t="s">
        <v>1500</v>
      </c>
      <c r="AY391" t="s">
        <v>1501</v>
      </c>
      <c r="AZ391" t="s">
        <v>245</v>
      </c>
      <c r="BA391" t="s">
        <v>244</v>
      </c>
      <c r="BB391" t="s">
        <v>244</v>
      </c>
      <c r="BC391" t="s">
        <v>244</v>
      </c>
      <c r="BD391" t="s">
        <v>1509</v>
      </c>
      <c r="BE391" t="s">
        <v>1503</v>
      </c>
      <c r="BF391" t="s">
        <v>279</v>
      </c>
      <c r="BG391" t="s">
        <v>150</v>
      </c>
      <c r="BH391" t="str">
        <f>IF(COUNTIF(工作表1!A:A, $C391)&gt;0, "預購款", "非預購款")</f>
        <v>非預購款</v>
      </c>
    </row>
    <row r="392" spans="1:60" x14ac:dyDescent="0.25">
      <c r="A392" t="s">
        <v>1493</v>
      </c>
      <c r="B392" t="s">
        <v>226</v>
      </c>
      <c r="C392" t="s">
        <v>1494</v>
      </c>
      <c r="D392" t="s">
        <v>1495</v>
      </c>
      <c r="E392" t="s">
        <v>1496</v>
      </c>
      <c r="F392" t="s">
        <v>145</v>
      </c>
      <c r="G392" t="s">
        <v>1497</v>
      </c>
      <c r="H392" t="s">
        <v>501</v>
      </c>
      <c r="I392" t="s">
        <v>67</v>
      </c>
      <c r="J392" t="s">
        <v>68</v>
      </c>
      <c r="K392" t="s">
        <v>69</v>
      </c>
      <c r="L392" t="s">
        <v>1498</v>
      </c>
      <c r="M392" t="s">
        <v>71</v>
      </c>
      <c r="N392" t="s">
        <v>100</v>
      </c>
      <c r="O392" t="s">
        <v>1136</v>
      </c>
      <c r="P392" t="s">
        <v>1137</v>
      </c>
      <c r="R392" t="s">
        <v>1138</v>
      </c>
      <c r="S392" t="s">
        <v>167</v>
      </c>
      <c r="T392" t="s">
        <v>274</v>
      </c>
      <c r="U392" t="s">
        <v>684</v>
      </c>
      <c r="V392" t="s">
        <v>685</v>
      </c>
      <c r="W392">
        <v>890</v>
      </c>
      <c r="X392">
        <v>39.99</v>
      </c>
      <c r="Y392">
        <v>115</v>
      </c>
      <c r="Z392">
        <v>639000</v>
      </c>
      <c r="AA392">
        <v>416520</v>
      </c>
      <c r="AB392">
        <v>428</v>
      </c>
      <c r="AD392" t="s">
        <v>238</v>
      </c>
      <c r="AE392">
        <v>3</v>
      </c>
      <c r="AF392">
        <v>0</v>
      </c>
      <c r="AI392">
        <v>10</v>
      </c>
      <c r="AJ392">
        <v>10</v>
      </c>
      <c r="AK392">
        <v>20</v>
      </c>
      <c r="AL392">
        <v>468</v>
      </c>
      <c r="AM392">
        <v>30</v>
      </c>
      <c r="AN392">
        <v>0</v>
      </c>
      <c r="AO392">
        <v>30</v>
      </c>
      <c r="AP392" t="s">
        <v>80</v>
      </c>
      <c r="AQ392" t="s">
        <v>954</v>
      </c>
      <c r="AS392" t="s">
        <v>86</v>
      </c>
      <c r="AT392" t="s">
        <v>240</v>
      </c>
      <c r="AU392" t="s">
        <v>240</v>
      </c>
      <c r="AV392" t="s">
        <v>1499</v>
      </c>
      <c r="AW392" t="s">
        <v>69</v>
      </c>
      <c r="AX392" t="s">
        <v>1500</v>
      </c>
      <c r="AY392" t="s">
        <v>1501</v>
      </c>
      <c r="AZ392" t="s">
        <v>245</v>
      </c>
      <c r="BA392" t="s">
        <v>244</v>
      </c>
      <c r="BB392" t="s">
        <v>244</v>
      </c>
      <c r="BC392" t="s">
        <v>244</v>
      </c>
      <c r="BD392" t="s">
        <v>1510</v>
      </c>
      <c r="BE392" t="s">
        <v>1503</v>
      </c>
      <c r="BF392" t="s">
        <v>279</v>
      </c>
      <c r="BG392" t="s">
        <v>150</v>
      </c>
      <c r="BH392" t="str">
        <f>IF(COUNTIF(工作表1!A:A, $C392)&gt;0, "預購款", "非預購款")</f>
        <v>非預購款</v>
      </c>
    </row>
    <row r="393" spans="1:60" x14ac:dyDescent="0.25">
      <c r="A393" t="s">
        <v>1493</v>
      </c>
      <c r="B393" t="s">
        <v>226</v>
      </c>
      <c r="C393" t="s">
        <v>1494</v>
      </c>
      <c r="D393" t="s">
        <v>1495</v>
      </c>
      <c r="E393" t="s">
        <v>1496</v>
      </c>
      <c r="F393" t="s">
        <v>145</v>
      </c>
      <c r="G393" t="s">
        <v>1497</v>
      </c>
      <c r="H393" t="s">
        <v>280</v>
      </c>
      <c r="I393" t="s">
        <v>67</v>
      </c>
      <c r="J393" t="s">
        <v>68</v>
      </c>
      <c r="K393" t="s">
        <v>69</v>
      </c>
      <c r="L393" t="s">
        <v>1498</v>
      </c>
      <c r="M393" t="s">
        <v>71</v>
      </c>
      <c r="N393" t="s">
        <v>100</v>
      </c>
      <c r="O393" t="s">
        <v>1136</v>
      </c>
      <c r="P393" t="s">
        <v>1137</v>
      </c>
      <c r="R393" t="s">
        <v>1138</v>
      </c>
      <c r="S393" t="s">
        <v>167</v>
      </c>
      <c r="T393" t="s">
        <v>274</v>
      </c>
      <c r="U393" t="s">
        <v>684</v>
      </c>
      <c r="V393" t="s">
        <v>685</v>
      </c>
      <c r="W393">
        <v>890</v>
      </c>
      <c r="X393">
        <v>39.99</v>
      </c>
      <c r="Y393">
        <v>115</v>
      </c>
      <c r="Z393">
        <v>639000</v>
      </c>
      <c r="AA393">
        <v>416520</v>
      </c>
      <c r="AB393">
        <v>428</v>
      </c>
      <c r="AD393" t="s">
        <v>238</v>
      </c>
      <c r="AE393">
        <v>3</v>
      </c>
      <c r="AF393">
        <v>0</v>
      </c>
      <c r="AI393">
        <v>20</v>
      </c>
      <c r="AJ393">
        <v>30</v>
      </c>
      <c r="AK393">
        <v>50</v>
      </c>
      <c r="AL393">
        <v>468</v>
      </c>
      <c r="AM393">
        <v>60</v>
      </c>
      <c r="AN393">
        <v>0</v>
      </c>
      <c r="AO393">
        <v>60</v>
      </c>
      <c r="AP393" t="s">
        <v>80</v>
      </c>
      <c r="AQ393" t="s">
        <v>954</v>
      </c>
      <c r="AS393" t="s">
        <v>86</v>
      </c>
      <c r="AT393" t="s">
        <v>240</v>
      </c>
      <c r="AU393" t="s">
        <v>240</v>
      </c>
      <c r="AV393" t="s">
        <v>1499</v>
      </c>
      <c r="AW393" t="s">
        <v>69</v>
      </c>
      <c r="AX393" t="s">
        <v>1500</v>
      </c>
      <c r="AY393" t="s">
        <v>1501</v>
      </c>
      <c r="AZ393" t="s">
        <v>245</v>
      </c>
      <c r="BA393" t="s">
        <v>244</v>
      </c>
      <c r="BB393" t="s">
        <v>244</v>
      </c>
      <c r="BC393" t="s">
        <v>244</v>
      </c>
      <c r="BD393" t="s">
        <v>1511</v>
      </c>
      <c r="BE393" t="s">
        <v>1503</v>
      </c>
      <c r="BF393" t="s">
        <v>279</v>
      </c>
      <c r="BG393" t="s">
        <v>150</v>
      </c>
      <c r="BH393" t="str">
        <f>IF(COUNTIF(工作表1!A:A, $C393)&gt;0, "預購款", "非預購款")</f>
        <v>非預購款</v>
      </c>
    </row>
    <row r="394" spans="1:60" x14ac:dyDescent="0.25">
      <c r="A394" t="s">
        <v>1513</v>
      </c>
      <c r="B394" t="s">
        <v>226</v>
      </c>
      <c r="C394" t="s">
        <v>1514</v>
      </c>
      <c r="D394" t="s">
        <v>1515</v>
      </c>
      <c r="E394" t="s">
        <v>1516</v>
      </c>
      <c r="F394" t="s">
        <v>145</v>
      </c>
      <c r="G394" t="s">
        <v>1517</v>
      </c>
      <c r="H394" t="s">
        <v>119</v>
      </c>
      <c r="I394" t="s">
        <v>97</v>
      </c>
      <c r="J394" t="s">
        <v>98</v>
      </c>
      <c r="K394" t="s">
        <v>80</v>
      </c>
      <c r="L394" t="s">
        <v>1518</v>
      </c>
      <c r="M394" t="s">
        <v>71</v>
      </c>
      <c r="N394" t="s">
        <v>100</v>
      </c>
      <c r="O394" t="s">
        <v>1391</v>
      </c>
      <c r="P394" t="s">
        <v>1392</v>
      </c>
      <c r="R394" t="s">
        <v>1393</v>
      </c>
      <c r="S394" t="s">
        <v>167</v>
      </c>
      <c r="T394" t="s">
        <v>291</v>
      </c>
      <c r="U394" t="s">
        <v>104</v>
      </c>
      <c r="V394" t="s">
        <v>1519</v>
      </c>
      <c r="W394">
        <v>490</v>
      </c>
      <c r="X394">
        <v>22.99</v>
      </c>
      <c r="Y394">
        <v>60</v>
      </c>
      <c r="Z394">
        <v>355000</v>
      </c>
      <c r="AA394">
        <v>295470</v>
      </c>
      <c r="AB394">
        <v>160</v>
      </c>
      <c r="AD394" t="s">
        <v>238</v>
      </c>
      <c r="AE394">
        <v>2</v>
      </c>
      <c r="AF394">
        <v>0</v>
      </c>
      <c r="AI394">
        <v>0</v>
      </c>
      <c r="AJ394">
        <v>160</v>
      </c>
      <c r="AK394">
        <v>160</v>
      </c>
      <c r="AL394">
        <v>603</v>
      </c>
      <c r="AM394">
        <v>167</v>
      </c>
      <c r="AN394">
        <v>0</v>
      </c>
      <c r="AO394">
        <v>167</v>
      </c>
      <c r="AP394" t="s">
        <v>80</v>
      </c>
      <c r="AQ394" t="s">
        <v>954</v>
      </c>
      <c r="AT394" t="s">
        <v>240</v>
      </c>
      <c r="AU394" t="s">
        <v>240</v>
      </c>
      <c r="AV394" t="s">
        <v>876</v>
      </c>
      <c r="AW394" t="s">
        <v>69</v>
      </c>
      <c r="AX394" t="s">
        <v>126</v>
      </c>
      <c r="AY394" t="s">
        <v>1520</v>
      </c>
      <c r="AZ394" t="s">
        <v>310</v>
      </c>
      <c r="BA394" t="s">
        <v>245</v>
      </c>
      <c r="BB394" t="s">
        <v>244</v>
      </c>
      <c r="BC394" t="s">
        <v>264</v>
      </c>
      <c r="BD394" t="s">
        <v>1521</v>
      </c>
      <c r="BE394" t="s">
        <v>1522</v>
      </c>
      <c r="BF394" t="s">
        <v>291</v>
      </c>
      <c r="BG394" t="s">
        <v>150</v>
      </c>
      <c r="BH394" t="str">
        <f>IF(COUNTIF(工作表1!A:A, $C394)&gt;0, "預購款", "非預購款")</f>
        <v>非預購款</v>
      </c>
    </row>
    <row r="395" spans="1:60" x14ac:dyDescent="0.25">
      <c r="A395" t="s">
        <v>1513</v>
      </c>
      <c r="B395" t="s">
        <v>226</v>
      </c>
      <c r="C395" t="s">
        <v>1514</v>
      </c>
      <c r="D395" t="s">
        <v>1515</v>
      </c>
      <c r="E395" t="s">
        <v>1516</v>
      </c>
      <c r="F395" t="s">
        <v>145</v>
      </c>
      <c r="G395" t="s">
        <v>1517</v>
      </c>
      <c r="H395" t="s">
        <v>130</v>
      </c>
      <c r="I395" t="s">
        <v>97</v>
      </c>
      <c r="J395" t="s">
        <v>98</v>
      </c>
      <c r="K395" t="s">
        <v>80</v>
      </c>
      <c r="L395" t="s">
        <v>1518</v>
      </c>
      <c r="M395" t="s">
        <v>71</v>
      </c>
      <c r="N395" t="s">
        <v>100</v>
      </c>
      <c r="O395" t="s">
        <v>1391</v>
      </c>
      <c r="P395" t="s">
        <v>1392</v>
      </c>
      <c r="R395" t="s">
        <v>1393</v>
      </c>
      <c r="S395" t="s">
        <v>167</v>
      </c>
      <c r="T395" t="s">
        <v>291</v>
      </c>
      <c r="U395" t="s">
        <v>104</v>
      </c>
      <c r="V395" t="s">
        <v>1519</v>
      </c>
      <c r="W395">
        <v>490</v>
      </c>
      <c r="X395">
        <v>22.99</v>
      </c>
      <c r="Y395">
        <v>60</v>
      </c>
      <c r="Z395">
        <v>355000</v>
      </c>
      <c r="AA395">
        <v>295470</v>
      </c>
      <c r="AB395">
        <v>160</v>
      </c>
      <c r="AD395" t="s">
        <v>238</v>
      </c>
      <c r="AE395">
        <v>2</v>
      </c>
      <c r="AF395">
        <v>0</v>
      </c>
      <c r="AI395">
        <v>0</v>
      </c>
      <c r="AJ395">
        <v>95</v>
      </c>
      <c r="AK395">
        <v>95</v>
      </c>
      <c r="AL395">
        <v>603</v>
      </c>
      <c r="AM395">
        <v>108</v>
      </c>
      <c r="AN395">
        <v>0</v>
      </c>
      <c r="AO395">
        <v>108</v>
      </c>
      <c r="AP395" t="s">
        <v>80</v>
      </c>
      <c r="AQ395" t="s">
        <v>954</v>
      </c>
      <c r="AT395" t="s">
        <v>240</v>
      </c>
      <c r="AU395" t="s">
        <v>240</v>
      </c>
      <c r="AV395" t="s">
        <v>876</v>
      </c>
      <c r="AW395" t="s">
        <v>69</v>
      </c>
      <c r="AX395" t="s">
        <v>126</v>
      </c>
      <c r="AY395" t="s">
        <v>1520</v>
      </c>
      <c r="AZ395" t="s">
        <v>310</v>
      </c>
      <c r="BA395" t="s">
        <v>245</v>
      </c>
      <c r="BB395" t="s">
        <v>244</v>
      </c>
      <c r="BC395" t="s">
        <v>264</v>
      </c>
      <c r="BD395" t="s">
        <v>1523</v>
      </c>
      <c r="BE395" t="s">
        <v>1522</v>
      </c>
      <c r="BF395" t="s">
        <v>291</v>
      </c>
      <c r="BG395" t="s">
        <v>150</v>
      </c>
      <c r="BH395" t="str">
        <f>IF(COUNTIF(工作表1!A:A, $C395)&gt;0, "預購款", "非預購款")</f>
        <v>非預購款</v>
      </c>
    </row>
    <row r="396" spans="1:60" x14ac:dyDescent="0.25">
      <c r="A396" t="s">
        <v>1513</v>
      </c>
      <c r="B396" t="s">
        <v>226</v>
      </c>
      <c r="C396" t="s">
        <v>1514</v>
      </c>
      <c r="D396" t="s">
        <v>1515</v>
      </c>
      <c r="E396" t="s">
        <v>1516</v>
      </c>
      <c r="F396" t="s">
        <v>145</v>
      </c>
      <c r="G396" t="s">
        <v>1517</v>
      </c>
      <c r="H396" t="s">
        <v>132</v>
      </c>
      <c r="I396" t="s">
        <v>97</v>
      </c>
      <c r="J396" t="s">
        <v>98</v>
      </c>
      <c r="K396" t="s">
        <v>80</v>
      </c>
      <c r="L396" t="s">
        <v>1518</v>
      </c>
      <c r="M396" t="s">
        <v>71</v>
      </c>
      <c r="N396" t="s">
        <v>100</v>
      </c>
      <c r="O396" t="s">
        <v>1391</v>
      </c>
      <c r="P396" t="s">
        <v>1392</v>
      </c>
      <c r="R396" t="s">
        <v>1393</v>
      </c>
      <c r="S396" t="s">
        <v>167</v>
      </c>
      <c r="T396" t="s">
        <v>291</v>
      </c>
      <c r="U396" t="s">
        <v>104</v>
      </c>
      <c r="V396" t="s">
        <v>1519</v>
      </c>
      <c r="W396">
        <v>490</v>
      </c>
      <c r="X396">
        <v>22.99</v>
      </c>
      <c r="Y396">
        <v>60</v>
      </c>
      <c r="Z396">
        <v>355000</v>
      </c>
      <c r="AA396">
        <v>295470</v>
      </c>
      <c r="AB396">
        <v>160</v>
      </c>
      <c r="AD396" t="s">
        <v>238</v>
      </c>
      <c r="AE396">
        <v>2</v>
      </c>
      <c r="AF396">
        <v>0</v>
      </c>
      <c r="AI396">
        <v>0</v>
      </c>
      <c r="AJ396">
        <v>68</v>
      </c>
      <c r="AK396">
        <v>68</v>
      </c>
      <c r="AL396">
        <v>603</v>
      </c>
      <c r="AM396">
        <v>77</v>
      </c>
      <c r="AN396">
        <v>0</v>
      </c>
      <c r="AO396">
        <v>77</v>
      </c>
      <c r="AP396" t="s">
        <v>80</v>
      </c>
      <c r="AQ396" t="s">
        <v>954</v>
      </c>
      <c r="AT396" t="s">
        <v>240</v>
      </c>
      <c r="AU396" t="s">
        <v>240</v>
      </c>
      <c r="AV396" t="s">
        <v>876</v>
      </c>
      <c r="AW396" t="s">
        <v>69</v>
      </c>
      <c r="AX396" t="s">
        <v>126</v>
      </c>
      <c r="AY396" t="s">
        <v>1520</v>
      </c>
      <c r="AZ396" t="s">
        <v>310</v>
      </c>
      <c r="BA396" t="s">
        <v>245</v>
      </c>
      <c r="BB396" t="s">
        <v>244</v>
      </c>
      <c r="BC396" t="s">
        <v>264</v>
      </c>
      <c r="BD396" t="s">
        <v>1524</v>
      </c>
      <c r="BE396" t="s">
        <v>1522</v>
      </c>
      <c r="BF396" t="s">
        <v>291</v>
      </c>
      <c r="BG396" t="s">
        <v>150</v>
      </c>
      <c r="BH396" t="str">
        <f>IF(COUNTIF(工作表1!A:A, $C396)&gt;0, "預購款", "非預購款")</f>
        <v>非預購款</v>
      </c>
    </row>
    <row r="397" spans="1:60" x14ac:dyDescent="0.25">
      <c r="A397" t="s">
        <v>1513</v>
      </c>
      <c r="B397" t="s">
        <v>226</v>
      </c>
      <c r="C397" t="s">
        <v>1514</v>
      </c>
      <c r="D397" t="s">
        <v>1515</v>
      </c>
      <c r="E397" t="s">
        <v>1516</v>
      </c>
      <c r="F397" t="s">
        <v>145</v>
      </c>
      <c r="G397" t="s">
        <v>1517</v>
      </c>
      <c r="H397" t="s">
        <v>119</v>
      </c>
      <c r="I397" t="s">
        <v>134</v>
      </c>
      <c r="J397" t="s">
        <v>135</v>
      </c>
      <c r="K397" t="s">
        <v>69</v>
      </c>
      <c r="L397" t="s">
        <v>1518</v>
      </c>
      <c r="M397" t="s">
        <v>71</v>
      </c>
      <c r="N397" t="s">
        <v>100</v>
      </c>
      <c r="O397" t="s">
        <v>1391</v>
      </c>
      <c r="P397" t="s">
        <v>1392</v>
      </c>
      <c r="R397" t="s">
        <v>1393</v>
      </c>
      <c r="S397" t="s">
        <v>167</v>
      </c>
      <c r="T397" t="s">
        <v>291</v>
      </c>
      <c r="U397" t="s">
        <v>104</v>
      </c>
      <c r="V397" t="s">
        <v>1519</v>
      </c>
      <c r="W397">
        <v>490</v>
      </c>
      <c r="X397">
        <v>22.99</v>
      </c>
      <c r="Y397">
        <v>60</v>
      </c>
      <c r="Z397">
        <v>355000</v>
      </c>
      <c r="AA397">
        <v>295470</v>
      </c>
      <c r="AB397">
        <v>160</v>
      </c>
      <c r="AD397" t="s">
        <v>238</v>
      </c>
      <c r="AE397">
        <v>2</v>
      </c>
      <c r="AF397">
        <v>0</v>
      </c>
      <c r="AI397">
        <v>0</v>
      </c>
      <c r="AJ397">
        <v>80</v>
      </c>
      <c r="AK397">
        <v>80</v>
      </c>
      <c r="AL397">
        <v>603</v>
      </c>
      <c r="AM397">
        <v>84</v>
      </c>
      <c r="AN397">
        <v>0</v>
      </c>
      <c r="AO397">
        <v>84</v>
      </c>
      <c r="AP397" t="s">
        <v>80</v>
      </c>
      <c r="AQ397" t="s">
        <v>954</v>
      </c>
      <c r="AT397" t="s">
        <v>240</v>
      </c>
      <c r="AU397" t="s">
        <v>240</v>
      </c>
      <c r="AV397" t="s">
        <v>876</v>
      </c>
      <c r="AW397" t="s">
        <v>69</v>
      </c>
      <c r="AX397" t="s">
        <v>126</v>
      </c>
      <c r="AY397" t="s">
        <v>1520</v>
      </c>
      <c r="AZ397" t="s">
        <v>310</v>
      </c>
      <c r="BA397" t="s">
        <v>245</v>
      </c>
      <c r="BB397" t="s">
        <v>244</v>
      </c>
      <c r="BC397" t="s">
        <v>264</v>
      </c>
      <c r="BD397" t="s">
        <v>1525</v>
      </c>
      <c r="BE397" t="s">
        <v>1522</v>
      </c>
      <c r="BF397" t="s">
        <v>291</v>
      </c>
      <c r="BG397" t="s">
        <v>150</v>
      </c>
      <c r="BH397" t="str">
        <f>IF(COUNTIF(工作表1!A:A, $C397)&gt;0, "預購款", "非預購款")</f>
        <v>非預購款</v>
      </c>
    </row>
    <row r="398" spans="1:60" x14ac:dyDescent="0.25">
      <c r="A398" t="s">
        <v>1513</v>
      </c>
      <c r="B398" t="s">
        <v>226</v>
      </c>
      <c r="C398" t="s">
        <v>1514</v>
      </c>
      <c r="D398" t="s">
        <v>1515</v>
      </c>
      <c r="E398" t="s">
        <v>1516</v>
      </c>
      <c r="F398" t="s">
        <v>145</v>
      </c>
      <c r="G398" t="s">
        <v>1517</v>
      </c>
      <c r="H398" t="s">
        <v>130</v>
      </c>
      <c r="I398" t="s">
        <v>134</v>
      </c>
      <c r="J398" t="s">
        <v>135</v>
      </c>
      <c r="K398" t="s">
        <v>69</v>
      </c>
      <c r="L398" t="s">
        <v>1518</v>
      </c>
      <c r="M398" t="s">
        <v>71</v>
      </c>
      <c r="N398" t="s">
        <v>100</v>
      </c>
      <c r="O398" t="s">
        <v>1391</v>
      </c>
      <c r="P398" t="s">
        <v>1392</v>
      </c>
      <c r="R398" t="s">
        <v>1393</v>
      </c>
      <c r="S398" t="s">
        <v>167</v>
      </c>
      <c r="T398" t="s">
        <v>291</v>
      </c>
      <c r="U398" t="s">
        <v>104</v>
      </c>
      <c r="V398" t="s">
        <v>1519</v>
      </c>
      <c r="W398">
        <v>490</v>
      </c>
      <c r="X398">
        <v>22.99</v>
      </c>
      <c r="Y398">
        <v>60</v>
      </c>
      <c r="Z398">
        <v>355000</v>
      </c>
      <c r="AA398">
        <v>295470</v>
      </c>
      <c r="AB398">
        <v>160</v>
      </c>
      <c r="AD398" t="s">
        <v>238</v>
      </c>
      <c r="AE398">
        <v>2</v>
      </c>
      <c r="AF398">
        <v>0</v>
      </c>
      <c r="AI398">
        <v>0</v>
      </c>
      <c r="AJ398">
        <v>120</v>
      </c>
      <c r="AK398">
        <v>120</v>
      </c>
      <c r="AL398">
        <v>603</v>
      </c>
      <c r="AM398">
        <v>123</v>
      </c>
      <c r="AN398">
        <v>0</v>
      </c>
      <c r="AO398">
        <v>123</v>
      </c>
      <c r="AP398" t="s">
        <v>80</v>
      </c>
      <c r="AQ398" t="s">
        <v>954</v>
      </c>
      <c r="AT398" t="s">
        <v>240</v>
      </c>
      <c r="AU398" t="s">
        <v>240</v>
      </c>
      <c r="AV398" t="s">
        <v>876</v>
      </c>
      <c r="AW398" t="s">
        <v>69</v>
      </c>
      <c r="AX398" t="s">
        <v>126</v>
      </c>
      <c r="AY398" t="s">
        <v>1520</v>
      </c>
      <c r="AZ398" t="s">
        <v>310</v>
      </c>
      <c r="BA398" t="s">
        <v>245</v>
      </c>
      <c r="BB398" t="s">
        <v>244</v>
      </c>
      <c r="BC398" t="s">
        <v>264</v>
      </c>
      <c r="BD398" t="s">
        <v>1526</v>
      </c>
      <c r="BE398" t="s">
        <v>1522</v>
      </c>
      <c r="BF398" t="s">
        <v>291</v>
      </c>
      <c r="BG398" t="s">
        <v>150</v>
      </c>
      <c r="BH398" t="str">
        <f>IF(COUNTIF(工作表1!A:A, $C398)&gt;0, "預購款", "非預購款")</f>
        <v>非預購款</v>
      </c>
    </row>
    <row r="399" spans="1:60" x14ac:dyDescent="0.25">
      <c r="A399" t="s">
        <v>1513</v>
      </c>
      <c r="B399" t="s">
        <v>226</v>
      </c>
      <c r="C399" t="s">
        <v>1514</v>
      </c>
      <c r="D399" t="s">
        <v>1515</v>
      </c>
      <c r="E399" t="s">
        <v>1516</v>
      </c>
      <c r="F399" t="s">
        <v>145</v>
      </c>
      <c r="G399" t="s">
        <v>1517</v>
      </c>
      <c r="H399" t="s">
        <v>132</v>
      </c>
      <c r="I399" t="s">
        <v>134</v>
      </c>
      <c r="J399" t="s">
        <v>135</v>
      </c>
      <c r="K399" t="s">
        <v>69</v>
      </c>
      <c r="L399" t="s">
        <v>1518</v>
      </c>
      <c r="M399" t="s">
        <v>71</v>
      </c>
      <c r="N399" t="s">
        <v>100</v>
      </c>
      <c r="O399" t="s">
        <v>1391</v>
      </c>
      <c r="P399" t="s">
        <v>1392</v>
      </c>
      <c r="R399" t="s">
        <v>1393</v>
      </c>
      <c r="S399" t="s">
        <v>167</v>
      </c>
      <c r="T399" t="s">
        <v>291</v>
      </c>
      <c r="U399" t="s">
        <v>104</v>
      </c>
      <c r="V399" t="s">
        <v>1519</v>
      </c>
      <c r="W399">
        <v>490</v>
      </c>
      <c r="X399">
        <v>22.99</v>
      </c>
      <c r="Y399">
        <v>60</v>
      </c>
      <c r="Z399">
        <v>355000</v>
      </c>
      <c r="AA399">
        <v>295470</v>
      </c>
      <c r="AB399">
        <v>160</v>
      </c>
      <c r="AD399" t="s">
        <v>238</v>
      </c>
      <c r="AE399">
        <v>2</v>
      </c>
      <c r="AF399">
        <v>0</v>
      </c>
      <c r="AI399">
        <v>0</v>
      </c>
      <c r="AJ399">
        <v>80</v>
      </c>
      <c r="AK399">
        <v>80</v>
      </c>
      <c r="AL399">
        <v>603</v>
      </c>
      <c r="AM399">
        <v>84</v>
      </c>
      <c r="AN399">
        <v>0</v>
      </c>
      <c r="AO399">
        <v>84</v>
      </c>
      <c r="AP399" t="s">
        <v>80</v>
      </c>
      <c r="AQ399" t="s">
        <v>954</v>
      </c>
      <c r="AT399" t="s">
        <v>240</v>
      </c>
      <c r="AU399" t="s">
        <v>240</v>
      </c>
      <c r="AV399" t="s">
        <v>876</v>
      </c>
      <c r="AW399" t="s">
        <v>69</v>
      </c>
      <c r="AX399" t="s">
        <v>126</v>
      </c>
      <c r="AY399" t="s">
        <v>1520</v>
      </c>
      <c r="AZ399" t="s">
        <v>310</v>
      </c>
      <c r="BA399" t="s">
        <v>245</v>
      </c>
      <c r="BB399" t="s">
        <v>244</v>
      </c>
      <c r="BC399" t="s">
        <v>264</v>
      </c>
      <c r="BD399" t="s">
        <v>1527</v>
      </c>
      <c r="BE399" t="s">
        <v>1522</v>
      </c>
      <c r="BF399" t="s">
        <v>291</v>
      </c>
      <c r="BG399" t="s">
        <v>150</v>
      </c>
      <c r="BH399" t="str">
        <f>IF(COUNTIF(工作表1!A:A, $C399)&gt;0, "預購款", "非預購款")</f>
        <v>非預購款</v>
      </c>
    </row>
    <row r="400" spans="1:60" x14ac:dyDescent="0.25">
      <c r="A400" t="s">
        <v>1528</v>
      </c>
      <c r="B400" t="s">
        <v>226</v>
      </c>
      <c r="C400" t="s">
        <v>1529</v>
      </c>
      <c r="D400" t="s">
        <v>1530</v>
      </c>
      <c r="E400" t="s">
        <v>1531</v>
      </c>
      <c r="F400" t="s">
        <v>145</v>
      </c>
      <c r="G400" t="s">
        <v>1532</v>
      </c>
      <c r="H400" t="s">
        <v>119</v>
      </c>
      <c r="I400" t="s">
        <v>134</v>
      </c>
      <c r="J400" t="s">
        <v>135</v>
      </c>
      <c r="K400" t="s">
        <v>69</v>
      </c>
      <c r="L400" t="s">
        <v>1533</v>
      </c>
      <c r="M400" t="s">
        <v>71</v>
      </c>
      <c r="N400" t="s">
        <v>100</v>
      </c>
      <c r="O400" t="s">
        <v>1391</v>
      </c>
      <c r="P400" t="s">
        <v>1392</v>
      </c>
      <c r="R400" t="s">
        <v>1393</v>
      </c>
      <c r="S400" t="s">
        <v>167</v>
      </c>
      <c r="T400" t="s">
        <v>291</v>
      </c>
      <c r="U400" t="s">
        <v>104</v>
      </c>
      <c r="V400" t="s">
        <v>965</v>
      </c>
      <c r="W400">
        <v>490</v>
      </c>
      <c r="X400">
        <v>22.99</v>
      </c>
      <c r="Y400">
        <v>60</v>
      </c>
      <c r="Z400">
        <v>355000</v>
      </c>
      <c r="AA400">
        <v>49000</v>
      </c>
      <c r="AB400">
        <v>210</v>
      </c>
      <c r="AD400" t="s">
        <v>238</v>
      </c>
      <c r="AE400">
        <v>1</v>
      </c>
      <c r="AF400">
        <v>0</v>
      </c>
      <c r="AI400">
        <v>0</v>
      </c>
      <c r="AJ400">
        <v>60</v>
      </c>
      <c r="AK400">
        <v>60</v>
      </c>
      <c r="AL400">
        <v>100</v>
      </c>
      <c r="AM400">
        <v>68</v>
      </c>
      <c r="AN400">
        <v>0</v>
      </c>
      <c r="AO400">
        <v>68</v>
      </c>
      <c r="AP400" t="s">
        <v>80</v>
      </c>
      <c r="AQ400" t="s">
        <v>954</v>
      </c>
      <c r="AT400" t="s">
        <v>240</v>
      </c>
      <c r="AU400" t="s">
        <v>240</v>
      </c>
      <c r="AV400" t="s">
        <v>1534</v>
      </c>
      <c r="AW400" t="s">
        <v>69</v>
      </c>
      <c r="AX400" t="s">
        <v>218</v>
      </c>
      <c r="AY400" t="s">
        <v>1535</v>
      </c>
      <c r="AZ400" t="s">
        <v>245</v>
      </c>
      <c r="BA400" t="s">
        <v>264</v>
      </c>
      <c r="BB400" t="s">
        <v>245</v>
      </c>
      <c r="BC400" t="s">
        <v>244</v>
      </c>
      <c r="BD400" t="s">
        <v>1536</v>
      </c>
      <c r="BE400" t="s">
        <v>1537</v>
      </c>
      <c r="BF400" t="s">
        <v>971</v>
      </c>
      <c r="BG400" t="s">
        <v>150</v>
      </c>
      <c r="BH400" t="str">
        <f>IF(COUNTIF(工作表1!A:A, $C400)&gt;0, "預購款", "非預購款")</f>
        <v>非預購款</v>
      </c>
    </row>
    <row r="401" spans="1:60" x14ac:dyDescent="0.25">
      <c r="A401" t="s">
        <v>1528</v>
      </c>
      <c r="B401" t="s">
        <v>226</v>
      </c>
      <c r="C401" t="s">
        <v>1529</v>
      </c>
      <c r="D401" t="s">
        <v>1530</v>
      </c>
      <c r="E401" t="s">
        <v>1531</v>
      </c>
      <c r="F401" t="s">
        <v>145</v>
      </c>
      <c r="G401" t="s">
        <v>1532</v>
      </c>
      <c r="H401" t="s">
        <v>130</v>
      </c>
      <c r="I401" t="s">
        <v>134</v>
      </c>
      <c r="J401" t="s">
        <v>135</v>
      </c>
      <c r="K401" t="s">
        <v>69</v>
      </c>
      <c r="L401" t="s">
        <v>1533</v>
      </c>
      <c r="M401" t="s">
        <v>71</v>
      </c>
      <c r="N401" t="s">
        <v>100</v>
      </c>
      <c r="O401" t="s">
        <v>1391</v>
      </c>
      <c r="P401" t="s">
        <v>1392</v>
      </c>
      <c r="R401" t="s">
        <v>1393</v>
      </c>
      <c r="S401" t="s">
        <v>167</v>
      </c>
      <c r="T401" t="s">
        <v>291</v>
      </c>
      <c r="U401" t="s">
        <v>104</v>
      </c>
      <c r="V401" t="s">
        <v>965</v>
      </c>
      <c r="W401">
        <v>490</v>
      </c>
      <c r="X401">
        <v>22.99</v>
      </c>
      <c r="Y401">
        <v>60</v>
      </c>
      <c r="Z401">
        <v>355000</v>
      </c>
      <c r="AA401">
        <v>49000</v>
      </c>
      <c r="AB401">
        <v>210</v>
      </c>
      <c r="AD401" t="s">
        <v>238</v>
      </c>
      <c r="AE401">
        <v>1</v>
      </c>
      <c r="AF401">
        <v>0</v>
      </c>
      <c r="AI401">
        <v>0</v>
      </c>
      <c r="AJ401">
        <v>30</v>
      </c>
      <c r="AK401">
        <v>30</v>
      </c>
      <c r="AL401">
        <v>100</v>
      </c>
      <c r="AM401">
        <v>30</v>
      </c>
      <c r="AN401">
        <v>0</v>
      </c>
      <c r="AO401">
        <v>30</v>
      </c>
      <c r="AP401" t="s">
        <v>80</v>
      </c>
      <c r="AQ401" t="s">
        <v>954</v>
      </c>
      <c r="AT401" t="s">
        <v>240</v>
      </c>
      <c r="AU401" t="s">
        <v>240</v>
      </c>
      <c r="AV401" t="s">
        <v>1534</v>
      </c>
      <c r="AW401" t="s">
        <v>69</v>
      </c>
      <c r="AX401" t="s">
        <v>218</v>
      </c>
      <c r="AY401" t="s">
        <v>1535</v>
      </c>
      <c r="AZ401" t="s">
        <v>245</v>
      </c>
      <c r="BA401" t="s">
        <v>264</v>
      </c>
      <c r="BB401" t="s">
        <v>245</v>
      </c>
      <c r="BC401" t="s">
        <v>244</v>
      </c>
      <c r="BD401" t="s">
        <v>1538</v>
      </c>
      <c r="BE401" t="s">
        <v>1537</v>
      </c>
      <c r="BF401" t="s">
        <v>971</v>
      </c>
      <c r="BG401" t="s">
        <v>150</v>
      </c>
      <c r="BH401" t="str">
        <f>IF(COUNTIF(工作表1!A:A, $C401)&gt;0, "預購款", "非預購款")</f>
        <v>非預購款</v>
      </c>
    </row>
    <row r="402" spans="1:60" x14ac:dyDescent="0.25">
      <c r="A402" t="s">
        <v>1528</v>
      </c>
      <c r="B402" t="s">
        <v>226</v>
      </c>
      <c r="C402" t="s">
        <v>1529</v>
      </c>
      <c r="D402" t="s">
        <v>1530</v>
      </c>
      <c r="E402" t="s">
        <v>1531</v>
      </c>
      <c r="F402" t="s">
        <v>145</v>
      </c>
      <c r="G402" t="s">
        <v>1532</v>
      </c>
      <c r="H402" t="s">
        <v>132</v>
      </c>
      <c r="I402" t="s">
        <v>134</v>
      </c>
      <c r="J402" t="s">
        <v>135</v>
      </c>
      <c r="K402" t="s">
        <v>69</v>
      </c>
      <c r="L402" t="s">
        <v>1533</v>
      </c>
      <c r="M402" t="s">
        <v>71</v>
      </c>
      <c r="N402" t="s">
        <v>100</v>
      </c>
      <c r="O402" t="s">
        <v>1391</v>
      </c>
      <c r="P402" t="s">
        <v>1392</v>
      </c>
      <c r="R402" t="s">
        <v>1393</v>
      </c>
      <c r="S402" t="s">
        <v>167</v>
      </c>
      <c r="T402" t="s">
        <v>291</v>
      </c>
      <c r="U402" t="s">
        <v>104</v>
      </c>
      <c r="V402" t="s">
        <v>965</v>
      </c>
      <c r="W402">
        <v>490</v>
      </c>
      <c r="X402">
        <v>22.99</v>
      </c>
      <c r="Y402">
        <v>60</v>
      </c>
      <c r="Z402">
        <v>355000</v>
      </c>
      <c r="AA402">
        <v>49000</v>
      </c>
      <c r="AB402">
        <v>210</v>
      </c>
      <c r="AD402" t="s">
        <v>238</v>
      </c>
      <c r="AE402">
        <v>1</v>
      </c>
      <c r="AF402">
        <v>0</v>
      </c>
      <c r="AI402">
        <v>0</v>
      </c>
      <c r="AJ402">
        <v>10</v>
      </c>
      <c r="AK402">
        <v>10</v>
      </c>
      <c r="AL402">
        <v>100</v>
      </c>
      <c r="AM402">
        <v>15</v>
      </c>
      <c r="AN402">
        <v>0</v>
      </c>
      <c r="AO402">
        <v>15</v>
      </c>
      <c r="AP402" t="s">
        <v>80</v>
      </c>
      <c r="AQ402" t="s">
        <v>954</v>
      </c>
      <c r="AT402" t="s">
        <v>240</v>
      </c>
      <c r="AU402" t="s">
        <v>240</v>
      </c>
      <c r="AV402" t="s">
        <v>1534</v>
      </c>
      <c r="AW402" t="s">
        <v>69</v>
      </c>
      <c r="AX402" t="s">
        <v>218</v>
      </c>
      <c r="AY402" t="s">
        <v>1535</v>
      </c>
      <c r="AZ402" t="s">
        <v>245</v>
      </c>
      <c r="BA402" t="s">
        <v>264</v>
      </c>
      <c r="BB402" t="s">
        <v>245</v>
      </c>
      <c r="BC402" t="s">
        <v>244</v>
      </c>
      <c r="BD402" t="s">
        <v>1539</v>
      </c>
      <c r="BE402" t="s">
        <v>1537</v>
      </c>
      <c r="BF402" t="s">
        <v>971</v>
      </c>
      <c r="BG402" t="s">
        <v>150</v>
      </c>
      <c r="BH402" t="str">
        <f>IF(COUNTIF(工作表1!A:A, $C402)&gt;0, "預購款", "非預購款")</f>
        <v>非預購款</v>
      </c>
    </row>
    <row r="403" spans="1:60" x14ac:dyDescent="0.25">
      <c r="A403" t="s">
        <v>1540</v>
      </c>
      <c r="B403" t="s">
        <v>226</v>
      </c>
      <c r="C403" t="s">
        <v>1541</v>
      </c>
      <c r="D403" t="s">
        <v>1542</v>
      </c>
      <c r="E403" t="s">
        <v>1543</v>
      </c>
      <c r="F403" t="s">
        <v>145</v>
      </c>
      <c r="G403" t="s">
        <v>1544</v>
      </c>
      <c r="H403" t="s">
        <v>119</v>
      </c>
      <c r="I403" t="s">
        <v>111</v>
      </c>
      <c r="J403" t="s">
        <v>112</v>
      </c>
      <c r="K403" t="s">
        <v>80</v>
      </c>
      <c r="L403" t="s">
        <v>1545</v>
      </c>
      <c r="M403" t="s">
        <v>71</v>
      </c>
      <c r="N403" t="s">
        <v>100</v>
      </c>
      <c r="O403" t="s">
        <v>1391</v>
      </c>
      <c r="P403" t="s">
        <v>1392</v>
      </c>
      <c r="R403" t="s">
        <v>1393</v>
      </c>
      <c r="S403" t="s">
        <v>167</v>
      </c>
      <c r="T403" t="s">
        <v>291</v>
      </c>
      <c r="U403" t="s">
        <v>383</v>
      </c>
      <c r="V403" t="s">
        <v>384</v>
      </c>
      <c r="W403">
        <v>1080</v>
      </c>
      <c r="X403">
        <v>44.99</v>
      </c>
      <c r="Y403">
        <v>139</v>
      </c>
      <c r="Z403">
        <v>779000</v>
      </c>
      <c r="AA403">
        <v>507600</v>
      </c>
      <c r="AB403">
        <v>570</v>
      </c>
      <c r="AD403" t="s">
        <v>238</v>
      </c>
      <c r="AE403">
        <v>2</v>
      </c>
      <c r="AF403">
        <v>0</v>
      </c>
      <c r="AI403">
        <v>0</v>
      </c>
      <c r="AJ403">
        <v>140</v>
      </c>
      <c r="AK403">
        <v>140</v>
      </c>
      <c r="AL403">
        <v>470</v>
      </c>
      <c r="AM403">
        <v>144</v>
      </c>
      <c r="AN403">
        <v>0</v>
      </c>
      <c r="AO403">
        <v>144</v>
      </c>
      <c r="AP403" t="s">
        <v>80</v>
      </c>
      <c r="AQ403" t="s">
        <v>954</v>
      </c>
      <c r="AT403" t="s">
        <v>86</v>
      </c>
      <c r="AU403" t="s">
        <v>86</v>
      </c>
      <c r="AV403" t="s">
        <v>1546</v>
      </c>
      <c r="AW403" t="s">
        <v>69</v>
      </c>
      <c r="AX403" t="s">
        <v>126</v>
      </c>
      <c r="AY403" t="s">
        <v>1547</v>
      </c>
      <c r="AZ403" t="s">
        <v>264</v>
      </c>
      <c r="BA403" t="s">
        <v>245</v>
      </c>
      <c r="BB403" t="s">
        <v>243</v>
      </c>
      <c r="BC403" t="s">
        <v>245</v>
      </c>
      <c r="BD403" t="s">
        <v>1548</v>
      </c>
      <c r="BE403" t="s">
        <v>1549</v>
      </c>
      <c r="BF403" t="s">
        <v>291</v>
      </c>
      <c r="BG403" t="s">
        <v>110</v>
      </c>
      <c r="BH403" t="str">
        <f>IF(COUNTIF(工作表1!A:A, $C403)&gt;0, "預購款", "非預購款")</f>
        <v>非預購款</v>
      </c>
    </row>
    <row r="404" spans="1:60" x14ac:dyDescent="0.25">
      <c r="A404" t="s">
        <v>1540</v>
      </c>
      <c r="B404" t="s">
        <v>226</v>
      </c>
      <c r="C404" t="s">
        <v>1541</v>
      </c>
      <c r="D404" t="s">
        <v>1542</v>
      </c>
      <c r="E404" t="s">
        <v>1543</v>
      </c>
      <c r="F404" t="s">
        <v>145</v>
      </c>
      <c r="G404" t="s">
        <v>1544</v>
      </c>
      <c r="H404" t="s">
        <v>130</v>
      </c>
      <c r="I404" t="s">
        <v>111</v>
      </c>
      <c r="J404" t="s">
        <v>112</v>
      </c>
      <c r="K404" t="s">
        <v>80</v>
      </c>
      <c r="L404" t="s">
        <v>1545</v>
      </c>
      <c r="M404" t="s">
        <v>71</v>
      </c>
      <c r="N404" t="s">
        <v>100</v>
      </c>
      <c r="O404" t="s">
        <v>1391</v>
      </c>
      <c r="P404" t="s">
        <v>1392</v>
      </c>
      <c r="R404" t="s">
        <v>1393</v>
      </c>
      <c r="S404" t="s">
        <v>167</v>
      </c>
      <c r="T404" t="s">
        <v>291</v>
      </c>
      <c r="U404" t="s">
        <v>383</v>
      </c>
      <c r="V404" t="s">
        <v>384</v>
      </c>
      <c r="W404">
        <v>1080</v>
      </c>
      <c r="X404">
        <v>44.99</v>
      </c>
      <c r="Y404">
        <v>139</v>
      </c>
      <c r="Z404">
        <v>779000</v>
      </c>
      <c r="AA404">
        <v>507600</v>
      </c>
      <c r="AB404">
        <v>570</v>
      </c>
      <c r="AD404" t="s">
        <v>238</v>
      </c>
      <c r="AE404">
        <v>2</v>
      </c>
      <c r="AF404">
        <v>0</v>
      </c>
      <c r="AI404">
        <v>0</v>
      </c>
      <c r="AJ404">
        <v>85</v>
      </c>
      <c r="AK404">
        <v>85</v>
      </c>
      <c r="AL404">
        <v>470</v>
      </c>
      <c r="AM404">
        <v>89</v>
      </c>
      <c r="AN404">
        <v>0</v>
      </c>
      <c r="AO404">
        <v>89</v>
      </c>
      <c r="AP404" t="s">
        <v>80</v>
      </c>
      <c r="AQ404" t="s">
        <v>954</v>
      </c>
      <c r="AT404" t="s">
        <v>86</v>
      </c>
      <c r="AU404" t="s">
        <v>86</v>
      </c>
      <c r="AV404" t="s">
        <v>1546</v>
      </c>
      <c r="AW404" t="s">
        <v>69</v>
      </c>
      <c r="AX404" t="s">
        <v>126</v>
      </c>
      <c r="AY404" t="s">
        <v>1547</v>
      </c>
      <c r="AZ404" t="s">
        <v>264</v>
      </c>
      <c r="BA404" t="s">
        <v>245</v>
      </c>
      <c r="BB404" t="s">
        <v>243</v>
      </c>
      <c r="BC404" t="s">
        <v>245</v>
      </c>
      <c r="BD404" t="s">
        <v>1550</v>
      </c>
      <c r="BE404" t="s">
        <v>1549</v>
      </c>
      <c r="BF404" t="s">
        <v>291</v>
      </c>
      <c r="BG404" t="s">
        <v>110</v>
      </c>
      <c r="BH404" t="str">
        <f>IF(COUNTIF(工作表1!A:A, $C404)&gt;0, "預購款", "非預購款")</f>
        <v>非預購款</v>
      </c>
    </row>
    <row r="405" spans="1:60" x14ac:dyDescent="0.25">
      <c r="A405" t="s">
        <v>1540</v>
      </c>
      <c r="B405" t="s">
        <v>226</v>
      </c>
      <c r="C405" t="s">
        <v>1541</v>
      </c>
      <c r="D405" t="s">
        <v>1542</v>
      </c>
      <c r="E405" t="s">
        <v>1543</v>
      </c>
      <c r="F405" t="s">
        <v>145</v>
      </c>
      <c r="G405" t="s">
        <v>1544</v>
      </c>
      <c r="H405" t="s">
        <v>132</v>
      </c>
      <c r="I405" t="s">
        <v>111</v>
      </c>
      <c r="J405" t="s">
        <v>112</v>
      </c>
      <c r="K405" t="s">
        <v>80</v>
      </c>
      <c r="L405" t="s">
        <v>1545</v>
      </c>
      <c r="M405" t="s">
        <v>71</v>
      </c>
      <c r="N405" t="s">
        <v>100</v>
      </c>
      <c r="O405" t="s">
        <v>1391</v>
      </c>
      <c r="P405" t="s">
        <v>1392</v>
      </c>
      <c r="R405" t="s">
        <v>1393</v>
      </c>
      <c r="S405" t="s">
        <v>167</v>
      </c>
      <c r="T405" t="s">
        <v>291</v>
      </c>
      <c r="U405" t="s">
        <v>383</v>
      </c>
      <c r="V405" t="s">
        <v>384</v>
      </c>
      <c r="W405">
        <v>1080</v>
      </c>
      <c r="X405">
        <v>44.99</v>
      </c>
      <c r="Y405">
        <v>139</v>
      </c>
      <c r="Z405">
        <v>779000</v>
      </c>
      <c r="AA405">
        <v>507600</v>
      </c>
      <c r="AB405">
        <v>570</v>
      </c>
      <c r="AD405" t="s">
        <v>238</v>
      </c>
      <c r="AE405">
        <v>2</v>
      </c>
      <c r="AF405">
        <v>0</v>
      </c>
      <c r="AI405">
        <v>0</v>
      </c>
      <c r="AJ405">
        <v>15</v>
      </c>
      <c r="AK405">
        <v>15</v>
      </c>
      <c r="AL405">
        <v>470</v>
      </c>
      <c r="AM405">
        <v>17</v>
      </c>
      <c r="AN405">
        <v>0</v>
      </c>
      <c r="AO405">
        <v>17</v>
      </c>
      <c r="AP405" t="s">
        <v>80</v>
      </c>
      <c r="AQ405" t="s">
        <v>954</v>
      </c>
      <c r="AT405" t="s">
        <v>86</v>
      </c>
      <c r="AU405" t="s">
        <v>86</v>
      </c>
      <c r="AV405" t="s">
        <v>1546</v>
      </c>
      <c r="AW405" t="s">
        <v>69</v>
      </c>
      <c r="AX405" t="s">
        <v>126</v>
      </c>
      <c r="AY405" t="s">
        <v>1547</v>
      </c>
      <c r="AZ405" t="s">
        <v>264</v>
      </c>
      <c r="BA405" t="s">
        <v>245</v>
      </c>
      <c r="BB405" t="s">
        <v>243</v>
      </c>
      <c r="BC405" t="s">
        <v>245</v>
      </c>
      <c r="BD405" t="s">
        <v>1551</v>
      </c>
      <c r="BE405" t="s">
        <v>1549</v>
      </c>
      <c r="BF405" t="s">
        <v>291</v>
      </c>
      <c r="BG405" t="s">
        <v>110</v>
      </c>
      <c r="BH405" t="str">
        <f>IF(COUNTIF(工作表1!A:A, $C405)&gt;0, "預購款", "非預購款")</f>
        <v>非預購款</v>
      </c>
    </row>
    <row r="406" spans="1:60" x14ac:dyDescent="0.25">
      <c r="A406" t="s">
        <v>1540</v>
      </c>
      <c r="B406" t="s">
        <v>226</v>
      </c>
      <c r="C406" t="s">
        <v>1541</v>
      </c>
      <c r="D406" t="s">
        <v>1542</v>
      </c>
      <c r="E406" t="s">
        <v>1543</v>
      </c>
      <c r="F406" t="s">
        <v>145</v>
      </c>
      <c r="G406" t="s">
        <v>1544</v>
      </c>
      <c r="H406" t="s">
        <v>119</v>
      </c>
      <c r="I406" t="s">
        <v>1552</v>
      </c>
      <c r="J406" t="s">
        <v>1553</v>
      </c>
      <c r="K406" t="s">
        <v>69</v>
      </c>
      <c r="L406" t="s">
        <v>1545</v>
      </c>
      <c r="M406" t="s">
        <v>71</v>
      </c>
      <c r="N406" t="s">
        <v>100</v>
      </c>
      <c r="O406" t="s">
        <v>1391</v>
      </c>
      <c r="P406" t="s">
        <v>1392</v>
      </c>
      <c r="R406" t="s">
        <v>1393</v>
      </c>
      <c r="S406" t="s">
        <v>167</v>
      </c>
      <c r="T406" t="s">
        <v>291</v>
      </c>
      <c r="U406" t="s">
        <v>383</v>
      </c>
      <c r="V406" t="s">
        <v>384</v>
      </c>
      <c r="W406">
        <v>1080</v>
      </c>
      <c r="X406">
        <v>44.99</v>
      </c>
      <c r="Y406">
        <v>139</v>
      </c>
      <c r="Z406">
        <v>779000</v>
      </c>
      <c r="AA406">
        <v>507600</v>
      </c>
      <c r="AB406">
        <v>570</v>
      </c>
      <c r="AD406" t="s">
        <v>238</v>
      </c>
      <c r="AE406">
        <v>2</v>
      </c>
      <c r="AF406">
        <v>0</v>
      </c>
      <c r="AI406">
        <v>0</v>
      </c>
      <c r="AJ406">
        <v>100</v>
      </c>
      <c r="AK406">
        <v>100</v>
      </c>
      <c r="AL406">
        <v>470</v>
      </c>
      <c r="AM406">
        <v>109</v>
      </c>
      <c r="AN406">
        <v>0</v>
      </c>
      <c r="AO406">
        <v>109</v>
      </c>
      <c r="AP406" t="s">
        <v>80</v>
      </c>
      <c r="AQ406" t="s">
        <v>954</v>
      </c>
      <c r="AT406" t="s">
        <v>86</v>
      </c>
      <c r="AU406" t="s">
        <v>86</v>
      </c>
      <c r="AV406" t="s">
        <v>1546</v>
      </c>
      <c r="AW406" t="s">
        <v>69</v>
      </c>
      <c r="AX406" t="s">
        <v>126</v>
      </c>
      <c r="AY406" t="s">
        <v>1547</v>
      </c>
      <c r="AZ406" t="s">
        <v>264</v>
      </c>
      <c r="BA406" t="s">
        <v>245</v>
      </c>
      <c r="BB406" t="s">
        <v>243</v>
      </c>
      <c r="BC406" t="s">
        <v>245</v>
      </c>
      <c r="BD406" t="s">
        <v>1554</v>
      </c>
      <c r="BE406" t="s">
        <v>1549</v>
      </c>
      <c r="BF406" t="s">
        <v>291</v>
      </c>
      <c r="BG406" t="s">
        <v>110</v>
      </c>
      <c r="BH406" t="str">
        <f>IF(COUNTIF(工作表1!A:A, $C406)&gt;0, "預購款", "非預購款")</f>
        <v>非預購款</v>
      </c>
    </row>
    <row r="407" spans="1:60" x14ac:dyDescent="0.25">
      <c r="A407" t="s">
        <v>1540</v>
      </c>
      <c r="B407" t="s">
        <v>226</v>
      </c>
      <c r="C407" t="s">
        <v>1541</v>
      </c>
      <c r="D407" t="s">
        <v>1542</v>
      </c>
      <c r="E407" t="s">
        <v>1543</v>
      </c>
      <c r="F407" t="s">
        <v>145</v>
      </c>
      <c r="G407" t="s">
        <v>1544</v>
      </c>
      <c r="H407" t="s">
        <v>130</v>
      </c>
      <c r="I407" t="s">
        <v>1552</v>
      </c>
      <c r="J407" t="s">
        <v>1553</v>
      </c>
      <c r="K407" t="s">
        <v>69</v>
      </c>
      <c r="L407" t="s">
        <v>1545</v>
      </c>
      <c r="M407" t="s">
        <v>71</v>
      </c>
      <c r="N407" t="s">
        <v>100</v>
      </c>
      <c r="O407" t="s">
        <v>1391</v>
      </c>
      <c r="P407" t="s">
        <v>1392</v>
      </c>
      <c r="R407" t="s">
        <v>1393</v>
      </c>
      <c r="S407" t="s">
        <v>167</v>
      </c>
      <c r="T407" t="s">
        <v>291</v>
      </c>
      <c r="U407" t="s">
        <v>383</v>
      </c>
      <c r="V407" t="s">
        <v>384</v>
      </c>
      <c r="W407">
        <v>1080</v>
      </c>
      <c r="X407">
        <v>44.99</v>
      </c>
      <c r="Y407">
        <v>139</v>
      </c>
      <c r="Z407">
        <v>779000</v>
      </c>
      <c r="AA407">
        <v>507600</v>
      </c>
      <c r="AB407">
        <v>570</v>
      </c>
      <c r="AD407" t="s">
        <v>238</v>
      </c>
      <c r="AE407">
        <v>2</v>
      </c>
      <c r="AF407">
        <v>0</v>
      </c>
      <c r="AI407">
        <v>0</v>
      </c>
      <c r="AJ407">
        <v>100</v>
      </c>
      <c r="AK407">
        <v>100</v>
      </c>
      <c r="AL407">
        <v>470</v>
      </c>
      <c r="AM407">
        <v>109</v>
      </c>
      <c r="AN407">
        <v>0</v>
      </c>
      <c r="AO407">
        <v>109</v>
      </c>
      <c r="AP407" t="s">
        <v>80</v>
      </c>
      <c r="AQ407" t="s">
        <v>954</v>
      </c>
      <c r="AT407" t="s">
        <v>86</v>
      </c>
      <c r="AU407" t="s">
        <v>86</v>
      </c>
      <c r="AV407" t="s">
        <v>1546</v>
      </c>
      <c r="AW407" t="s">
        <v>69</v>
      </c>
      <c r="AX407" t="s">
        <v>126</v>
      </c>
      <c r="AY407" t="s">
        <v>1547</v>
      </c>
      <c r="AZ407" t="s">
        <v>264</v>
      </c>
      <c r="BA407" t="s">
        <v>245</v>
      </c>
      <c r="BB407" t="s">
        <v>243</v>
      </c>
      <c r="BC407" t="s">
        <v>245</v>
      </c>
      <c r="BD407" t="s">
        <v>1555</v>
      </c>
      <c r="BE407" t="s">
        <v>1549</v>
      </c>
      <c r="BF407" t="s">
        <v>291</v>
      </c>
      <c r="BG407" t="s">
        <v>110</v>
      </c>
      <c r="BH407" t="str">
        <f>IF(COUNTIF(工作表1!A:A, $C407)&gt;0, "預購款", "非預購款")</f>
        <v>非預購款</v>
      </c>
    </row>
    <row r="408" spans="1:60" x14ac:dyDescent="0.25">
      <c r="A408" t="s">
        <v>1540</v>
      </c>
      <c r="B408" t="s">
        <v>226</v>
      </c>
      <c r="C408" t="s">
        <v>1541</v>
      </c>
      <c r="D408" t="s">
        <v>1542</v>
      </c>
      <c r="E408" t="s">
        <v>1543</v>
      </c>
      <c r="F408" t="s">
        <v>145</v>
      </c>
      <c r="G408" t="s">
        <v>1544</v>
      </c>
      <c r="H408" t="s">
        <v>132</v>
      </c>
      <c r="I408" t="s">
        <v>1552</v>
      </c>
      <c r="J408" t="s">
        <v>1553</v>
      </c>
      <c r="K408" t="s">
        <v>69</v>
      </c>
      <c r="L408" t="s">
        <v>1545</v>
      </c>
      <c r="M408" t="s">
        <v>71</v>
      </c>
      <c r="N408" t="s">
        <v>100</v>
      </c>
      <c r="O408" t="s">
        <v>1391</v>
      </c>
      <c r="P408" t="s">
        <v>1392</v>
      </c>
      <c r="R408" t="s">
        <v>1393</v>
      </c>
      <c r="S408" t="s">
        <v>167</v>
      </c>
      <c r="T408" t="s">
        <v>291</v>
      </c>
      <c r="U408" t="s">
        <v>383</v>
      </c>
      <c r="V408" t="s">
        <v>384</v>
      </c>
      <c r="W408">
        <v>1080</v>
      </c>
      <c r="X408">
        <v>44.99</v>
      </c>
      <c r="Y408">
        <v>139</v>
      </c>
      <c r="Z408">
        <v>779000</v>
      </c>
      <c r="AA408">
        <v>507600</v>
      </c>
      <c r="AB408">
        <v>570</v>
      </c>
      <c r="AD408" t="s">
        <v>238</v>
      </c>
      <c r="AE408">
        <v>2</v>
      </c>
      <c r="AF408">
        <v>0</v>
      </c>
      <c r="AI408">
        <v>0</v>
      </c>
      <c r="AJ408">
        <v>30</v>
      </c>
      <c r="AK408">
        <v>30</v>
      </c>
      <c r="AL408">
        <v>470</v>
      </c>
      <c r="AM408">
        <v>32</v>
      </c>
      <c r="AN408">
        <v>0</v>
      </c>
      <c r="AO408">
        <v>32</v>
      </c>
      <c r="AP408" t="s">
        <v>80</v>
      </c>
      <c r="AQ408" t="s">
        <v>954</v>
      </c>
      <c r="AT408" t="s">
        <v>86</v>
      </c>
      <c r="AU408" t="s">
        <v>86</v>
      </c>
      <c r="AV408" t="s">
        <v>1546</v>
      </c>
      <c r="AW408" t="s">
        <v>69</v>
      </c>
      <c r="AX408" t="s">
        <v>126</v>
      </c>
      <c r="AY408" t="s">
        <v>1547</v>
      </c>
      <c r="AZ408" t="s">
        <v>264</v>
      </c>
      <c r="BA408" t="s">
        <v>245</v>
      </c>
      <c r="BB408" t="s">
        <v>243</v>
      </c>
      <c r="BC408" t="s">
        <v>245</v>
      </c>
      <c r="BD408" t="s">
        <v>1556</v>
      </c>
      <c r="BE408" t="s">
        <v>1549</v>
      </c>
      <c r="BF408" t="s">
        <v>291</v>
      </c>
      <c r="BG408" t="s">
        <v>110</v>
      </c>
      <c r="BH408" t="str">
        <f>IF(COUNTIF(工作表1!A:A, $C408)&gt;0, "預購款", "非預購款")</f>
        <v>非預購款</v>
      </c>
    </row>
    <row r="409" spans="1:60" x14ac:dyDescent="0.25">
      <c r="A409" t="s">
        <v>1039</v>
      </c>
      <c r="B409" t="s">
        <v>283</v>
      </c>
      <c r="C409" t="s">
        <v>1040</v>
      </c>
      <c r="D409" t="s">
        <v>1041</v>
      </c>
      <c r="E409" t="s">
        <v>1042</v>
      </c>
      <c r="F409" t="s">
        <v>145</v>
      </c>
      <c r="G409" t="s">
        <v>1043</v>
      </c>
      <c r="H409" t="s">
        <v>119</v>
      </c>
      <c r="I409" t="s">
        <v>97</v>
      </c>
      <c r="J409" t="s">
        <v>98</v>
      </c>
      <c r="K409" t="s">
        <v>69</v>
      </c>
      <c r="L409" t="s">
        <v>1044</v>
      </c>
      <c r="M409" t="s">
        <v>71</v>
      </c>
      <c r="N409" t="s">
        <v>100</v>
      </c>
      <c r="O409" t="s">
        <v>980</v>
      </c>
      <c r="P409" t="s">
        <v>981</v>
      </c>
      <c r="R409" t="s">
        <v>982</v>
      </c>
      <c r="S409" t="s">
        <v>167</v>
      </c>
      <c r="T409" t="s">
        <v>76</v>
      </c>
      <c r="U409" t="s">
        <v>104</v>
      </c>
      <c r="V409" t="s">
        <v>292</v>
      </c>
      <c r="W409">
        <v>490</v>
      </c>
      <c r="X409">
        <v>22.99</v>
      </c>
      <c r="Y409">
        <v>60</v>
      </c>
      <c r="Z409">
        <v>355000</v>
      </c>
      <c r="AA409">
        <v>176400</v>
      </c>
      <c r="AB409">
        <v>142</v>
      </c>
      <c r="AD409" t="s">
        <v>238</v>
      </c>
      <c r="AE409">
        <v>2</v>
      </c>
      <c r="AF409">
        <v>15</v>
      </c>
      <c r="AI409">
        <v>0</v>
      </c>
      <c r="AJ409">
        <v>60</v>
      </c>
      <c r="AK409">
        <v>75</v>
      </c>
      <c r="AL409">
        <v>360</v>
      </c>
      <c r="AM409">
        <v>75</v>
      </c>
      <c r="AN409">
        <v>0</v>
      </c>
      <c r="AO409">
        <v>75</v>
      </c>
      <c r="AP409" t="s">
        <v>80</v>
      </c>
      <c r="AQ409" t="s">
        <v>167</v>
      </c>
      <c r="AR409" t="s">
        <v>86</v>
      </c>
      <c r="AS409" t="s">
        <v>240</v>
      </c>
      <c r="AT409" t="s">
        <v>240</v>
      </c>
      <c r="AU409" t="s">
        <v>240</v>
      </c>
      <c r="AV409" t="s">
        <v>81</v>
      </c>
      <c r="AW409" t="s">
        <v>69</v>
      </c>
      <c r="AX409" t="s">
        <v>126</v>
      </c>
      <c r="AY409" t="s">
        <v>1045</v>
      </c>
      <c r="AZ409" t="s">
        <v>245</v>
      </c>
      <c r="BA409" t="s">
        <v>244</v>
      </c>
      <c r="BB409" t="s">
        <v>264</v>
      </c>
      <c r="BC409" t="s">
        <v>244</v>
      </c>
      <c r="BD409" t="s">
        <v>1046</v>
      </c>
      <c r="BE409" t="s">
        <v>1557</v>
      </c>
      <c r="BF409" t="s">
        <v>86</v>
      </c>
      <c r="BG409" t="s">
        <v>150</v>
      </c>
      <c r="BH409" t="str">
        <f>IF(COUNTIF(工作表1!A:A, $C409)&gt;0, "預購款", "非預購款")</f>
        <v>非預購款</v>
      </c>
    </row>
    <row r="410" spans="1:60" x14ac:dyDescent="0.25">
      <c r="A410" t="s">
        <v>1039</v>
      </c>
      <c r="B410" t="s">
        <v>283</v>
      </c>
      <c r="C410" t="s">
        <v>1040</v>
      </c>
      <c r="D410" t="s">
        <v>1041</v>
      </c>
      <c r="E410" t="s">
        <v>1042</v>
      </c>
      <c r="F410" t="s">
        <v>145</v>
      </c>
      <c r="G410" t="s">
        <v>1043</v>
      </c>
      <c r="H410" t="s">
        <v>130</v>
      </c>
      <c r="I410" t="s">
        <v>97</v>
      </c>
      <c r="J410" t="s">
        <v>98</v>
      </c>
      <c r="K410" t="s">
        <v>69</v>
      </c>
      <c r="L410" t="s">
        <v>1044</v>
      </c>
      <c r="M410" t="s">
        <v>71</v>
      </c>
      <c r="N410" t="s">
        <v>100</v>
      </c>
      <c r="O410" t="s">
        <v>980</v>
      </c>
      <c r="P410" t="s">
        <v>981</v>
      </c>
      <c r="R410" t="s">
        <v>982</v>
      </c>
      <c r="S410" t="s">
        <v>167</v>
      </c>
      <c r="T410" t="s">
        <v>76</v>
      </c>
      <c r="U410" t="s">
        <v>104</v>
      </c>
      <c r="V410" t="s">
        <v>292</v>
      </c>
      <c r="W410">
        <v>490</v>
      </c>
      <c r="X410">
        <v>22.99</v>
      </c>
      <c r="Y410">
        <v>60</v>
      </c>
      <c r="Z410">
        <v>355000</v>
      </c>
      <c r="AA410">
        <v>176400</v>
      </c>
      <c r="AB410">
        <v>142</v>
      </c>
      <c r="AD410" t="s">
        <v>238</v>
      </c>
      <c r="AE410">
        <v>2</v>
      </c>
      <c r="AF410">
        <v>10</v>
      </c>
      <c r="AI410">
        <v>15</v>
      </c>
      <c r="AJ410">
        <v>70</v>
      </c>
      <c r="AK410">
        <v>95</v>
      </c>
      <c r="AL410">
        <v>360</v>
      </c>
      <c r="AM410">
        <v>96</v>
      </c>
      <c r="AN410">
        <v>1</v>
      </c>
      <c r="AO410">
        <v>96</v>
      </c>
      <c r="AP410" t="s">
        <v>80</v>
      </c>
      <c r="AQ410" t="s">
        <v>167</v>
      </c>
      <c r="AR410" t="s">
        <v>86</v>
      </c>
      <c r="AS410" t="s">
        <v>240</v>
      </c>
      <c r="AT410" t="s">
        <v>240</v>
      </c>
      <c r="AU410" t="s">
        <v>240</v>
      </c>
      <c r="AV410" t="s">
        <v>81</v>
      </c>
      <c r="AW410" t="s">
        <v>69</v>
      </c>
      <c r="AX410" t="s">
        <v>126</v>
      </c>
      <c r="AY410" t="s">
        <v>1045</v>
      </c>
      <c r="AZ410" t="s">
        <v>245</v>
      </c>
      <c r="BA410" t="s">
        <v>244</v>
      </c>
      <c r="BB410" t="s">
        <v>264</v>
      </c>
      <c r="BC410" t="s">
        <v>244</v>
      </c>
      <c r="BD410" t="s">
        <v>1048</v>
      </c>
      <c r="BE410" t="s">
        <v>1557</v>
      </c>
      <c r="BF410" t="s">
        <v>86</v>
      </c>
      <c r="BG410" t="s">
        <v>150</v>
      </c>
      <c r="BH410" t="str">
        <f>IF(COUNTIF(工作表1!A:A, $C410)&gt;0, "預購款", "非預購款")</f>
        <v>非預購款</v>
      </c>
    </row>
    <row r="411" spans="1:60" x14ac:dyDescent="0.25">
      <c r="A411" t="s">
        <v>1039</v>
      </c>
      <c r="B411" t="s">
        <v>283</v>
      </c>
      <c r="C411" t="s">
        <v>1040</v>
      </c>
      <c r="D411" t="s">
        <v>1041</v>
      </c>
      <c r="E411" t="s">
        <v>1042</v>
      </c>
      <c r="F411" t="s">
        <v>145</v>
      </c>
      <c r="G411" t="s">
        <v>1043</v>
      </c>
      <c r="H411" t="s">
        <v>132</v>
      </c>
      <c r="I411" t="s">
        <v>97</v>
      </c>
      <c r="J411" t="s">
        <v>98</v>
      </c>
      <c r="K411" t="s">
        <v>69</v>
      </c>
      <c r="L411" t="s">
        <v>1044</v>
      </c>
      <c r="M411" t="s">
        <v>71</v>
      </c>
      <c r="N411" t="s">
        <v>100</v>
      </c>
      <c r="O411" t="s">
        <v>980</v>
      </c>
      <c r="P411" t="s">
        <v>981</v>
      </c>
      <c r="R411" t="s">
        <v>982</v>
      </c>
      <c r="S411" t="s">
        <v>167</v>
      </c>
      <c r="T411" t="s">
        <v>76</v>
      </c>
      <c r="U411" t="s">
        <v>104</v>
      </c>
      <c r="V411" t="s">
        <v>292</v>
      </c>
      <c r="W411">
        <v>490</v>
      </c>
      <c r="X411">
        <v>22.99</v>
      </c>
      <c r="Y411">
        <v>60</v>
      </c>
      <c r="Z411">
        <v>355000</v>
      </c>
      <c r="AA411">
        <v>176400</v>
      </c>
      <c r="AB411">
        <v>142</v>
      </c>
      <c r="AD411" t="s">
        <v>238</v>
      </c>
      <c r="AE411">
        <v>2</v>
      </c>
      <c r="AF411">
        <v>0</v>
      </c>
      <c r="AI411">
        <v>0</v>
      </c>
      <c r="AJ411">
        <v>10</v>
      </c>
      <c r="AK411">
        <v>10</v>
      </c>
      <c r="AL411">
        <v>360</v>
      </c>
      <c r="AM411">
        <v>10</v>
      </c>
      <c r="AN411">
        <v>0</v>
      </c>
      <c r="AO411">
        <v>10</v>
      </c>
      <c r="AP411" t="s">
        <v>80</v>
      </c>
      <c r="AQ411" t="s">
        <v>167</v>
      </c>
      <c r="AR411" t="s">
        <v>86</v>
      </c>
      <c r="AS411" t="s">
        <v>240</v>
      </c>
      <c r="AT411" t="s">
        <v>240</v>
      </c>
      <c r="AU411" t="s">
        <v>240</v>
      </c>
      <c r="AV411" t="s">
        <v>81</v>
      </c>
      <c r="AW411" t="s">
        <v>69</v>
      </c>
      <c r="AX411" t="s">
        <v>126</v>
      </c>
      <c r="AY411" t="s">
        <v>1045</v>
      </c>
      <c r="AZ411" t="s">
        <v>245</v>
      </c>
      <c r="BA411" t="s">
        <v>244</v>
      </c>
      <c r="BB411" t="s">
        <v>264</v>
      </c>
      <c r="BC411" t="s">
        <v>244</v>
      </c>
      <c r="BD411" t="s">
        <v>1049</v>
      </c>
      <c r="BE411" t="s">
        <v>1557</v>
      </c>
      <c r="BF411" t="s">
        <v>86</v>
      </c>
      <c r="BG411" t="s">
        <v>150</v>
      </c>
      <c r="BH411" t="str">
        <f>IF(COUNTIF(工作表1!A:A, $C411)&gt;0, "預購款", "非預購款")</f>
        <v>非預購款</v>
      </c>
    </row>
    <row r="412" spans="1:60" x14ac:dyDescent="0.25">
      <c r="A412" t="s">
        <v>1039</v>
      </c>
      <c r="B412" t="s">
        <v>283</v>
      </c>
      <c r="C412" t="s">
        <v>1040</v>
      </c>
      <c r="D412" t="s">
        <v>1041</v>
      </c>
      <c r="E412" t="s">
        <v>1042</v>
      </c>
      <c r="F412" t="s">
        <v>145</v>
      </c>
      <c r="G412" t="s">
        <v>1043</v>
      </c>
      <c r="H412" t="s">
        <v>119</v>
      </c>
      <c r="I412" t="s">
        <v>88</v>
      </c>
      <c r="J412" t="s">
        <v>89</v>
      </c>
      <c r="K412" t="s">
        <v>69</v>
      </c>
      <c r="L412" t="s">
        <v>1044</v>
      </c>
      <c r="M412" t="s">
        <v>71</v>
      </c>
      <c r="N412" t="s">
        <v>100</v>
      </c>
      <c r="O412" t="s">
        <v>980</v>
      </c>
      <c r="P412" t="s">
        <v>981</v>
      </c>
      <c r="R412" t="s">
        <v>982</v>
      </c>
      <c r="S412" t="s">
        <v>167</v>
      </c>
      <c r="T412" t="s">
        <v>76</v>
      </c>
      <c r="U412" t="s">
        <v>104</v>
      </c>
      <c r="V412" t="s">
        <v>292</v>
      </c>
      <c r="W412">
        <v>490</v>
      </c>
      <c r="X412">
        <v>22.99</v>
      </c>
      <c r="Y412">
        <v>60</v>
      </c>
      <c r="Z412">
        <v>355000</v>
      </c>
      <c r="AA412">
        <v>176400</v>
      </c>
      <c r="AB412">
        <v>142</v>
      </c>
      <c r="AD412" t="s">
        <v>238</v>
      </c>
      <c r="AE412">
        <v>2</v>
      </c>
      <c r="AF412">
        <v>20</v>
      </c>
      <c r="AI412">
        <v>0</v>
      </c>
      <c r="AJ412">
        <v>70</v>
      </c>
      <c r="AK412">
        <v>90</v>
      </c>
      <c r="AL412">
        <v>360</v>
      </c>
      <c r="AM412">
        <v>92</v>
      </c>
      <c r="AN412">
        <v>0</v>
      </c>
      <c r="AO412">
        <v>92</v>
      </c>
      <c r="AP412" t="s">
        <v>80</v>
      </c>
      <c r="AQ412" t="s">
        <v>167</v>
      </c>
      <c r="AR412" t="s">
        <v>86</v>
      </c>
      <c r="AS412" t="s">
        <v>240</v>
      </c>
      <c r="AT412" t="s">
        <v>240</v>
      </c>
      <c r="AU412" t="s">
        <v>240</v>
      </c>
      <c r="AV412" t="s">
        <v>81</v>
      </c>
      <c r="AW412" t="s">
        <v>69</v>
      </c>
      <c r="AX412" t="s">
        <v>126</v>
      </c>
      <c r="AY412" t="s">
        <v>1045</v>
      </c>
      <c r="AZ412" t="s">
        <v>245</v>
      </c>
      <c r="BA412" t="s">
        <v>244</v>
      </c>
      <c r="BB412" t="s">
        <v>264</v>
      </c>
      <c r="BC412" t="s">
        <v>244</v>
      </c>
      <c r="BD412" t="s">
        <v>1050</v>
      </c>
      <c r="BE412" t="s">
        <v>1557</v>
      </c>
      <c r="BF412" t="s">
        <v>86</v>
      </c>
      <c r="BG412" t="s">
        <v>150</v>
      </c>
      <c r="BH412" t="str">
        <f>IF(COUNTIF(工作表1!A:A, $C412)&gt;0, "預購款", "非預購款")</f>
        <v>非預購款</v>
      </c>
    </row>
    <row r="413" spans="1:60" x14ac:dyDescent="0.25">
      <c r="A413" t="s">
        <v>1039</v>
      </c>
      <c r="B413" t="s">
        <v>283</v>
      </c>
      <c r="C413" t="s">
        <v>1040</v>
      </c>
      <c r="D413" t="s">
        <v>1041</v>
      </c>
      <c r="E413" t="s">
        <v>1042</v>
      </c>
      <c r="F413" t="s">
        <v>145</v>
      </c>
      <c r="G413" t="s">
        <v>1043</v>
      </c>
      <c r="H413" t="s">
        <v>130</v>
      </c>
      <c r="I413" t="s">
        <v>88</v>
      </c>
      <c r="J413" t="s">
        <v>89</v>
      </c>
      <c r="K413" t="s">
        <v>69</v>
      </c>
      <c r="L413" t="s">
        <v>1044</v>
      </c>
      <c r="M413" t="s">
        <v>71</v>
      </c>
      <c r="N413" t="s">
        <v>100</v>
      </c>
      <c r="O413" t="s">
        <v>980</v>
      </c>
      <c r="P413" t="s">
        <v>981</v>
      </c>
      <c r="R413" t="s">
        <v>982</v>
      </c>
      <c r="S413" t="s">
        <v>167</v>
      </c>
      <c r="T413" t="s">
        <v>76</v>
      </c>
      <c r="U413" t="s">
        <v>104</v>
      </c>
      <c r="V413" t="s">
        <v>292</v>
      </c>
      <c r="W413">
        <v>490</v>
      </c>
      <c r="X413">
        <v>22.99</v>
      </c>
      <c r="Y413">
        <v>60</v>
      </c>
      <c r="Z413">
        <v>355000</v>
      </c>
      <c r="AA413">
        <v>176400</v>
      </c>
      <c r="AB413">
        <v>142</v>
      </c>
      <c r="AD413" t="s">
        <v>238</v>
      </c>
      <c r="AE413">
        <v>2</v>
      </c>
      <c r="AF413">
        <v>15</v>
      </c>
      <c r="AI413">
        <v>10</v>
      </c>
      <c r="AJ413">
        <v>55</v>
      </c>
      <c r="AK413">
        <v>80</v>
      </c>
      <c r="AL413">
        <v>360</v>
      </c>
      <c r="AM413">
        <v>82</v>
      </c>
      <c r="AN413">
        <v>0</v>
      </c>
      <c r="AO413">
        <v>82</v>
      </c>
      <c r="AP413" t="s">
        <v>80</v>
      </c>
      <c r="AQ413" t="s">
        <v>167</v>
      </c>
      <c r="AR413" t="s">
        <v>86</v>
      </c>
      <c r="AS413" t="s">
        <v>240</v>
      </c>
      <c r="AT413" t="s">
        <v>240</v>
      </c>
      <c r="AU413" t="s">
        <v>240</v>
      </c>
      <c r="AV413" t="s">
        <v>81</v>
      </c>
      <c r="AW413" t="s">
        <v>69</v>
      </c>
      <c r="AX413" t="s">
        <v>126</v>
      </c>
      <c r="AY413" t="s">
        <v>1045</v>
      </c>
      <c r="AZ413" t="s">
        <v>245</v>
      </c>
      <c r="BA413" t="s">
        <v>244</v>
      </c>
      <c r="BB413" t="s">
        <v>264</v>
      </c>
      <c r="BC413" t="s">
        <v>244</v>
      </c>
      <c r="BD413" t="s">
        <v>1051</v>
      </c>
      <c r="BE413" t="s">
        <v>1557</v>
      </c>
      <c r="BF413" t="s">
        <v>86</v>
      </c>
      <c r="BG413" t="s">
        <v>150</v>
      </c>
      <c r="BH413" t="str">
        <f>IF(COUNTIF(工作表1!A:A, $C413)&gt;0, "預購款", "非預購款")</f>
        <v>非預購款</v>
      </c>
    </row>
    <row r="414" spans="1:60" x14ac:dyDescent="0.25">
      <c r="A414" t="s">
        <v>1039</v>
      </c>
      <c r="B414" t="s">
        <v>283</v>
      </c>
      <c r="C414" t="s">
        <v>1040</v>
      </c>
      <c r="D414" t="s">
        <v>1041</v>
      </c>
      <c r="E414" t="s">
        <v>1042</v>
      </c>
      <c r="F414" t="s">
        <v>145</v>
      </c>
      <c r="G414" t="s">
        <v>1043</v>
      </c>
      <c r="H414" t="s">
        <v>132</v>
      </c>
      <c r="I414" t="s">
        <v>88</v>
      </c>
      <c r="J414" t="s">
        <v>89</v>
      </c>
      <c r="K414" t="s">
        <v>69</v>
      </c>
      <c r="L414" t="s">
        <v>1044</v>
      </c>
      <c r="M414" t="s">
        <v>71</v>
      </c>
      <c r="N414" t="s">
        <v>100</v>
      </c>
      <c r="O414" t="s">
        <v>980</v>
      </c>
      <c r="P414" t="s">
        <v>981</v>
      </c>
      <c r="R414" t="s">
        <v>982</v>
      </c>
      <c r="S414" t="s">
        <v>167</v>
      </c>
      <c r="T414" t="s">
        <v>76</v>
      </c>
      <c r="U414" t="s">
        <v>104</v>
      </c>
      <c r="V414" t="s">
        <v>292</v>
      </c>
      <c r="W414">
        <v>490</v>
      </c>
      <c r="X414">
        <v>22.99</v>
      </c>
      <c r="Y414">
        <v>60</v>
      </c>
      <c r="Z414">
        <v>355000</v>
      </c>
      <c r="AA414">
        <v>176400</v>
      </c>
      <c r="AB414">
        <v>142</v>
      </c>
      <c r="AD414" t="s">
        <v>238</v>
      </c>
      <c r="AE414">
        <v>2</v>
      </c>
      <c r="AF414">
        <v>0</v>
      </c>
      <c r="AI414">
        <v>0</v>
      </c>
      <c r="AJ414">
        <v>10</v>
      </c>
      <c r="AK414">
        <v>10</v>
      </c>
      <c r="AL414">
        <v>360</v>
      </c>
      <c r="AM414">
        <v>11</v>
      </c>
      <c r="AN414">
        <v>0</v>
      </c>
      <c r="AO414">
        <v>11</v>
      </c>
      <c r="AP414" t="s">
        <v>80</v>
      </c>
      <c r="AQ414" t="s">
        <v>167</v>
      </c>
      <c r="AR414" t="s">
        <v>86</v>
      </c>
      <c r="AS414" t="s">
        <v>240</v>
      </c>
      <c r="AT414" t="s">
        <v>240</v>
      </c>
      <c r="AU414" t="s">
        <v>240</v>
      </c>
      <c r="AV414" t="s">
        <v>81</v>
      </c>
      <c r="AW414" t="s">
        <v>69</v>
      </c>
      <c r="AX414" t="s">
        <v>126</v>
      </c>
      <c r="AY414" t="s">
        <v>1045</v>
      </c>
      <c r="AZ414" t="s">
        <v>245</v>
      </c>
      <c r="BA414" t="s">
        <v>244</v>
      </c>
      <c r="BB414" t="s">
        <v>264</v>
      </c>
      <c r="BC414" t="s">
        <v>244</v>
      </c>
      <c r="BD414" t="s">
        <v>1052</v>
      </c>
      <c r="BE414" t="s">
        <v>1557</v>
      </c>
      <c r="BF414" t="s">
        <v>86</v>
      </c>
      <c r="BG414" t="s">
        <v>150</v>
      </c>
      <c r="BH414" t="str">
        <f>IF(COUNTIF(工作表1!A:A, $C414)&gt;0, "預購款", "非預購款")</f>
        <v>非預購款</v>
      </c>
    </row>
    <row r="415" spans="1:60" x14ac:dyDescent="0.25">
      <c r="A415" t="s">
        <v>1056</v>
      </c>
      <c r="B415" t="s">
        <v>315</v>
      </c>
      <c r="C415" t="s">
        <v>1057</v>
      </c>
      <c r="D415" t="s">
        <v>1058</v>
      </c>
      <c r="E415" t="s">
        <v>1059</v>
      </c>
      <c r="F415" t="s">
        <v>145</v>
      </c>
      <c r="G415" t="s">
        <v>1060</v>
      </c>
      <c r="H415" t="s">
        <v>273</v>
      </c>
      <c r="I415" t="s">
        <v>134</v>
      </c>
      <c r="J415" t="s">
        <v>135</v>
      </c>
      <c r="K415" t="s">
        <v>69</v>
      </c>
      <c r="L415" t="s">
        <v>1061</v>
      </c>
      <c r="M415" t="s">
        <v>71</v>
      </c>
      <c r="N415" t="s">
        <v>100</v>
      </c>
      <c r="O415" t="s">
        <v>980</v>
      </c>
      <c r="P415" t="s">
        <v>981</v>
      </c>
      <c r="R415" t="s">
        <v>982</v>
      </c>
      <c r="S415" t="s">
        <v>167</v>
      </c>
      <c r="T415" t="s">
        <v>274</v>
      </c>
      <c r="U415" t="s">
        <v>104</v>
      </c>
      <c r="V415" t="s">
        <v>653</v>
      </c>
      <c r="W415">
        <v>590</v>
      </c>
      <c r="X415">
        <v>29.99</v>
      </c>
      <c r="Y415">
        <v>75</v>
      </c>
      <c r="Z415">
        <v>429000</v>
      </c>
      <c r="AA415">
        <v>76700</v>
      </c>
      <c r="AB415">
        <v>240</v>
      </c>
      <c r="AD415" t="s">
        <v>238</v>
      </c>
      <c r="AE415">
        <v>1</v>
      </c>
      <c r="AF415">
        <v>0</v>
      </c>
      <c r="AI415">
        <v>15</v>
      </c>
      <c r="AJ415">
        <v>60</v>
      </c>
      <c r="AK415">
        <v>75</v>
      </c>
      <c r="AL415">
        <v>130</v>
      </c>
      <c r="AM415">
        <v>80</v>
      </c>
      <c r="AN415">
        <v>0</v>
      </c>
      <c r="AO415">
        <v>80</v>
      </c>
      <c r="AP415" t="s">
        <v>80</v>
      </c>
      <c r="AQ415" t="s">
        <v>954</v>
      </c>
      <c r="AS415" t="s">
        <v>86</v>
      </c>
      <c r="AT415" t="s">
        <v>86</v>
      </c>
      <c r="AU415" t="s">
        <v>86</v>
      </c>
      <c r="AV415" t="s">
        <v>1062</v>
      </c>
      <c r="AW415" t="s">
        <v>69</v>
      </c>
      <c r="AX415" t="s">
        <v>738</v>
      </c>
      <c r="AY415" t="s">
        <v>1063</v>
      </c>
      <c r="AZ415" t="s">
        <v>243</v>
      </c>
      <c r="BA415" t="s">
        <v>244</v>
      </c>
      <c r="BB415" t="s">
        <v>244</v>
      </c>
      <c r="BC415" t="s">
        <v>244</v>
      </c>
      <c r="BD415" t="s">
        <v>1558</v>
      </c>
      <c r="BE415" t="s">
        <v>1559</v>
      </c>
      <c r="BF415" t="s">
        <v>672</v>
      </c>
      <c r="BG415" t="s">
        <v>150</v>
      </c>
      <c r="BH415" t="str">
        <f>IF(COUNTIF(工作表1!A:A, $C415)&gt;0, "預購款", "非預購款")</f>
        <v>非預購款</v>
      </c>
    </row>
    <row r="416" spans="1:60" x14ac:dyDescent="0.25">
      <c r="A416" t="s">
        <v>1056</v>
      </c>
      <c r="B416" t="s">
        <v>315</v>
      </c>
      <c r="C416" t="s">
        <v>1057</v>
      </c>
      <c r="D416" t="s">
        <v>1058</v>
      </c>
      <c r="E416" t="s">
        <v>1059</v>
      </c>
      <c r="F416" t="s">
        <v>145</v>
      </c>
      <c r="G416" t="s">
        <v>1060</v>
      </c>
      <c r="H416" t="s">
        <v>501</v>
      </c>
      <c r="I416" t="s">
        <v>134</v>
      </c>
      <c r="J416" t="s">
        <v>135</v>
      </c>
      <c r="K416" t="s">
        <v>69</v>
      </c>
      <c r="L416" t="s">
        <v>1061</v>
      </c>
      <c r="M416" t="s">
        <v>71</v>
      </c>
      <c r="N416" t="s">
        <v>100</v>
      </c>
      <c r="O416" t="s">
        <v>980</v>
      </c>
      <c r="P416" t="s">
        <v>981</v>
      </c>
      <c r="R416" t="s">
        <v>982</v>
      </c>
      <c r="S416" t="s">
        <v>167</v>
      </c>
      <c r="T416" t="s">
        <v>274</v>
      </c>
      <c r="U416" t="s">
        <v>104</v>
      </c>
      <c r="V416" t="s">
        <v>653</v>
      </c>
      <c r="W416">
        <v>590</v>
      </c>
      <c r="X416">
        <v>29.99</v>
      </c>
      <c r="Y416">
        <v>75</v>
      </c>
      <c r="Z416">
        <v>429000</v>
      </c>
      <c r="AA416">
        <v>76700</v>
      </c>
      <c r="AB416">
        <v>240</v>
      </c>
      <c r="AD416" t="s">
        <v>238</v>
      </c>
      <c r="AE416">
        <v>1</v>
      </c>
      <c r="AF416">
        <v>0</v>
      </c>
      <c r="AI416">
        <v>5</v>
      </c>
      <c r="AJ416">
        <v>10</v>
      </c>
      <c r="AK416">
        <v>15</v>
      </c>
      <c r="AL416">
        <v>130</v>
      </c>
      <c r="AM416">
        <v>20</v>
      </c>
      <c r="AN416">
        <v>0</v>
      </c>
      <c r="AO416">
        <v>20</v>
      </c>
      <c r="AP416" t="s">
        <v>80</v>
      </c>
      <c r="AQ416" t="s">
        <v>954</v>
      </c>
      <c r="AS416" t="s">
        <v>86</v>
      </c>
      <c r="AT416" t="s">
        <v>86</v>
      </c>
      <c r="AU416" t="s">
        <v>86</v>
      </c>
      <c r="AV416" t="s">
        <v>1062</v>
      </c>
      <c r="AW416" t="s">
        <v>69</v>
      </c>
      <c r="AX416" t="s">
        <v>738</v>
      </c>
      <c r="AY416" t="s">
        <v>1063</v>
      </c>
      <c r="AZ416" t="s">
        <v>243</v>
      </c>
      <c r="BA416" t="s">
        <v>244</v>
      </c>
      <c r="BB416" t="s">
        <v>244</v>
      </c>
      <c r="BC416" t="s">
        <v>244</v>
      </c>
      <c r="BD416" t="s">
        <v>1560</v>
      </c>
      <c r="BE416" t="s">
        <v>1559</v>
      </c>
      <c r="BF416" t="s">
        <v>672</v>
      </c>
      <c r="BG416" t="s">
        <v>150</v>
      </c>
      <c r="BH416" t="str">
        <f>IF(COUNTIF(工作表1!A:A, $C416)&gt;0, "預購款", "非預購款")</f>
        <v>非預購款</v>
      </c>
    </row>
    <row r="417" spans="1:60" x14ac:dyDescent="0.25">
      <c r="A417" t="s">
        <v>1056</v>
      </c>
      <c r="B417" t="s">
        <v>315</v>
      </c>
      <c r="C417" t="s">
        <v>1057</v>
      </c>
      <c r="D417" t="s">
        <v>1058</v>
      </c>
      <c r="E417" t="s">
        <v>1059</v>
      </c>
      <c r="F417" t="s">
        <v>145</v>
      </c>
      <c r="G417" t="s">
        <v>1060</v>
      </c>
      <c r="H417" t="s">
        <v>280</v>
      </c>
      <c r="I417" t="s">
        <v>134</v>
      </c>
      <c r="J417" t="s">
        <v>135</v>
      </c>
      <c r="K417" t="s">
        <v>69</v>
      </c>
      <c r="L417" t="s">
        <v>1061</v>
      </c>
      <c r="M417" t="s">
        <v>71</v>
      </c>
      <c r="N417" t="s">
        <v>100</v>
      </c>
      <c r="O417" t="s">
        <v>980</v>
      </c>
      <c r="P417" t="s">
        <v>981</v>
      </c>
      <c r="R417" t="s">
        <v>982</v>
      </c>
      <c r="S417" t="s">
        <v>167</v>
      </c>
      <c r="T417" t="s">
        <v>274</v>
      </c>
      <c r="U417" t="s">
        <v>104</v>
      </c>
      <c r="V417" t="s">
        <v>653</v>
      </c>
      <c r="W417">
        <v>590</v>
      </c>
      <c r="X417">
        <v>29.99</v>
      </c>
      <c r="Y417">
        <v>75</v>
      </c>
      <c r="Z417">
        <v>429000</v>
      </c>
      <c r="AA417">
        <v>76700</v>
      </c>
      <c r="AB417">
        <v>240</v>
      </c>
      <c r="AD417" t="s">
        <v>238</v>
      </c>
      <c r="AE417">
        <v>1</v>
      </c>
      <c r="AF417">
        <v>0</v>
      </c>
      <c r="AI417">
        <v>10</v>
      </c>
      <c r="AJ417">
        <v>30</v>
      </c>
      <c r="AK417">
        <v>40</v>
      </c>
      <c r="AL417">
        <v>130</v>
      </c>
      <c r="AM417">
        <v>43</v>
      </c>
      <c r="AN417">
        <v>0</v>
      </c>
      <c r="AO417">
        <v>43</v>
      </c>
      <c r="AP417" t="s">
        <v>80</v>
      </c>
      <c r="AQ417" t="s">
        <v>954</v>
      </c>
      <c r="AS417" t="s">
        <v>86</v>
      </c>
      <c r="AT417" t="s">
        <v>86</v>
      </c>
      <c r="AU417" t="s">
        <v>86</v>
      </c>
      <c r="AV417" t="s">
        <v>1062</v>
      </c>
      <c r="AW417" t="s">
        <v>69</v>
      </c>
      <c r="AX417" t="s">
        <v>738</v>
      </c>
      <c r="AY417" t="s">
        <v>1063</v>
      </c>
      <c r="AZ417" t="s">
        <v>243</v>
      </c>
      <c r="BA417" t="s">
        <v>244</v>
      </c>
      <c r="BB417" t="s">
        <v>244</v>
      </c>
      <c r="BC417" t="s">
        <v>244</v>
      </c>
      <c r="BD417" t="s">
        <v>1561</v>
      </c>
      <c r="BE417" t="s">
        <v>1559</v>
      </c>
      <c r="BF417" t="s">
        <v>672</v>
      </c>
      <c r="BG417" t="s">
        <v>150</v>
      </c>
      <c r="BH417" t="str">
        <f>IF(COUNTIF(工作表1!A:A, $C417)&gt;0, "預購款", "非預購款")</f>
        <v>非預購款</v>
      </c>
    </row>
    <row r="418" spans="1:60" x14ac:dyDescent="0.25">
      <c r="A418" t="s">
        <v>1562</v>
      </c>
      <c r="B418" t="s">
        <v>315</v>
      </c>
      <c r="C418" t="s">
        <v>1563</v>
      </c>
      <c r="D418" t="s">
        <v>1564</v>
      </c>
      <c r="E418" t="s">
        <v>1565</v>
      </c>
      <c r="F418" t="s">
        <v>145</v>
      </c>
      <c r="G418" t="s">
        <v>1566</v>
      </c>
      <c r="H418" t="s">
        <v>119</v>
      </c>
      <c r="I418" t="s">
        <v>134</v>
      </c>
      <c r="J418" t="s">
        <v>135</v>
      </c>
      <c r="K418" t="s">
        <v>80</v>
      </c>
      <c r="L418" t="s">
        <v>1567</v>
      </c>
      <c r="M418" t="s">
        <v>71</v>
      </c>
      <c r="N418" t="s">
        <v>100</v>
      </c>
      <c r="O418" t="s">
        <v>1391</v>
      </c>
      <c r="P418" t="s">
        <v>1392</v>
      </c>
      <c r="R418" t="s">
        <v>1393</v>
      </c>
      <c r="S418" t="s">
        <v>167</v>
      </c>
      <c r="T418" t="s">
        <v>291</v>
      </c>
      <c r="U418" t="s">
        <v>383</v>
      </c>
      <c r="V418" t="s">
        <v>124</v>
      </c>
      <c r="W418">
        <v>690</v>
      </c>
      <c r="X418">
        <v>29.99</v>
      </c>
      <c r="Y418">
        <v>89</v>
      </c>
      <c r="Z418">
        <v>499000</v>
      </c>
      <c r="AA418">
        <v>224250</v>
      </c>
      <c r="AB418">
        <v>350</v>
      </c>
      <c r="AD418" t="s">
        <v>238</v>
      </c>
      <c r="AE418">
        <v>1</v>
      </c>
      <c r="AF418">
        <v>0</v>
      </c>
      <c r="AI418">
        <v>15</v>
      </c>
      <c r="AJ418">
        <v>100</v>
      </c>
      <c r="AK418">
        <v>115</v>
      </c>
      <c r="AL418">
        <v>325</v>
      </c>
      <c r="AM418">
        <v>105</v>
      </c>
      <c r="AN418">
        <v>0</v>
      </c>
      <c r="AO418">
        <v>105</v>
      </c>
      <c r="AP418" t="s">
        <v>80</v>
      </c>
      <c r="AQ418" t="s">
        <v>179</v>
      </c>
      <c r="AT418" t="s">
        <v>240</v>
      </c>
      <c r="AU418" t="s">
        <v>86</v>
      </c>
      <c r="AV418" t="s">
        <v>1568</v>
      </c>
      <c r="AW418" t="s">
        <v>69</v>
      </c>
      <c r="AX418" t="s">
        <v>918</v>
      </c>
      <c r="AY418" t="s">
        <v>1569</v>
      </c>
      <c r="AZ418" t="s">
        <v>244</v>
      </c>
      <c r="BA418" t="s">
        <v>310</v>
      </c>
      <c r="BB418" t="s">
        <v>245</v>
      </c>
      <c r="BC418" t="s">
        <v>244</v>
      </c>
      <c r="BD418" t="s">
        <v>1570</v>
      </c>
      <c r="BE418" t="s">
        <v>1571</v>
      </c>
      <c r="BF418" t="s">
        <v>291</v>
      </c>
      <c r="BG418" t="s">
        <v>110</v>
      </c>
      <c r="BH418" t="str">
        <f>IF(COUNTIF(工作表1!A:A, $C418)&gt;0, "預購款", "非預購款")</f>
        <v>非預購款</v>
      </c>
    </row>
    <row r="419" spans="1:60" x14ac:dyDescent="0.25">
      <c r="A419" t="s">
        <v>1562</v>
      </c>
      <c r="B419" t="s">
        <v>315</v>
      </c>
      <c r="C419" t="s">
        <v>1563</v>
      </c>
      <c r="D419" t="s">
        <v>1564</v>
      </c>
      <c r="E419" t="s">
        <v>1565</v>
      </c>
      <c r="F419" t="s">
        <v>145</v>
      </c>
      <c r="G419" t="s">
        <v>1566</v>
      </c>
      <c r="H419" t="s">
        <v>130</v>
      </c>
      <c r="I419" t="s">
        <v>134</v>
      </c>
      <c r="J419" t="s">
        <v>135</v>
      </c>
      <c r="K419" t="s">
        <v>80</v>
      </c>
      <c r="L419" t="s">
        <v>1567</v>
      </c>
      <c r="M419" t="s">
        <v>71</v>
      </c>
      <c r="N419" t="s">
        <v>100</v>
      </c>
      <c r="O419" t="s">
        <v>1391</v>
      </c>
      <c r="P419" t="s">
        <v>1392</v>
      </c>
      <c r="R419" t="s">
        <v>1393</v>
      </c>
      <c r="S419" t="s">
        <v>167</v>
      </c>
      <c r="T419" t="s">
        <v>291</v>
      </c>
      <c r="U419" t="s">
        <v>383</v>
      </c>
      <c r="V419" t="s">
        <v>124</v>
      </c>
      <c r="W419">
        <v>690</v>
      </c>
      <c r="X419">
        <v>29.99</v>
      </c>
      <c r="Y419">
        <v>89</v>
      </c>
      <c r="Z419">
        <v>499000</v>
      </c>
      <c r="AA419">
        <v>224250</v>
      </c>
      <c r="AB419">
        <v>350</v>
      </c>
      <c r="AD419" t="s">
        <v>238</v>
      </c>
      <c r="AE419">
        <v>1</v>
      </c>
      <c r="AF419">
        <v>0</v>
      </c>
      <c r="AI419">
        <v>15</v>
      </c>
      <c r="AJ419">
        <v>120</v>
      </c>
      <c r="AK419">
        <v>135</v>
      </c>
      <c r="AL419">
        <v>325</v>
      </c>
      <c r="AM419">
        <v>125</v>
      </c>
      <c r="AN419">
        <v>0</v>
      </c>
      <c r="AO419">
        <v>125</v>
      </c>
      <c r="AP419" t="s">
        <v>80</v>
      </c>
      <c r="AQ419" t="s">
        <v>179</v>
      </c>
      <c r="AT419" t="s">
        <v>240</v>
      </c>
      <c r="AU419" t="s">
        <v>86</v>
      </c>
      <c r="AV419" t="s">
        <v>1568</v>
      </c>
      <c r="AW419" t="s">
        <v>69</v>
      </c>
      <c r="AX419" t="s">
        <v>918</v>
      </c>
      <c r="AY419" t="s">
        <v>1569</v>
      </c>
      <c r="AZ419" t="s">
        <v>244</v>
      </c>
      <c r="BA419" t="s">
        <v>310</v>
      </c>
      <c r="BB419" t="s">
        <v>245</v>
      </c>
      <c r="BC419" t="s">
        <v>244</v>
      </c>
      <c r="BD419" t="s">
        <v>1572</v>
      </c>
      <c r="BE419" t="s">
        <v>1571</v>
      </c>
      <c r="BF419" t="s">
        <v>291</v>
      </c>
      <c r="BG419" t="s">
        <v>110</v>
      </c>
      <c r="BH419" t="str">
        <f>IF(COUNTIF(工作表1!A:A, $C419)&gt;0, "預購款", "非預購款")</f>
        <v>非預購款</v>
      </c>
    </row>
    <row r="420" spans="1:60" x14ac:dyDescent="0.25">
      <c r="A420" t="s">
        <v>1562</v>
      </c>
      <c r="B420" t="s">
        <v>315</v>
      </c>
      <c r="C420" t="s">
        <v>1563</v>
      </c>
      <c r="D420" t="s">
        <v>1564</v>
      </c>
      <c r="E420" t="s">
        <v>1565</v>
      </c>
      <c r="F420" t="s">
        <v>145</v>
      </c>
      <c r="G420" t="s">
        <v>1566</v>
      </c>
      <c r="H420" t="s">
        <v>132</v>
      </c>
      <c r="I420" t="s">
        <v>134</v>
      </c>
      <c r="J420" t="s">
        <v>135</v>
      </c>
      <c r="K420" t="s">
        <v>80</v>
      </c>
      <c r="L420" t="s">
        <v>1567</v>
      </c>
      <c r="M420" t="s">
        <v>71</v>
      </c>
      <c r="N420" t="s">
        <v>100</v>
      </c>
      <c r="O420" t="s">
        <v>1391</v>
      </c>
      <c r="P420" t="s">
        <v>1392</v>
      </c>
      <c r="R420" t="s">
        <v>1393</v>
      </c>
      <c r="S420" t="s">
        <v>167</v>
      </c>
      <c r="T420" t="s">
        <v>291</v>
      </c>
      <c r="U420" t="s">
        <v>383</v>
      </c>
      <c r="V420" t="s">
        <v>124</v>
      </c>
      <c r="W420">
        <v>690</v>
      </c>
      <c r="X420">
        <v>29.99</v>
      </c>
      <c r="Y420">
        <v>89</v>
      </c>
      <c r="Z420">
        <v>499000</v>
      </c>
      <c r="AA420">
        <v>224250</v>
      </c>
      <c r="AB420">
        <v>350</v>
      </c>
      <c r="AD420" t="s">
        <v>238</v>
      </c>
      <c r="AE420">
        <v>1</v>
      </c>
      <c r="AF420">
        <v>0</v>
      </c>
      <c r="AI420">
        <v>15</v>
      </c>
      <c r="AJ420">
        <v>60</v>
      </c>
      <c r="AK420">
        <v>75</v>
      </c>
      <c r="AL420">
        <v>325</v>
      </c>
      <c r="AM420">
        <v>65</v>
      </c>
      <c r="AN420">
        <v>0</v>
      </c>
      <c r="AO420">
        <v>65</v>
      </c>
      <c r="AP420" t="s">
        <v>80</v>
      </c>
      <c r="AQ420" t="s">
        <v>179</v>
      </c>
      <c r="AT420" t="s">
        <v>240</v>
      </c>
      <c r="AU420" t="s">
        <v>86</v>
      </c>
      <c r="AV420" t="s">
        <v>1568</v>
      </c>
      <c r="AW420" t="s">
        <v>69</v>
      </c>
      <c r="AX420" t="s">
        <v>918</v>
      </c>
      <c r="AY420" t="s">
        <v>1569</v>
      </c>
      <c r="AZ420" t="s">
        <v>244</v>
      </c>
      <c r="BA420" t="s">
        <v>310</v>
      </c>
      <c r="BB420" t="s">
        <v>245</v>
      </c>
      <c r="BC420" t="s">
        <v>244</v>
      </c>
      <c r="BD420" t="s">
        <v>1573</v>
      </c>
      <c r="BE420" t="s">
        <v>1571</v>
      </c>
      <c r="BF420" t="s">
        <v>291</v>
      </c>
      <c r="BG420" t="s">
        <v>110</v>
      </c>
      <c r="BH420" t="str">
        <f>IF(COUNTIF(工作表1!A:A, $C420)&gt;0, "預購款", "非預購款")</f>
        <v>非預購款</v>
      </c>
    </row>
    <row r="421" spans="1:60" x14ac:dyDescent="0.25">
      <c r="A421" t="s">
        <v>1574</v>
      </c>
      <c r="B421" t="s">
        <v>315</v>
      </c>
      <c r="C421" t="s">
        <v>1575</v>
      </c>
      <c r="D421" t="s">
        <v>1576</v>
      </c>
      <c r="E421" t="s">
        <v>1577</v>
      </c>
      <c r="F421" t="s">
        <v>145</v>
      </c>
      <c r="G421" t="s">
        <v>1578</v>
      </c>
      <c r="H421" t="s">
        <v>119</v>
      </c>
      <c r="I421" t="s">
        <v>97</v>
      </c>
      <c r="J421" t="s">
        <v>98</v>
      </c>
      <c r="K421" t="s">
        <v>69</v>
      </c>
      <c r="L421" t="s">
        <v>1579</v>
      </c>
      <c r="M421" t="s">
        <v>71</v>
      </c>
      <c r="N421" t="s">
        <v>100</v>
      </c>
      <c r="O421" t="s">
        <v>1391</v>
      </c>
      <c r="P421" t="s">
        <v>1392</v>
      </c>
      <c r="R421" t="s">
        <v>1393</v>
      </c>
      <c r="S421" t="s">
        <v>167</v>
      </c>
      <c r="T421" t="s">
        <v>258</v>
      </c>
      <c r="U421" t="s">
        <v>150</v>
      </c>
      <c r="V421" t="s">
        <v>641</v>
      </c>
      <c r="W421">
        <v>790</v>
      </c>
      <c r="X421">
        <v>34.99</v>
      </c>
      <c r="Y421">
        <v>99</v>
      </c>
      <c r="Z421">
        <v>569000</v>
      </c>
      <c r="AA421">
        <v>181700</v>
      </c>
      <c r="AB421">
        <v>190</v>
      </c>
      <c r="AD421" t="s">
        <v>238</v>
      </c>
      <c r="AE421">
        <v>1</v>
      </c>
      <c r="AF421">
        <v>0</v>
      </c>
      <c r="AI421">
        <v>0</v>
      </c>
      <c r="AJ421">
        <v>140</v>
      </c>
      <c r="AK421">
        <v>140</v>
      </c>
      <c r="AL421">
        <v>230</v>
      </c>
      <c r="AM421">
        <v>149</v>
      </c>
      <c r="AN421">
        <v>0</v>
      </c>
      <c r="AO421">
        <v>149</v>
      </c>
      <c r="AP421" t="s">
        <v>80</v>
      </c>
      <c r="AQ421" t="s">
        <v>954</v>
      </c>
      <c r="AR421" t="s">
        <v>261</v>
      </c>
      <c r="AS421" t="s">
        <v>261</v>
      </c>
      <c r="AT421" t="s">
        <v>86</v>
      </c>
      <c r="AU421" t="s">
        <v>86</v>
      </c>
      <c r="AV421" t="s">
        <v>1580</v>
      </c>
      <c r="AW421" t="s">
        <v>69</v>
      </c>
      <c r="AX421" t="s">
        <v>737</v>
      </c>
      <c r="AY421" t="s">
        <v>1581</v>
      </c>
      <c r="AZ421" t="s">
        <v>245</v>
      </c>
      <c r="BA421" t="s">
        <v>244</v>
      </c>
      <c r="BB421" t="s">
        <v>244</v>
      </c>
      <c r="BC421" t="s">
        <v>244</v>
      </c>
      <c r="BD421" t="s">
        <v>1582</v>
      </c>
      <c r="BE421" t="s">
        <v>1583</v>
      </c>
      <c r="BF421" t="s">
        <v>240</v>
      </c>
      <c r="BG421" t="s">
        <v>87</v>
      </c>
      <c r="BH421" t="str">
        <f>IF(COUNTIF(工作表1!A:A, $C421)&gt;0, "預購款", "非預購款")</f>
        <v>非預購款</v>
      </c>
    </row>
    <row r="422" spans="1:60" x14ac:dyDescent="0.25">
      <c r="A422" t="s">
        <v>1574</v>
      </c>
      <c r="B422" t="s">
        <v>315</v>
      </c>
      <c r="C422" t="s">
        <v>1575</v>
      </c>
      <c r="D422" t="s">
        <v>1576</v>
      </c>
      <c r="E422" t="s">
        <v>1577</v>
      </c>
      <c r="F422" t="s">
        <v>145</v>
      </c>
      <c r="G422" t="s">
        <v>1578</v>
      </c>
      <c r="H422" t="s">
        <v>130</v>
      </c>
      <c r="I422" t="s">
        <v>97</v>
      </c>
      <c r="J422" t="s">
        <v>98</v>
      </c>
      <c r="K422" t="s">
        <v>69</v>
      </c>
      <c r="L422" t="s">
        <v>1579</v>
      </c>
      <c r="M422" t="s">
        <v>71</v>
      </c>
      <c r="N422" t="s">
        <v>100</v>
      </c>
      <c r="O422" t="s">
        <v>1391</v>
      </c>
      <c r="P422" t="s">
        <v>1392</v>
      </c>
      <c r="R422" t="s">
        <v>1393</v>
      </c>
      <c r="S422" t="s">
        <v>167</v>
      </c>
      <c r="T422" t="s">
        <v>258</v>
      </c>
      <c r="U422" t="s">
        <v>150</v>
      </c>
      <c r="V422" t="s">
        <v>641</v>
      </c>
      <c r="W422">
        <v>790</v>
      </c>
      <c r="X422">
        <v>34.99</v>
      </c>
      <c r="Y422">
        <v>99</v>
      </c>
      <c r="Z422">
        <v>569000</v>
      </c>
      <c r="AA422">
        <v>181700</v>
      </c>
      <c r="AB422">
        <v>190</v>
      </c>
      <c r="AD422" t="s">
        <v>238</v>
      </c>
      <c r="AE422">
        <v>1</v>
      </c>
      <c r="AF422">
        <v>0</v>
      </c>
      <c r="AI422">
        <v>0</v>
      </c>
      <c r="AJ422">
        <v>90</v>
      </c>
      <c r="AK422">
        <v>90</v>
      </c>
      <c r="AL422">
        <v>230</v>
      </c>
      <c r="AM422">
        <v>100</v>
      </c>
      <c r="AN422">
        <v>0</v>
      </c>
      <c r="AO422">
        <v>100</v>
      </c>
      <c r="AP422" t="s">
        <v>80</v>
      </c>
      <c r="AQ422" t="s">
        <v>954</v>
      </c>
      <c r="AR422" t="s">
        <v>261</v>
      </c>
      <c r="AS422" t="s">
        <v>261</v>
      </c>
      <c r="AT422" t="s">
        <v>86</v>
      </c>
      <c r="AU422" t="s">
        <v>86</v>
      </c>
      <c r="AV422" t="s">
        <v>1580</v>
      </c>
      <c r="AW422" t="s">
        <v>69</v>
      </c>
      <c r="AX422" t="s">
        <v>737</v>
      </c>
      <c r="AY422" t="s">
        <v>1581</v>
      </c>
      <c r="AZ422" t="s">
        <v>245</v>
      </c>
      <c r="BA422" t="s">
        <v>244</v>
      </c>
      <c r="BB422" t="s">
        <v>244</v>
      </c>
      <c r="BC422" t="s">
        <v>244</v>
      </c>
      <c r="BD422" t="s">
        <v>1584</v>
      </c>
      <c r="BE422" t="s">
        <v>1583</v>
      </c>
      <c r="BF422" t="s">
        <v>240</v>
      </c>
      <c r="BG422" t="s">
        <v>87</v>
      </c>
      <c r="BH422" t="str">
        <f>IF(COUNTIF(工作表1!A:A, $C422)&gt;0, "預購款", "非預購款")</f>
        <v>非預購款</v>
      </c>
    </row>
    <row r="423" spans="1:60" x14ac:dyDescent="0.25">
      <c r="A423" t="s">
        <v>1288</v>
      </c>
      <c r="B423" t="s">
        <v>678</v>
      </c>
      <c r="C423" t="s">
        <v>1289</v>
      </c>
      <c r="D423" t="s">
        <v>1290</v>
      </c>
      <c r="E423" t="s">
        <v>1291</v>
      </c>
      <c r="F423" t="s">
        <v>145</v>
      </c>
      <c r="G423" t="s">
        <v>1292</v>
      </c>
      <c r="H423" t="s">
        <v>273</v>
      </c>
      <c r="I423" t="s">
        <v>97</v>
      </c>
      <c r="J423" t="s">
        <v>98</v>
      </c>
      <c r="K423" t="s">
        <v>69</v>
      </c>
      <c r="L423" t="s">
        <v>1293</v>
      </c>
      <c r="M423" t="s">
        <v>71</v>
      </c>
      <c r="N423" t="s">
        <v>100</v>
      </c>
      <c r="O423" t="s">
        <v>1136</v>
      </c>
      <c r="P423" t="s">
        <v>1137</v>
      </c>
      <c r="R423" t="s">
        <v>1138</v>
      </c>
      <c r="S423" t="s">
        <v>167</v>
      </c>
      <c r="T423" t="s">
        <v>274</v>
      </c>
      <c r="U423" t="s">
        <v>104</v>
      </c>
      <c r="V423" t="s">
        <v>1220</v>
      </c>
      <c r="W423">
        <v>490</v>
      </c>
      <c r="X423">
        <v>22.99</v>
      </c>
      <c r="Y423">
        <v>60</v>
      </c>
      <c r="Z423">
        <v>355000</v>
      </c>
      <c r="AA423">
        <v>63700</v>
      </c>
      <c r="AB423">
        <v>102</v>
      </c>
      <c r="AD423" t="s">
        <v>238</v>
      </c>
      <c r="AE423">
        <v>1</v>
      </c>
      <c r="AF423">
        <v>0</v>
      </c>
      <c r="AI423">
        <v>0</v>
      </c>
      <c r="AJ423">
        <v>60</v>
      </c>
      <c r="AK423">
        <v>60</v>
      </c>
      <c r="AL423">
        <v>130</v>
      </c>
      <c r="AM423">
        <v>67</v>
      </c>
      <c r="AN423">
        <v>0</v>
      </c>
      <c r="AO423">
        <v>67</v>
      </c>
      <c r="AP423" t="s">
        <v>80</v>
      </c>
      <c r="AQ423" t="s">
        <v>954</v>
      </c>
      <c r="AT423" t="s">
        <v>86</v>
      </c>
      <c r="AU423" t="s">
        <v>86</v>
      </c>
      <c r="AV423" t="s">
        <v>1294</v>
      </c>
      <c r="AW423" t="s">
        <v>69</v>
      </c>
      <c r="AX423" t="s">
        <v>126</v>
      </c>
      <c r="AY423" t="s">
        <v>1295</v>
      </c>
      <c r="AZ423" t="s">
        <v>244</v>
      </c>
      <c r="BA423" t="s">
        <v>245</v>
      </c>
      <c r="BB423" t="s">
        <v>264</v>
      </c>
      <c r="BC423" t="s">
        <v>264</v>
      </c>
      <c r="BD423" t="s">
        <v>1296</v>
      </c>
      <c r="BE423" t="s">
        <v>1585</v>
      </c>
      <c r="BF423" t="s">
        <v>279</v>
      </c>
      <c r="BG423" t="s">
        <v>110</v>
      </c>
      <c r="BH423" t="str">
        <f>IF(COUNTIF(工作表1!A:A, $C423)&gt;0, "預購款", "非預購款")</f>
        <v>非預購款</v>
      </c>
    </row>
    <row r="424" spans="1:60" x14ac:dyDescent="0.25">
      <c r="A424" t="s">
        <v>1288</v>
      </c>
      <c r="B424" t="s">
        <v>678</v>
      </c>
      <c r="C424" t="s">
        <v>1289</v>
      </c>
      <c r="D424" t="s">
        <v>1290</v>
      </c>
      <c r="E424" t="s">
        <v>1291</v>
      </c>
      <c r="F424" t="s">
        <v>145</v>
      </c>
      <c r="G424" t="s">
        <v>1292</v>
      </c>
      <c r="H424" t="s">
        <v>501</v>
      </c>
      <c r="I424" t="s">
        <v>97</v>
      </c>
      <c r="J424" t="s">
        <v>98</v>
      </c>
      <c r="K424" t="s">
        <v>69</v>
      </c>
      <c r="L424" t="s">
        <v>1293</v>
      </c>
      <c r="M424" t="s">
        <v>71</v>
      </c>
      <c r="N424" t="s">
        <v>100</v>
      </c>
      <c r="O424" t="s">
        <v>1136</v>
      </c>
      <c r="P424" t="s">
        <v>1137</v>
      </c>
      <c r="R424" t="s">
        <v>1138</v>
      </c>
      <c r="S424" t="s">
        <v>167</v>
      </c>
      <c r="T424" t="s">
        <v>274</v>
      </c>
      <c r="U424" t="s">
        <v>104</v>
      </c>
      <c r="V424" t="s">
        <v>1220</v>
      </c>
      <c r="W424">
        <v>490</v>
      </c>
      <c r="X424">
        <v>22.99</v>
      </c>
      <c r="Y424">
        <v>60</v>
      </c>
      <c r="Z424">
        <v>355000</v>
      </c>
      <c r="AA424">
        <v>63700</v>
      </c>
      <c r="AB424">
        <v>102</v>
      </c>
      <c r="AD424" t="s">
        <v>238</v>
      </c>
      <c r="AE424">
        <v>1</v>
      </c>
      <c r="AF424">
        <v>0</v>
      </c>
      <c r="AI424">
        <v>0</v>
      </c>
      <c r="AJ424">
        <v>10</v>
      </c>
      <c r="AK424">
        <v>10</v>
      </c>
      <c r="AL424">
        <v>130</v>
      </c>
      <c r="AM424">
        <v>11</v>
      </c>
      <c r="AN424">
        <v>0</v>
      </c>
      <c r="AO424">
        <v>11</v>
      </c>
      <c r="AP424" t="s">
        <v>80</v>
      </c>
      <c r="AQ424" t="s">
        <v>954</v>
      </c>
      <c r="AT424" t="s">
        <v>86</v>
      </c>
      <c r="AU424" t="s">
        <v>86</v>
      </c>
      <c r="AV424" t="s">
        <v>1294</v>
      </c>
      <c r="AW424" t="s">
        <v>69</v>
      </c>
      <c r="AX424" t="s">
        <v>126</v>
      </c>
      <c r="AY424" t="s">
        <v>1295</v>
      </c>
      <c r="AZ424" t="s">
        <v>244</v>
      </c>
      <c r="BA424" t="s">
        <v>245</v>
      </c>
      <c r="BB424" t="s">
        <v>264</v>
      </c>
      <c r="BC424" t="s">
        <v>264</v>
      </c>
      <c r="BD424" t="s">
        <v>1298</v>
      </c>
      <c r="BE424" t="s">
        <v>1585</v>
      </c>
      <c r="BF424" t="s">
        <v>279</v>
      </c>
      <c r="BG424" t="s">
        <v>110</v>
      </c>
      <c r="BH424" t="str">
        <f>IF(COUNTIF(工作表1!A:A, $C424)&gt;0, "預購款", "非預購款")</f>
        <v>非預購款</v>
      </c>
    </row>
    <row r="425" spans="1:60" x14ac:dyDescent="0.25">
      <c r="A425" t="s">
        <v>1288</v>
      </c>
      <c r="B425" t="s">
        <v>678</v>
      </c>
      <c r="C425" t="s">
        <v>1289</v>
      </c>
      <c r="D425" t="s">
        <v>1290</v>
      </c>
      <c r="E425" t="s">
        <v>1291</v>
      </c>
      <c r="F425" t="s">
        <v>145</v>
      </c>
      <c r="G425" t="s">
        <v>1292</v>
      </c>
      <c r="H425" t="s">
        <v>280</v>
      </c>
      <c r="I425" t="s">
        <v>97</v>
      </c>
      <c r="J425" t="s">
        <v>98</v>
      </c>
      <c r="K425" t="s">
        <v>69</v>
      </c>
      <c r="L425" t="s">
        <v>1293</v>
      </c>
      <c r="M425" t="s">
        <v>71</v>
      </c>
      <c r="N425" t="s">
        <v>100</v>
      </c>
      <c r="O425" t="s">
        <v>1136</v>
      </c>
      <c r="P425" t="s">
        <v>1137</v>
      </c>
      <c r="R425" t="s">
        <v>1138</v>
      </c>
      <c r="S425" t="s">
        <v>167</v>
      </c>
      <c r="T425" t="s">
        <v>274</v>
      </c>
      <c r="U425" t="s">
        <v>104</v>
      </c>
      <c r="V425" t="s">
        <v>1220</v>
      </c>
      <c r="W425">
        <v>490</v>
      </c>
      <c r="X425">
        <v>22.99</v>
      </c>
      <c r="Y425">
        <v>60</v>
      </c>
      <c r="Z425">
        <v>355000</v>
      </c>
      <c r="AA425">
        <v>63700</v>
      </c>
      <c r="AB425">
        <v>102</v>
      </c>
      <c r="AD425" t="s">
        <v>238</v>
      </c>
      <c r="AE425">
        <v>1</v>
      </c>
      <c r="AF425">
        <v>0</v>
      </c>
      <c r="AI425">
        <v>0</v>
      </c>
      <c r="AJ425">
        <v>60</v>
      </c>
      <c r="AK425">
        <v>60</v>
      </c>
      <c r="AL425">
        <v>130</v>
      </c>
      <c r="AM425">
        <v>65</v>
      </c>
      <c r="AN425">
        <v>0</v>
      </c>
      <c r="AO425">
        <v>65</v>
      </c>
      <c r="AP425" t="s">
        <v>80</v>
      </c>
      <c r="AQ425" t="s">
        <v>954</v>
      </c>
      <c r="AT425" t="s">
        <v>86</v>
      </c>
      <c r="AU425" t="s">
        <v>86</v>
      </c>
      <c r="AV425" t="s">
        <v>1294</v>
      </c>
      <c r="AW425" t="s">
        <v>69</v>
      </c>
      <c r="AX425" t="s">
        <v>126</v>
      </c>
      <c r="AY425" t="s">
        <v>1295</v>
      </c>
      <c r="AZ425" t="s">
        <v>244</v>
      </c>
      <c r="BA425" t="s">
        <v>245</v>
      </c>
      <c r="BB425" t="s">
        <v>264</v>
      </c>
      <c r="BC425" t="s">
        <v>264</v>
      </c>
      <c r="BD425" t="s">
        <v>1299</v>
      </c>
      <c r="BE425" t="s">
        <v>1585</v>
      </c>
      <c r="BF425" t="s">
        <v>279</v>
      </c>
      <c r="BG425" t="s">
        <v>110</v>
      </c>
      <c r="BH425" t="str">
        <f>IF(COUNTIF(工作表1!A:A, $C425)&gt;0, "預購款", "非預購款")</f>
        <v>非預購款</v>
      </c>
    </row>
    <row r="426" spans="1:60" x14ac:dyDescent="0.25">
      <c r="A426" t="s">
        <v>1614</v>
      </c>
      <c r="B426" t="s">
        <v>315</v>
      </c>
      <c r="C426" t="s">
        <v>1615</v>
      </c>
      <c r="D426" t="s">
        <v>1616</v>
      </c>
      <c r="E426" t="s">
        <v>1617</v>
      </c>
      <c r="F426" t="s">
        <v>145</v>
      </c>
      <c r="G426" t="s">
        <v>1618</v>
      </c>
      <c r="H426" t="s">
        <v>66</v>
      </c>
      <c r="I426" t="s">
        <v>88</v>
      </c>
      <c r="J426" t="s">
        <v>89</v>
      </c>
      <c r="K426" t="s">
        <v>69</v>
      </c>
      <c r="L426" t="s">
        <v>1619</v>
      </c>
      <c r="M426" t="s">
        <v>71</v>
      </c>
      <c r="N426" t="s">
        <v>100</v>
      </c>
      <c r="O426" t="s">
        <v>1391</v>
      </c>
      <c r="P426" t="s">
        <v>1392</v>
      </c>
      <c r="R426" t="s">
        <v>1586</v>
      </c>
      <c r="S426" t="s">
        <v>167</v>
      </c>
      <c r="T426" t="s">
        <v>76</v>
      </c>
      <c r="U426" t="s">
        <v>104</v>
      </c>
      <c r="V426" t="s">
        <v>1620</v>
      </c>
      <c r="W426">
        <v>890</v>
      </c>
      <c r="X426">
        <v>39.99</v>
      </c>
      <c r="Y426">
        <v>115</v>
      </c>
      <c r="Z426">
        <v>639000</v>
      </c>
      <c r="AA426">
        <v>356000</v>
      </c>
      <c r="AB426">
        <v>274</v>
      </c>
      <c r="AD426" t="s">
        <v>238</v>
      </c>
      <c r="AE426">
        <v>1</v>
      </c>
      <c r="AF426">
        <v>20</v>
      </c>
      <c r="AI426">
        <v>200</v>
      </c>
      <c r="AJ426">
        <v>180</v>
      </c>
      <c r="AK426">
        <v>400</v>
      </c>
      <c r="AL426">
        <v>400</v>
      </c>
      <c r="AM426">
        <v>390</v>
      </c>
      <c r="AN426">
        <v>0</v>
      </c>
      <c r="AO426">
        <v>390</v>
      </c>
      <c r="AP426" t="s">
        <v>80</v>
      </c>
      <c r="AQ426" t="s">
        <v>179</v>
      </c>
      <c r="AR426" t="s">
        <v>86</v>
      </c>
      <c r="AS426" t="s">
        <v>86</v>
      </c>
      <c r="AT426" t="s">
        <v>264</v>
      </c>
      <c r="AU426" t="s">
        <v>264</v>
      </c>
      <c r="AV426" t="s">
        <v>1587</v>
      </c>
      <c r="AW426" t="s">
        <v>69</v>
      </c>
      <c r="AX426" t="s">
        <v>1603</v>
      </c>
      <c r="AY426" t="s">
        <v>1604</v>
      </c>
      <c r="AZ426" t="s">
        <v>245</v>
      </c>
      <c r="BA426" t="s">
        <v>243</v>
      </c>
      <c r="BB426" t="s">
        <v>244</v>
      </c>
      <c r="BC426" t="s">
        <v>244</v>
      </c>
      <c r="BD426" t="s">
        <v>1621</v>
      </c>
      <c r="BE426" t="s">
        <v>1622</v>
      </c>
      <c r="BF426" t="s">
        <v>86</v>
      </c>
      <c r="BG426" t="s">
        <v>150</v>
      </c>
      <c r="BH426" t="str">
        <f>IF(COUNTIF(工作表1!A:A, $C426)&gt;0, "預購款", "非預購款")</f>
        <v>非預購款</v>
      </c>
    </row>
    <row r="427" spans="1:60" x14ac:dyDescent="0.25">
      <c r="A427" t="s">
        <v>739</v>
      </c>
      <c r="B427" t="s">
        <v>488</v>
      </c>
      <c r="C427" t="s">
        <v>740</v>
      </c>
      <c r="D427" t="s">
        <v>741</v>
      </c>
      <c r="E427" t="s">
        <v>742</v>
      </c>
      <c r="F427" t="s">
        <v>95</v>
      </c>
      <c r="G427" t="s">
        <v>743</v>
      </c>
      <c r="H427" t="s">
        <v>132</v>
      </c>
      <c r="I427" t="s">
        <v>120</v>
      </c>
      <c r="J427" t="s">
        <v>121</v>
      </c>
      <c r="K427" t="s">
        <v>69</v>
      </c>
      <c r="L427" t="s">
        <v>744</v>
      </c>
      <c r="M427" t="s">
        <v>71</v>
      </c>
      <c r="N427" t="s">
        <v>100</v>
      </c>
      <c r="O427" t="s">
        <v>101</v>
      </c>
      <c r="P427" t="s">
        <v>102</v>
      </c>
      <c r="R427" t="s">
        <v>734</v>
      </c>
      <c r="S427" t="s">
        <v>103</v>
      </c>
      <c r="T427" t="s">
        <v>76</v>
      </c>
      <c r="U427" t="s">
        <v>104</v>
      </c>
      <c r="V427" t="s">
        <v>292</v>
      </c>
      <c r="W427">
        <v>390</v>
      </c>
      <c r="X427">
        <v>16.989999999999998</v>
      </c>
      <c r="Y427">
        <v>49</v>
      </c>
      <c r="Z427">
        <v>279000</v>
      </c>
      <c r="AA427">
        <v>7800</v>
      </c>
      <c r="AB427">
        <v>150</v>
      </c>
      <c r="AD427" t="s">
        <v>238</v>
      </c>
      <c r="AE427">
        <v>3</v>
      </c>
      <c r="AF427">
        <v>0</v>
      </c>
      <c r="AI427">
        <v>0</v>
      </c>
      <c r="AJ427">
        <v>3</v>
      </c>
      <c r="AK427">
        <v>3</v>
      </c>
      <c r="AL427">
        <v>20</v>
      </c>
      <c r="AM427">
        <v>3</v>
      </c>
      <c r="AN427">
        <v>0</v>
      </c>
      <c r="AO427">
        <v>3</v>
      </c>
      <c r="AP427" t="s">
        <v>80</v>
      </c>
      <c r="AQ427" t="s">
        <v>582</v>
      </c>
      <c r="AS427" t="s">
        <v>240</v>
      </c>
      <c r="AT427" t="s">
        <v>86</v>
      </c>
      <c r="AU427" t="s">
        <v>86</v>
      </c>
      <c r="AV427" t="s">
        <v>745</v>
      </c>
      <c r="AW427" t="s">
        <v>69</v>
      </c>
      <c r="AX427" t="s">
        <v>746</v>
      </c>
      <c r="AY427" t="s">
        <v>747</v>
      </c>
      <c r="AZ427" t="s">
        <v>243</v>
      </c>
      <c r="BA427" t="s">
        <v>244</v>
      </c>
      <c r="BB427" t="s">
        <v>264</v>
      </c>
      <c r="BC427" t="s">
        <v>244</v>
      </c>
      <c r="BD427" t="s">
        <v>751</v>
      </c>
      <c r="BE427" t="s">
        <v>1632</v>
      </c>
      <c r="BF427" t="s">
        <v>86</v>
      </c>
      <c r="BG427" t="s">
        <v>150</v>
      </c>
      <c r="BH427" t="str">
        <f>IF(COUNTIF(工作表1!A:A, $C427)&gt;0, "預購款", "非預購款")</f>
        <v>非預購款</v>
      </c>
    </row>
    <row r="428" spans="1:60" x14ac:dyDescent="0.25">
      <c r="A428" t="s">
        <v>739</v>
      </c>
      <c r="B428" t="s">
        <v>488</v>
      </c>
      <c r="C428" t="s">
        <v>740</v>
      </c>
      <c r="D428" t="s">
        <v>741</v>
      </c>
      <c r="E428" t="s">
        <v>742</v>
      </c>
      <c r="F428" t="s">
        <v>95</v>
      </c>
      <c r="G428" t="s">
        <v>743</v>
      </c>
      <c r="H428" t="s">
        <v>119</v>
      </c>
      <c r="I428" t="s">
        <v>97</v>
      </c>
      <c r="J428" t="s">
        <v>98</v>
      </c>
      <c r="K428" t="s">
        <v>69</v>
      </c>
      <c r="L428" t="s">
        <v>744</v>
      </c>
      <c r="M428" t="s">
        <v>71</v>
      </c>
      <c r="N428" t="s">
        <v>100</v>
      </c>
      <c r="O428" t="s">
        <v>101</v>
      </c>
      <c r="P428" t="s">
        <v>102</v>
      </c>
      <c r="R428" t="s">
        <v>734</v>
      </c>
      <c r="S428" t="s">
        <v>103</v>
      </c>
      <c r="T428" t="s">
        <v>76</v>
      </c>
      <c r="U428" t="s">
        <v>104</v>
      </c>
      <c r="V428" t="s">
        <v>292</v>
      </c>
      <c r="W428">
        <v>390</v>
      </c>
      <c r="X428">
        <v>16.989999999999998</v>
      </c>
      <c r="Y428">
        <v>49</v>
      </c>
      <c r="Z428">
        <v>279000</v>
      </c>
      <c r="AA428">
        <v>7800</v>
      </c>
      <c r="AB428">
        <v>150</v>
      </c>
      <c r="AD428" t="s">
        <v>238</v>
      </c>
      <c r="AE428">
        <v>3</v>
      </c>
      <c r="AF428">
        <v>0</v>
      </c>
      <c r="AI428">
        <v>0</v>
      </c>
      <c r="AJ428">
        <v>11</v>
      </c>
      <c r="AK428">
        <v>11</v>
      </c>
      <c r="AL428">
        <v>20</v>
      </c>
      <c r="AM428">
        <v>11</v>
      </c>
      <c r="AN428">
        <v>0</v>
      </c>
      <c r="AO428">
        <v>11</v>
      </c>
      <c r="AP428" t="s">
        <v>80</v>
      </c>
      <c r="AQ428" t="s">
        <v>582</v>
      </c>
      <c r="AS428" t="s">
        <v>240</v>
      </c>
      <c r="AT428" t="s">
        <v>86</v>
      </c>
      <c r="AU428" t="s">
        <v>86</v>
      </c>
      <c r="AV428" t="s">
        <v>745</v>
      </c>
      <c r="AW428" t="s">
        <v>69</v>
      </c>
      <c r="AX428" t="s">
        <v>746</v>
      </c>
      <c r="AY428" t="s">
        <v>747</v>
      </c>
      <c r="AZ428" t="s">
        <v>243</v>
      </c>
      <c r="BA428" t="s">
        <v>244</v>
      </c>
      <c r="BB428" t="s">
        <v>264</v>
      </c>
      <c r="BC428" t="s">
        <v>244</v>
      </c>
      <c r="BD428" t="s">
        <v>752</v>
      </c>
      <c r="BE428" t="s">
        <v>1632</v>
      </c>
      <c r="BF428" t="s">
        <v>86</v>
      </c>
      <c r="BG428" t="s">
        <v>150</v>
      </c>
      <c r="BH428" t="str">
        <f>IF(COUNTIF(工作表1!A:A, $C428)&gt;0, "預購款", "非預購款")</f>
        <v>非預購款</v>
      </c>
    </row>
    <row r="429" spans="1:60" x14ac:dyDescent="0.25">
      <c r="A429" t="s">
        <v>739</v>
      </c>
      <c r="B429" t="s">
        <v>488</v>
      </c>
      <c r="C429" t="s">
        <v>740</v>
      </c>
      <c r="D429" t="s">
        <v>741</v>
      </c>
      <c r="E429" t="s">
        <v>742</v>
      </c>
      <c r="F429" t="s">
        <v>95</v>
      </c>
      <c r="G429" t="s">
        <v>743</v>
      </c>
      <c r="H429" t="s">
        <v>132</v>
      </c>
      <c r="I429" t="s">
        <v>97</v>
      </c>
      <c r="J429" t="s">
        <v>98</v>
      </c>
      <c r="K429" t="s">
        <v>69</v>
      </c>
      <c r="L429" t="s">
        <v>744</v>
      </c>
      <c r="M429" t="s">
        <v>71</v>
      </c>
      <c r="N429" t="s">
        <v>100</v>
      </c>
      <c r="O429" t="s">
        <v>101</v>
      </c>
      <c r="P429" t="s">
        <v>102</v>
      </c>
      <c r="R429" t="s">
        <v>734</v>
      </c>
      <c r="S429" t="s">
        <v>103</v>
      </c>
      <c r="T429" t="s">
        <v>76</v>
      </c>
      <c r="U429" t="s">
        <v>104</v>
      </c>
      <c r="V429" t="s">
        <v>292</v>
      </c>
      <c r="W429">
        <v>390</v>
      </c>
      <c r="X429">
        <v>16.989999999999998</v>
      </c>
      <c r="Y429">
        <v>49</v>
      </c>
      <c r="Z429">
        <v>279000</v>
      </c>
      <c r="AA429">
        <v>7800</v>
      </c>
      <c r="AB429">
        <v>150</v>
      </c>
      <c r="AD429" t="s">
        <v>238</v>
      </c>
      <c r="AE429">
        <v>3</v>
      </c>
      <c r="AF429">
        <v>0</v>
      </c>
      <c r="AI429">
        <v>0</v>
      </c>
      <c r="AJ429">
        <v>3</v>
      </c>
      <c r="AK429">
        <v>3</v>
      </c>
      <c r="AL429">
        <v>20</v>
      </c>
      <c r="AM429">
        <v>3</v>
      </c>
      <c r="AN429">
        <v>0</v>
      </c>
      <c r="AO429">
        <v>3</v>
      </c>
      <c r="AP429" t="s">
        <v>80</v>
      </c>
      <c r="AQ429" t="s">
        <v>582</v>
      </c>
      <c r="AS429" t="s">
        <v>240</v>
      </c>
      <c r="AT429" t="s">
        <v>86</v>
      </c>
      <c r="AU429" t="s">
        <v>86</v>
      </c>
      <c r="AV429" t="s">
        <v>745</v>
      </c>
      <c r="AW429" t="s">
        <v>69</v>
      </c>
      <c r="AX429" t="s">
        <v>746</v>
      </c>
      <c r="AY429" t="s">
        <v>747</v>
      </c>
      <c r="AZ429" t="s">
        <v>243</v>
      </c>
      <c r="BA429" t="s">
        <v>244</v>
      </c>
      <c r="BB429" t="s">
        <v>264</v>
      </c>
      <c r="BC429" t="s">
        <v>244</v>
      </c>
      <c r="BD429" t="s">
        <v>754</v>
      </c>
      <c r="BE429" t="s">
        <v>1632</v>
      </c>
      <c r="BF429" t="s">
        <v>86</v>
      </c>
      <c r="BG429" t="s">
        <v>150</v>
      </c>
      <c r="BH429" t="str">
        <f>IF(COUNTIF(工作表1!A:A, $C429)&gt;0, "預購款", "非預購款")</f>
        <v>非預購款</v>
      </c>
    </row>
    <row r="430" spans="1:60" x14ac:dyDescent="0.25">
      <c r="A430" t="s">
        <v>739</v>
      </c>
      <c r="B430" t="s">
        <v>488</v>
      </c>
      <c r="C430" t="s">
        <v>740</v>
      </c>
      <c r="D430" t="s">
        <v>741</v>
      </c>
      <c r="E430" t="s">
        <v>742</v>
      </c>
      <c r="F430" t="s">
        <v>95</v>
      </c>
      <c r="G430" t="s">
        <v>743</v>
      </c>
      <c r="H430" t="s">
        <v>132</v>
      </c>
      <c r="I430" t="s">
        <v>214</v>
      </c>
      <c r="J430" t="s">
        <v>215</v>
      </c>
      <c r="K430" t="s">
        <v>69</v>
      </c>
      <c r="L430" t="s">
        <v>744</v>
      </c>
      <c r="M430" t="s">
        <v>71</v>
      </c>
      <c r="N430" t="s">
        <v>100</v>
      </c>
      <c r="O430" t="s">
        <v>101</v>
      </c>
      <c r="P430" t="s">
        <v>102</v>
      </c>
      <c r="R430" t="s">
        <v>734</v>
      </c>
      <c r="S430" t="s">
        <v>103</v>
      </c>
      <c r="T430" t="s">
        <v>76</v>
      </c>
      <c r="U430" t="s">
        <v>104</v>
      </c>
      <c r="V430" t="s">
        <v>292</v>
      </c>
      <c r="W430">
        <v>390</v>
      </c>
      <c r="X430">
        <v>16.989999999999998</v>
      </c>
      <c r="Y430">
        <v>49</v>
      </c>
      <c r="Z430">
        <v>279000</v>
      </c>
      <c r="AA430">
        <v>7800</v>
      </c>
      <c r="AB430">
        <v>150</v>
      </c>
      <c r="AD430" t="s">
        <v>238</v>
      </c>
      <c r="AE430">
        <v>3</v>
      </c>
      <c r="AF430">
        <v>0</v>
      </c>
      <c r="AI430">
        <v>0</v>
      </c>
      <c r="AJ430">
        <v>3</v>
      </c>
      <c r="AK430">
        <v>3</v>
      </c>
      <c r="AL430">
        <v>20</v>
      </c>
      <c r="AM430">
        <v>3</v>
      </c>
      <c r="AN430">
        <v>0</v>
      </c>
      <c r="AO430">
        <v>3</v>
      </c>
      <c r="AP430" t="s">
        <v>80</v>
      </c>
      <c r="AQ430" t="s">
        <v>582</v>
      </c>
      <c r="AS430" t="s">
        <v>240</v>
      </c>
      <c r="AT430" t="s">
        <v>86</v>
      </c>
      <c r="AU430" t="s">
        <v>86</v>
      </c>
      <c r="AV430" t="s">
        <v>745</v>
      </c>
      <c r="AW430" t="s">
        <v>69</v>
      </c>
      <c r="AX430" t="s">
        <v>746</v>
      </c>
      <c r="AY430" t="s">
        <v>747</v>
      </c>
      <c r="AZ430" t="s">
        <v>243</v>
      </c>
      <c r="BA430" t="s">
        <v>244</v>
      </c>
      <c r="BB430" t="s">
        <v>264</v>
      </c>
      <c r="BC430" t="s">
        <v>244</v>
      </c>
      <c r="BD430" t="s">
        <v>757</v>
      </c>
      <c r="BE430" t="s">
        <v>1632</v>
      </c>
      <c r="BF430" t="s">
        <v>86</v>
      </c>
      <c r="BG430" t="s">
        <v>150</v>
      </c>
      <c r="BH430" t="str">
        <f>IF(COUNTIF(工作表1!A:A, $C430)&gt;0, "預購款", "非預購款")</f>
        <v>非預購款</v>
      </c>
    </row>
    <row r="431" spans="1:60" x14ac:dyDescent="0.25">
      <c r="A431" t="s">
        <v>702</v>
      </c>
      <c r="B431" t="s">
        <v>60</v>
      </c>
      <c r="C431" t="s">
        <v>703</v>
      </c>
      <c r="D431" t="s">
        <v>704</v>
      </c>
      <c r="E431" t="s">
        <v>705</v>
      </c>
      <c r="F431" t="s">
        <v>521</v>
      </c>
      <c r="G431" t="s">
        <v>706</v>
      </c>
      <c r="H431" t="s">
        <v>119</v>
      </c>
      <c r="I431" t="s">
        <v>162</v>
      </c>
      <c r="J431" t="s">
        <v>163</v>
      </c>
      <c r="K431" t="s">
        <v>69</v>
      </c>
      <c r="L431" t="s">
        <v>707</v>
      </c>
      <c r="M431" t="s">
        <v>71</v>
      </c>
      <c r="N431" t="s">
        <v>72</v>
      </c>
      <c r="O431" t="s">
        <v>708</v>
      </c>
      <c r="P431" t="s">
        <v>709</v>
      </c>
      <c r="R431" t="s">
        <v>710</v>
      </c>
      <c r="S431" t="s">
        <v>142</v>
      </c>
      <c r="T431" t="s">
        <v>76</v>
      </c>
      <c r="U431" t="s">
        <v>383</v>
      </c>
      <c r="V431" t="s">
        <v>384</v>
      </c>
      <c r="W431">
        <v>990</v>
      </c>
      <c r="X431">
        <v>39.99</v>
      </c>
      <c r="Y431">
        <v>129</v>
      </c>
      <c r="Z431">
        <v>709000</v>
      </c>
      <c r="AA431">
        <v>36630</v>
      </c>
      <c r="AB431">
        <v>496</v>
      </c>
      <c r="AD431" t="s">
        <v>238</v>
      </c>
      <c r="AE431">
        <v>2</v>
      </c>
      <c r="AF431">
        <v>0</v>
      </c>
      <c r="AI431">
        <v>0</v>
      </c>
      <c r="AJ431">
        <v>9</v>
      </c>
      <c r="AK431">
        <v>9</v>
      </c>
      <c r="AL431">
        <v>37</v>
      </c>
      <c r="AM431">
        <v>9</v>
      </c>
      <c r="AN431">
        <v>0</v>
      </c>
      <c r="AO431">
        <v>9</v>
      </c>
      <c r="AP431" t="s">
        <v>80</v>
      </c>
      <c r="AQ431" t="s">
        <v>582</v>
      </c>
      <c r="AR431" t="s">
        <v>261</v>
      </c>
      <c r="AT431" t="s">
        <v>86</v>
      </c>
      <c r="AU431" t="s">
        <v>86</v>
      </c>
      <c r="AV431" t="s">
        <v>81</v>
      </c>
      <c r="AW431" t="s">
        <v>69</v>
      </c>
      <c r="AX431" t="s">
        <v>387</v>
      </c>
      <c r="AY431" t="s">
        <v>711</v>
      </c>
      <c r="AZ431" t="s">
        <v>244</v>
      </c>
      <c r="BA431" t="s">
        <v>244</v>
      </c>
      <c r="BB431" t="s">
        <v>243</v>
      </c>
      <c r="BC431" t="s">
        <v>245</v>
      </c>
      <c r="BD431" t="s">
        <v>712</v>
      </c>
      <c r="BE431" t="s">
        <v>1633</v>
      </c>
      <c r="BF431" t="s">
        <v>86</v>
      </c>
      <c r="BG431" t="s">
        <v>110</v>
      </c>
      <c r="BH431" t="str">
        <f>IF(COUNTIF(工作表1!A:A, $C431)&gt;0, "預購款", "非預購款")</f>
        <v>非預購款</v>
      </c>
    </row>
    <row r="432" spans="1:60" x14ac:dyDescent="0.25">
      <c r="A432" t="s">
        <v>702</v>
      </c>
      <c r="B432" t="s">
        <v>60</v>
      </c>
      <c r="C432" t="s">
        <v>703</v>
      </c>
      <c r="D432" t="s">
        <v>704</v>
      </c>
      <c r="E432" t="s">
        <v>705</v>
      </c>
      <c r="F432" t="s">
        <v>521</v>
      </c>
      <c r="G432" t="s">
        <v>706</v>
      </c>
      <c r="H432" t="s">
        <v>132</v>
      </c>
      <c r="I432" t="s">
        <v>162</v>
      </c>
      <c r="J432" t="s">
        <v>163</v>
      </c>
      <c r="K432" t="s">
        <v>69</v>
      </c>
      <c r="L432" t="s">
        <v>707</v>
      </c>
      <c r="M432" t="s">
        <v>71</v>
      </c>
      <c r="N432" t="s">
        <v>72</v>
      </c>
      <c r="O432" t="s">
        <v>708</v>
      </c>
      <c r="P432" t="s">
        <v>709</v>
      </c>
      <c r="R432" t="s">
        <v>710</v>
      </c>
      <c r="S432" t="s">
        <v>142</v>
      </c>
      <c r="T432" t="s">
        <v>76</v>
      </c>
      <c r="U432" t="s">
        <v>383</v>
      </c>
      <c r="V432" t="s">
        <v>384</v>
      </c>
      <c r="W432">
        <v>990</v>
      </c>
      <c r="X432">
        <v>39.99</v>
      </c>
      <c r="Y432">
        <v>129</v>
      </c>
      <c r="Z432">
        <v>709000</v>
      </c>
      <c r="AA432">
        <v>36630</v>
      </c>
      <c r="AB432">
        <v>496</v>
      </c>
      <c r="AD432" t="s">
        <v>238</v>
      </c>
      <c r="AE432">
        <v>2</v>
      </c>
      <c r="AF432">
        <v>0</v>
      </c>
      <c r="AI432">
        <v>0</v>
      </c>
      <c r="AJ432">
        <v>2</v>
      </c>
      <c r="AK432">
        <v>2</v>
      </c>
      <c r="AL432">
        <v>37</v>
      </c>
      <c r="AM432">
        <v>2</v>
      </c>
      <c r="AN432">
        <v>0</v>
      </c>
      <c r="AO432">
        <v>2</v>
      </c>
      <c r="AP432" t="s">
        <v>80</v>
      </c>
      <c r="AQ432" t="s">
        <v>582</v>
      </c>
      <c r="AR432" t="s">
        <v>261</v>
      </c>
      <c r="AT432" t="s">
        <v>86</v>
      </c>
      <c r="AU432" t="s">
        <v>86</v>
      </c>
      <c r="AV432" t="s">
        <v>81</v>
      </c>
      <c r="AW432" t="s">
        <v>69</v>
      </c>
      <c r="AX432" t="s">
        <v>387</v>
      </c>
      <c r="AY432" t="s">
        <v>711</v>
      </c>
      <c r="AZ432" t="s">
        <v>244</v>
      </c>
      <c r="BA432" t="s">
        <v>244</v>
      </c>
      <c r="BB432" t="s">
        <v>243</v>
      </c>
      <c r="BC432" t="s">
        <v>245</v>
      </c>
      <c r="BD432" t="s">
        <v>715</v>
      </c>
      <c r="BE432" t="s">
        <v>1633</v>
      </c>
      <c r="BF432" t="s">
        <v>86</v>
      </c>
      <c r="BG432" t="s">
        <v>110</v>
      </c>
      <c r="BH432" t="str">
        <f>IF(COUNTIF(工作表1!A:A, $C432)&gt;0, "預購款", "非預購款")</f>
        <v>非預購款</v>
      </c>
    </row>
    <row r="433" spans="1:60" x14ac:dyDescent="0.25">
      <c r="A433" t="s">
        <v>702</v>
      </c>
      <c r="B433" t="s">
        <v>60</v>
      </c>
      <c r="C433" t="s">
        <v>703</v>
      </c>
      <c r="D433" t="s">
        <v>704</v>
      </c>
      <c r="E433" t="s">
        <v>705</v>
      </c>
      <c r="F433" t="s">
        <v>521</v>
      </c>
      <c r="G433" t="s">
        <v>706</v>
      </c>
      <c r="H433" t="s">
        <v>119</v>
      </c>
      <c r="I433" t="s">
        <v>88</v>
      </c>
      <c r="J433" t="s">
        <v>89</v>
      </c>
      <c r="K433" t="s">
        <v>69</v>
      </c>
      <c r="L433" t="s">
        <v>707</v>
      </c>
      <c r="M433" t="s">
        <v>71</v>
      </c>
      <c r="N433" t="s">
        <v>72</v>
      </c>
      <c r="O433" t="s">
        <v>708</v>
      </c>
      <c r="P433" t="s">
        <v>709</v>
      </c>
      <c r="R433" t="s">
        <v>710</v>
      </c>
      <c r="S433" t="s">
        <v>142</v>
      </c>
      <c r="T433" t="s">
        <v>76</v>
      </c>
      <c r="U433" t="s">
        <v>383</v>
      </c>
      <c r="V433" t="s">
        <v>384</v>
      </c>
      <c r="W433">
        <v>990</v>
      </c>
      <c r="X433">
        <v>39.99</v>
      </c>
      <c r="Y433">
        <v>129</v>
      </c>
      <c r="Z433">
        <v>709000</v>
      </c>
      <c r="AA433">
        <v>36630</v>
      </c>
      <c r="AB433">
        <v>496</v>
      </c>
      <c r="AD433" t="s">
        <v>238</v>
      </c>
      <c r="AE433">
        <v>2</v>
      </c>
      <c r="AF433">
        <v>0</v>
      </c>
      <c r="AI433">
        <v>0</v>
      </c>
      <c r="AJ433">
        <v>12</v>
      </c>
      <c r="AK433">
        <v>12</v>
      </c>
      <c r="AL433">
        <v>37</v>
      </c>
      <c r="AM433">
        <v>12</v>
      </c>
      <c r="AN433">
        <v>0</v>
      </c>
      <c r="AO433">
        <v>12</v>
      </c>
      <c r="AP433" t="s">
        <v>80</v>
      </c>
      <c r="AQ433" t="s">
        <v>582</v>
      </c>
      <c r="AR433" t="s">
        <v>261</v>
      </c>
      <c r="AT433" t="s">
        <v>86</v>
      </c>
      <c r="AU433" t="s">
        <v>86</v>
      </c>
      <c r="AV433" t="s">
        <v>81</v>
      </c>
      <c r="AW433" t="s">
        <v>69</v>
      </c>
      <c r="AX433" t="s">
        <v>387</v>
      </c>
      <c r="AY433" t="s">
        <v>711</v>
      </c>
      <c r="AZ433" t="s">
        <v>244</v>
      </c>
      <c r="BA433" t="s">
        <v>244</v>
      </c>
      <c r="BB433" t="s">
        <v>243</v>
      </c>
      <c r="BC433" t="s">
        <v>245</v>
      </c>
      <c r="BD433" t="s">
        <v>716</v>
      </c>
      <c r="BE433" t="s">
        <v>1633</v>
      </c>
      <c r="BF433" t="s">
        <v>86</v>
      </c>
      <c r="BG433" t="s">
        <v>110</v>
      </c>
      <c r="BH433" t="str">
        <f>IF(COUNTIF(工作表1!A:A, $C433)&gt;0, "預購款", "非預購款")</f>
        <v>非預購款</v>
      </c>
    </row>
    <row r="434" spans="1:60" x14ac:dyDescent="0.25">
      <c r="A434" t="s">
        <v>702</v>
      </c>
      <c r="B434" t="s">
        <v>60</v>
      </c>
      <c r="C434" t="s">
        <v>703</v>
      </c>
      <c r="D434" t="s">
        <v>704</v>
      </c>
      <c r="E434" t="s">
        <v>705</v>
      </c>
      <c r="F434" t="s">
        <v>521</v>
      </c>
      <c r="G434" t="s">
        <v>706</v>
      </c>
      <c r="H434" t="s">
        <v>130</v>
      </c>
      <c r="I434" t="s">
        <v>88</v>
      </c>
      <c r="J434" t="s">
        <v>89</v>
      </c>
      <c r="K434" t="s">
        <v>69</v>
      </c>
      <c r="L434" t="s">
        <v>707</v>
      </c>
      <c r="M434" t="s">
        <v>71</v>
      </c>
      <c r="N434" t="s">
        <v>72</v>
      </c>
      <c r="O434" t="s">
        <v>708</v>
      </c>
      <c r="P434" t="s">
        <v>709</v>
      </c>
      <c r="R434" t="s">
        <v>710</v>
      </c>
      <c r="S434" t="s">
        <v>142</v>
      </c>
      <c r="T434" t="s">
        <v>76</v>
      </c>
      <c r="U434" t="s">
        <v>383</v>
      </c>
      <c r="V434" t="s">
        <v>384</v>
      </c>
      <c r="W434">
        <v>990</v>
      </c>
      <c r="X434">
        <v>39.99</v>
      </c>
      <c r="Y434">
        <v>129</v>
      </c>
      <c r="Z434">
        <v>709000</v>
      </c>
      <c r="AA434">
        <v>36630</v>
      </c>
      <c r="AB434">
        <v>496</v>
      </c>
      <c r="AD434" t="s">
        <v>238</v>
      </c>
      <c r="AE434">
        <v>2</v>
      </c>
      <c r="AF434">
        <v>0</v>
      </c>
      <c r="AI434">
        <v>0</v>
      </c>
      <c r="AJ434">
        <v>8</v>
      </c>
      <c r="AK434">
        <v>8</v>
      </c>
      <c r="AL434">
        <v>37</v>
      </c>
      <c r="AM434">
        <v>8</v>
      </c>
      <c r="AN434">
        <v>0</v>
      </c>
      <c r="AO434">
        <v>8</v>
      </c>
      <c r="AP434" t="s">
        <v>80</v>
      </c>
      <c r="AQ434" t="s">
        <v>582</v>
      </c>
      <c r="AR434" t="s">
        <v>261</v>
      </c>
      <c r="AT434" t="s">
        <v>86</v>
      </c>
      <c r="AU434" t="s">
        <v>86</v>
      </c>
      <c r="AV434" t="s">
        <v>81</v>
      </c>
      <c r="AW434" t="s">
        <v>69</v>
      </c>
      <c r="AX434" t="s">
        <v>387</v>
      </c>
      <c r="AY434" t="s">
        <v>711</v>
      </c>
      <c r="AZ434" t="s">
        <v>244</v>
      </c>
      <c r="BA434" t="s">
        <v>244</v>
      </c>
      <c r="BB434" t="s">
        <v>243</v>
      </c>
      <c r="BC434" t="s">
        <v>245</v>
      </c>
      <c r="BD434" t="s">
        <v>717</v>
      </c>
      <c r="BE434" t="s">
        <v>1633</v>
      </c>
      <c r="BF434" t="s">
        <v>86</v>
      </c>
      <c r="BG434" t="s">
        <v>110</v>
      </c>
      <c r="BH434" t="str">
        <f>IF(COUNTIF(工作表1!A:A, $C434)&gt;0, "預購款", "非預購款")</f>
        <v>非預購款</v>
      </c>
    </row>
    <row r="435" spans="1:60" x14ac:dyDescent="0.25">
      <c r="A435" t="s">
        <v>702</v>
      </c>
      <c r="B435" t="s">
        <v>60</v>
      </c>
      <c r="C435" t="s">
        <v>703</v>
      </c>
      <c r="D435" t="s">
        <v>704</v>
      </c>
      <c r="E435" t="s">
        <v>705</v>
      </c>
      <c r="F435" t="s">
        <v>521</v>
      </c>
      <c r="G435" t="s">
        <v>706</v>
      </c>
      <c r="H435" t="s">
        <v>132</v>
      </c>
      <c r="I435" t="s">
        <v>88</v>
      </c>
      <c r="J435" t="s">
        <v>89</v>
      </c>
      <c r="K435" t="s">
        <v>69</v>
      </c>
      <c r="L435" t="s">
        <v>707</v>
      </c>
      <c r="M435" t="s">
        <v>71</v>
      </c>
      <c r="N435" t="s">
        <v>72</v>
      </c>
      <c r="O435" t="s">
        <v>708</v>
      </c>
      <c r="P435" t="s">
        <v>709</v>
      </c>
      <c r="R435" t="s">
        <v>710</v>
      </c>
      <c r="S435" t="s">
        <v>142</v>
      </c>
      <c r="T435" t="s">
        <v>76</v>
      </c>
      <c r="U435" t="s">
        <v>383</v>
      </c>
      <c r="V435" t="s">
        <v>384</v>
      </c>
      <c r="W435">
        <v>990</v>
      </c>
      <c r="X435">
        <v>39.99</v>
      </c>
      <c r="Y435">
        <v>129</v>
      </c>
      <c r="Z435">
        <v>709000</v>
      </c>
      <c r="AA435">
        <v>36630</v>
      </c>
      <c r="AB435">
        <v>496</v>
      </c>
      <c r="AD435" t="s">
        <v>238</v>
      </c>
      <c r="AE435">
        <v>2</v>
      </c>
      <c r="AF435">
        <v>0</v>
      </c>
      <c r="AI435">
        <v>0</v>
      </c>
      <c r="AJ435">
        <v>6</v>
      </c>
      <c r="AK435">
        <v>6</v>
      </c>
      <c r="AL435">
        <v>37</v>
      </c>
      <c r="AM435">
        <v>6</v>
      </c>
      <c r="AN435">
        <v>0</v>
      </c>
      <c r="AO435">
        <v>6</v>
      </c>
      <c r="AP435" t="s">
        <v>80</v>
      </c>
      <c r="AQ435" t="s">
        <v>582</v>
      </c>
      <c r="AR435" t="s">
        <v>261</v>
      </c>
      <c r="AT435" t="s">
        <v>86</v>
      </c>
      <c r="AU435" t="s">
        <v>86</v>
      </c>
      <c r="AV435" t="s">
        <v>81</v>
      </c>
      <c r="AW435" t="s">
        <v>69</v>
      </c>
      <c r="AX435" t="s">
        <v>387</v>
      </c>
      <c r="AY435" t="s">
        <v>711</v>
      </c>
      <c r="AZ435" t="s">
        <v>244</v>
      </c>
      <c r="BA435" t="s">
        <v>244</v>
      </c>
      <c r="BB435" t="s">
        <v>243</v>
      </c>
      <c r="BC435" t="s">
        <v>245</v>
      </c>
      <c r="BD435" t="s">
        <v>718</v>
      </c>
      <c r="BE435" t="s">
        <v>1633</v>
      </c>
      <c r="BF435" t="s">
        <v>86</v>
      </c>
      <c r="BG435" t="s">
        <v>110</v>
      </c>
      <c r="BH435" t="str">
        <f>IF(COUNTIF(工作表1!A:A, $C435)&gt;0, "預購款", "非預購款")</f>
        <v>非預購款</v>
      </c>
    </row>
    <row r="436" spans="1:60" x14ac:dyDescent="0.25">
      <c r="A436" t="s">
        <v>1367</v>
      </c>
      <c r="B436" t="s">
        <v>576</v>
      </c>
      <c r="C436" t="s">
        <v>1368</v>
      </c>
      <c r="D436" t="s">
        <v>1369</v>
      </c>
      <c r="E436" t="s">
        <v>1370</v>
      </c>
      <c r="F436" t="s">
        <v>1310</v>
      </c>
      <c r="G436" t="s">
        <v>1371</v>
      </c>
      <c r="H436" t="s">
        <v>119</v>
      </c>
      <c r="I436" t="s">
        <v>97</v>
      </c>
      <c r="J436" t="s">
        <v>98</v>
      </c>
      <c r="K436" t="s">
        <v>69</v>
      </c>
      <c r="L436" t="s">
        <v>1372</v>
      </c>
      <c r="M436" t="s">
        <v>71</v>
      </c>
      <c r="N436" t="s">
        <v>100</v>
      </c>
      <c r="O436" t="s">
        <v>1136</v>
      </c>
      <c r="P436" t="s">
        <v>1137</v>
      </c>
      <c r="R436" t="s">
        <v>1138</v>
      </c>
      <c r="S436" t="s">
        <v>178</v>
      </c>
      <c r="T436" t="s">
        <v>76</v>
      </c>
      <c r="U436" t="s">
        <v>123</v>
      </c>
      <c r="V436" t="s">
        <v>124</v>
      </c>
      <c r="W436">
        <v>690</v>
      </c>
      <c r="X436">
        <v>29.99</v>
      </c>
      <c r="Y436">
        <v>89</v>
      </c>
      <c r="Z436">
        <v>499000</v>
      </c>
      <c r="AA436">
        <v>120750</v>
      </c>
      <c r="AB436">
        <v>266</v>
      </c>
      <c r="AD436" t="s">
        <v>238</v>
      </c>
      <c r="AE436">
        <v>1</v>
      </c>
      <c r="AF436">
        <v>0</v>
      </c>
      <c r="AI436">
        <v>0</v>
      </c>
      <c r="AJ436">
        <v>75</v>
      </c>
      <c r="AK436">
        <v>75</v>
      </c>
      <c r="AL436">
        <v>175</v>
      </c>
      <c r="AM436">
        <v>76</v>
      </c>
      <c r="AN436">
        <v>0</v>
      </c>
      <c r="AO436">
        <v>76</v>
      </c>
      <c r="AP436" t="s">
        <v>80</v>
      </c>
      <c r="AQ436" t="s">
        <v>954</v>
      </c>
      <c r="AR436" t="s">
        <v>240</v>
      </c>
      <c r="AS436" t="s">
        <v>240</v>
      </c>
      <c r="AT436" t="s">
        <v>240</v>
      </c>
      <c r="AU436" t="s">
        <v>86</v>
      </c>
      <c r="AV436" t="s">
        <v>983</v>
      </c>
      <c r="AW436" t="s">
        <v>69</v>
      </c>
      <c r="AX436" t="s">
        <v>1373</v>
      </c>
      <c r="AY436" t="s">
        <v>858</v>
      </c>
      <c r="AZ436" t="s">
        <v>264</v>
      </c>
      <c r="BA436" t="s">
        <v>244</v>
      </c>
      <c r="BB436" t="s">
        <v>245</v>
      </c>
      <c r="BC436" t="s">
        <v>244</v>
      </c>
      <c r="BD436" t="s">
        <v>1637</v>
      </c>
      <c r="BE436" t="s">
        <v>1638</v>
      </c>
      <c r="BF436" t="s">
        <v>86</v>
      </c>
      <c r="BG436" t="s">
        <v>1374</v>
      </c>
      <c r="BH436" t="str">
        <f>IF(COUNTIF(工作表1!A:A, $C436)&gt;0, "預購款", "非預購款")</f>
        <v>非預購款</v>
      </c>
    </row>
    <row r="437" spans="1:60" x14ac:dyDescent="0.25">
      <c r="A437" t="s">
        <v>1367</v>
      </c>
      <c r="B437" t="s">
        <v>576</v>
      </c>
      <c r="C437" t="s">
        <v>1368</v>
      </c>
      <c r="D437" t="s">
        <v>1369</v>
      </c>
      <c r="E437" t="s">
        <v>1370</v>
      </c>
      <c r="F437" t="s">
        <v>1310</v>
      </c>
      <c r="G437" t="s">
        <v>1371</v>
      </c>
      <c r="H437" t="s">
        <v>130</v>
      </c>
      <c r="I437" t="s">
        <v>97</v>
      </c>
      <c r="J437" t="s">
        <v>98</v>
      </c>
      <c r="K437" t="s">
        <v>69</v>
      </c>
      <c r="L437" t="s">
        <v>1372</v>
      </c>
      <c r="M437" t="s">
        <v>71</v>
      </c>
      <c r="N437" t="s">
        <v>100</v>
      </c>
      <c r="O437" t="s">
        <v>1136</v>
      </c>
      <c r="P437" t="s">
        <v>1137</v>
      </c>
      <c r="R437" t="s">
        <v>1138</v>
      </c>
      <c r="S437" t="s">
        <v>178</v>
      </c>
      <c r="T437" t="s">
        <v>76</v>
      </c>
      <c r="U437" t="s">
        <v>123</v>
      </c>
      <c r="V437" t="s">
        <v>124</v>
      </c>
      <c r="W437">
        <v>690</v>
      </c>
      <c r="X437">
        <v>29.99</v>
      </c>
      <c r="Y437">
        <v>89</v>
      </c>
      <c r="Z437">
        <v>499000</v>
      </c>
      <c r="AA437">
        <v>120750</v>
      </c>
      <c r="AB437">
        <v>266</v>
      </c>
      <c r="AD437" t="s">
        <v>238</v>
      </c>
      <c r="AE437">
        <v>1</v>
      </c>
      <c r="AF437">
        <v>0</v>
      </c>
      <c r="AI437">
        <v>0</v>
      </c>
      <c r="AJ437">
        <v>75</v>
      </c>
      <c r="AK437">
        <v>75</v>
      </c>
      <c r="AL437">
        <v>175</v>
      </c>
      <c r="AM437">
        <v>75</v>
      </c>
      <c r="AN437">
        <v>0</v>
      </c>
      <c r="AO437">
        <v>75</v>
      </c>
      <c r="AP437" t="s">
        <v>80</v>
      </c>
      <c r="AQ437" t="s">
        <v>954</v>
      </c>
      <c r="AR437" t="s">
        <v>240</v>
      </c>
      <c r="AS437" t="s">
        <v>240</v>
      </c>
      <c r="AT437" t="s">
        <v>240</v>
      </c>
      <c r="AU437" t="s">
        <v>86</v>
      </c>
      <c r="AV437" t="s">
        <v>983</v>
      </c>
      <c r="AW437" t="s">
        <v>69</v>
      </c>
      <c r="AX437" t="s">
        <v>1373</v>
      </c>
      <c r="AY437" t="s">
        <v>858</v>
      </c>
      <c r="AZ437" t="s">
        <v>264</v>
      </c>
      <c r="BA437" t="s">
        <v>244</v>
      </c>
      <c r="BB437" t="s">
        <v>245</v>
      </c>
      <c r="BC437" t="s">
        <v>244</v>
      </c>
      <c r="BD437" t="s">
        <v>1639</v>
      </c>
      <c r="BE437" t="s">
        <v>1638</v>
      </c>
      <c r="BF437" t="s">
        <v>86</v>
      </c>
      <c r="BG437" t="s">
        <v>1374</v>
      </c>
      <c r="BH437" t="str">
        <f>IF(COUNTIF(工作表1!A:A, $C437)&gt;0, "預購款", "非預購款")</f>
        <v>非預購款</v>
      </c>
    </row>
    <row r="438" spans="1:60" x14ac:dyDescent="0.25">
      <c r="A438" t="s">
        <v>1367</v>
      </c>
      <c r="B438" t="s">
        <v>576</v>
      </c>
      <c r="C438" t="s">
        <v>1368</v>
      </c>
      <c r="D438" t="s">
        <v>1369</v>
      </c>
      <c r="E438" t="s">
        <v>1370</v>
      </c>
      <c r="F438" t="s">
        <v>1310</v>
      </c>
      <c r="G438" t="s">
        <v>1371</v>
      </c>
      <c r="H438" t="s">
        <v>132</v>
      </c>
      <c r="I438" t="s">
        <v>97</v>
      </c>
      <c r="J438" t="s">
        <v>98</v>
      </c>
      <c r="K438" t="s">
        <v>69</v>
      </c>
      <c r="L438" t="s">
        <v>1372</v>
      </c>
      <c r="M438" t="s">
        <v>71</v>
      </c>
      <c r="N438" t="s">
        <v>100</v>
      </c>
      <c r="O438" t="s">
        <v>1136</v>
      </c>
      <c r="P438" t="s">
        <v>1137</v>
      </c>
      <c r="R438" t="s">
        <v>1138</v>
      </c>
      <c r="S438" t="s">
        <v>178</v>
      </c>
      <c r="T438" t="s">
        <v>76</v>
      </c>
      <c r="U438" t="s">
        <v>123</v>
      </c>
      <c r="V438" t="s">
        <v>124</v>
      </c>
      <c r="W438">
        <v>690</v>
      </c>
      <c r="X438">
        <v>29.99</v>
      </c>
      <c r="Y438">
        <v>89</v>
      </c>
      <c r="Z438">
        <v>499000</v>
      </c>
      <c r="AA438">
        <v>120750</v>
      </c>
      <c r="AB438">
        <v>266</v>
      </c>
      <c r="AD438" t="s">
        <v>238</v>
      </c>
      <c r="AE438">
        <v>1</v>
      </c>
      <c r="AF438">
        <v>0</v>
      </c>
      <c r="AI438">
        <v>0</v>
      </c>
      <c r="AJ438">
        <v>25</v>
      </c>
      <c r="AK438">
        <v>25</v>
      </c>
      <c r="AL438">
        <v>175</v>
      </c>
      <c r="AM438">
        <v>25</v>
      </c>
      <c r="AN438">
        <v>0</v>
      </c>
      <c r="AO438">
        <v>25</v>
      </c>
      <c r="AP438" t="s">
        <v>80</v>
      </c>
      <c r="AQ438" t="s">
        <v>954</v>
      </c>
      <c r="AR438" t="s">
        <v>240</v>
      </c>
      <c r="AS438" t="s">
        <v>240</v>
      </c>
      <c r="AT438" t="s">
        <v>240</v>
      </c>
      <c r="AU438" t="s">
        <v>86</v>
      </c>
      <c r="AV438" t="s">
        <v>983</v>
      </c>
      <c r="AW438" t="s">
        <v>69</v>
      </c>
      <c r="AX438" t="s">
        <v>1373</v>
      </c>
      <c r="AY438" t="s">
        <v>858</v>
      </c>
      <c r="AZ438" t="s">
        <v>264</v>
      </c>
      <c r="BA438" t="s">
        <v>244</v>
      </c>
      <c r="BB438" t="s">
        <v>245</v>
      </c>
      <c r="BC438" t="s">
        <v>244</v>
      </c>
      <c r="BD438" t="s">
        <v>1640</v>
      </c>
      <c r="BE438" t="s">
        <v>1638</v>
      </c>
      <c r="BF438" t="s">
        <v>86</v>
      </c>
      <c r="BG438" t="s">
        <v>1374</v>
      </c>
      <c r="BH438" t="str">
        <f>IF(COUNTIF(工作表1!A:A, $C438)&gt;0, "預購款", "非預購款")</f>
        <v>非預購款</v>
      </c>
    </row>
    <row r="439" spans="1:60" x14ac:dyDescent="0.25">
      <c r="A439" t="s">
        <v>1375</v>
      </c>
      <c r="B439" t="s">
        <v>576</v>
      </c>
      <c r="C439" t="s">
        <v>1376</v>
      </c>
      <c r="D439" t="s">
        <v>1377</v>
      </c>
      <c r="E439" t="s">
        <v>1378</v>
      </c>
      <c r="F439" t="s">
        <v>1310</v>
      </c>
      <c r="G439" t="s">
        <v>1379</v>
      </c>
      <c r="H439" t="s">
        <v>66</v>
      </c>
      <c r="I439" t="s">
        <v>422</v>
      </c>
      <c r="J439" t="s">
        <v>423</v>
      </c>
      <c r="K439" t="s">
        <v>69</v>
      </c>
      <c r="L439" t="s">
        <v>1380</v>
      </c>
      <c r="M439" t="s">
        <v>71</v>
      </c>
      <c r="N439" t="s">
        <v>100</v>
      </c>
      <c r="O439" t="s">
        <v>1136</v>
      </c>
      <c r="P439" t="s">
        <v>1137</v>
      </c>
      <c r="R439" t="s">
        <v>1138</v>
      </c>
      <c r="S439" t="s">
        <v>178</v>
      </c>
      <c r="T439" t="s">
        <v>76</v>
      </c>
      <c r="U439" t="s">
        <v>104</v>
      </c>
      <c r="V439" t="s">
        <v>99</v>
      </c>
      <c r="W439">
        <v>790</v>
      </c>
      <c r="X439">
        <v>34.99</v>
      </c>
      <c r="Y439">
        <v>99</v>
      </c>
      <c r="Z439">
        <v>569000</v>
      </c>
      <c r="AA439">
        <v>63200</v>
      </c>
      <c r="AB439">
        <v>374</v>
      </c>
      <c r="AD439" t="s">
        <v>238</v>
      </c>
      <c r="AE439">
        <v>1</v>
      </c>
      <c r="AF439">
        <v>0</v>
      </c>
      <c r="AI439">
        <v>0</v>
      </c>
      <c r="AJ439">
        <v>80</v>
      </c>
      <c r="AK439">
        <v>80</v>
      </c>
      <c r="AL439">
        <v>80</v>
      </c>
      <c r="AM439">
        <v>90</v>
      </c>
      <c r="AN439">
        <v>0</v>
      </c>
      <c r="AO439">
        <v>90</v>
      </c>
      <c r="AP439" t="s">
        <v>80</v>
      </c>
      <c r="AQ439" t="s">
        <v>954</v>
      </c>
      <c r="AR439" t="s">
        <v>86</v>
      </c>
      <c r="AS439" t="s">
        <v>86</v>
      </c>
      <c r="AT439" t="s">
        <v>86</v>
      </c>
      <c r="AU439" t="s">
        <v>86</v>
      </c>
      <c r="AV439" t="s">
        <v>81</v>
      </c>
      <c r="AW439" t="s">
        <v>69</v>
      </c>
      <c r="AX439" t="s">
        <v>126</v>
      </c>
      <c r="AY439" t="s">
        <v>1381</v>
      </c>
      <c r="AZ439" t="s">
        <v>264</v>
      </c>
      <c r="BA439" t="s">
        <v>243</v>
      </c>
      <c r="BB439" t="s">
        <v>244</v>
      </c>
      <c r="BC439" t="s">
        <v>244</v>
      </c>
      <c r="BD439" t="s">
        <v>1384</v>
      </c>
      <c r="BE439" t="s">
        <v>1641</v>
      </c>
      <c r="BF439" t="s">
        <v>86</v>
      </c>
      <c r="BG439" t="s">
        <v>110</v>
      </c>
      <c r="BH439" t="str">
        <f>IF(COUNTIF(工作表1!A:A, $C439)&gt;0, "預購款", "非預購款")</f>
        <v>非預購款</v>
      </c>
    </row>
    <row r="440" spans="1:60" x14ac:dyDescent="0.25">
      <c r="A440" t="s">
        <v>1642</v>
      </c>
      <c r="B440" t="s">
        <v>576</v>
      </c>
      <c r="C440" t="s">
        <v>1643</v>
      </c>
      <c r="D440" t="s">
        <v>1644</v>
      </c>
      <c r="E440" t="s">
        <v>1645</v>
      </c>
      <c r="F440" t="s">
        <v>1310</v>
      </c>
      <c r="G440" t="s">
        <v>1646</v>
      </c>
      <c r="H440" t="s">
        <v>119</v>
      </c>
      <c r="I440" t="s">
        <v>97</v>
      </c>
      <c r="J440" t="s">
        <v>98</v>
      </c>
      <c r="K440" t="s">
        <v>80</v>
      </c>
      <c r="L440" t="s">
        <v>1647</v>
      </c>
      <c r="M440" t="s">
        <v>71</v>
      </c>
      <c r="N440" t="s">
        <v>100</v>
      </c>
      <c r="O440" t="s">
        <v>1648</v>
      </c>
      <c r="P440" t="s">
        <v>1649</v>
      </c>
      <c r="R440" t="s">
        <v>1650</v>
      </c>
      <c r="S440" t="s">
        <v>178</v>
      </c>
      <c r="T440" t="s">
        <v>291</v>
      </c>
      <c r="U440" t="s">
        <v>104</v>
      </c>
      <c r="V440" t="s">
        <v>1519</v>
      </c>
      <c r="W440">
        <v>390</v>
      </c>
      <c r="X440">
        <v>16.989999999999998</v>
      </c>
      <c r="Y440">
        <v>49</v>
      </c>
      <c r="Z440">
        <v>279000</v>
      </c>
      <c r="AA440">
        <v>364650</v>
      </c>
      <c r="AB440">
        <v>140</v>
      </c>
      <c r="AD440" t="s">
        <v>238</v>
      </c>
      <c r="AE440">
        <v>3</v>
      </c>
      <c r="AF440">
        <v>0</v>
      </c>
      <c r="AI440">
        <v>0</v>
      </c>
      <c r="AJ440">
        <v>80</v>
      </c>
      <c r="AK440">
        <v>80</v>
      </c>
      <c r="AL440">
        <v>935</v>
      </c>
      <c r="AM440">
        <v>88</v>
      </c>
      <c r="AN440">
        <v>0</v>
      </c>
      <c r="AO440">
        <v>88</v>
      </c>
      <c r="AP440" t="s">
        <v>80</v>
      </c>
      <c r="AQ440" t="s">
        <v>179</v>
      </c>
      <c r="AT440" t="s">
        <v>240</v>
      </c>
      <c r="AU440" t="s">
        <v>240</v>
      </c>
      <c r="AV440" t="s">
        <v>1651</v>
      </c>
      <c r="AW440" t="s">
        <v>69</v>
      </c>
      <c r="AX440" t="s">
        <v>1652</v>
      </c>
      <c r="AY440" t="s">
        <v>1209</v>
      </c>
      <c r="AZ440" t="s">
        <v>243</v>
      </c>
      <c r="BA440" t="s">
        <v>264</v>
      </c>
      <c r="BB440" t="s">
        <v>264</v>
      </c>
      <c r="BC440" t="s">
        <v>264</v>
      </c>
      <c r="BD440" t="s">
        <v>1653</v>
      </c>
      <c r="BE440" t="s">
        <v>1654</v>
      </c>
      <c r="BF440" t="s">
        <v>291</v>
      </c>
      <c r="BG440" t="s">
        <v>150</v>
      </c>
      <c r="BH440" t="str">
        <f>IF(COUNTIF(工作表1!A:A, $C440)&gt;0, "預購款", "非預購款")</f>
        <v>非預購款</v>
      </c>
    </row>
    <row r="441" spans="1:60" x14ac:dyDescent="0.25">
      <c r="A441" t="s">
        <v>1642</v>
      </c>
      <c r="B441" t="s">
        <v>576</v>
      </c>
      <c r="C441" t="s">
        <v>1643</v>
      </c>
      <c r="D441" t="s">
        <v>1644</v>
      </c>
      <c r="E441" t="s">
        <v>1645</v>
      </c>
      <c r="F441" t="s">
        <v>1310</v>
      </c>
      <c r="G441" t="s">
        <v>1646</v>
      </c>
      <c r="H441" t="s">
        <v>130</v>
      </c>
      <c r="I441" t="s">
        <v>97</v>
      </c>
      <c r="J441" t="s">
        <v>98</v>
      </c>
      <c r="K441" t="s">
        <v>80</v>
      </c>
      <c r="L441" t="s">
        <v>1647</v>
      </c>
      <c r="M441" t="s">
        <v>71</v>
      </c>
      <c r="N441" t="s">
        <v>100</v>
      </c>
      <c r="O441" t="s">
        <v>1648</v>
      </c>
      <c r="P441" t="s">
        <v>1649</v>
      </c>
      <c r="R441" t="s">
        <v>1650</v>
      </c>
      <c r="S441" t="s">
        <v>178</v>
      </c>
      <c r="T441" t="s">
        <v>291</v>
      </c>
      <c r="U441" t="s">
        <v>104</v>
      </c>
      <c r="V441" t="s">
        <v>1519</v>
      </c>
      <c r="W441">
        <v>390</v>
      </c>
      <c r="X441">
        <v>16.989999999999998</v>
      </c>
      <c r="Y441">
        <v>49</v>
      </c>
      <c r="Z441">
        <v>279000</v>
      </c>
      <c r="AA441">
        <v>364650</v>
      </c>
      <c r="AB441">
        <v>140</v>
      </c>
      <c r="AD441" t="s">
        <v>238</v>
      </c>
      <c r="AE441">
        <v>3</v>
      </c>
      <c r="AF441">
        <v>0</v>
      </c>
      <c r="AI441">
        <v>0</v>
      </c>
      <c r="AJ441">
        <v>70</v>
      </c>
      <c r="AK441">
        <v>70</v>
      </c>
      <c r="AL441">
        <v>935</v>
      </c>
      <c r="AM441">
        <v>76</v>
      </c>
      <c r="AN441">
        <v>0</v>
      </c>
      <c r="AO441">
        <v>76</v>
      </c>
      <c r="AP441" t="s">
        <v>80</v>
      </c>
      <c r="AQ441" t="s">
        <v>179</v>
      </c>
      <c r="AT441" t="s">
        <v>240</v>
      </c>
      <c r="AU441" t="s">
        <v>240</v>
      </c>
      <c r="AV441" t="s">
        <v>1651</v>
      </c>
      <c r="AW441" t="s">
        <v>69</v>
      </c>
      <c r="AX441" t="s">
        <v>1652</v>
      </c>
      <c r="AY441" t="s">
        <v>1209</v>
      </c>
      <c r="AZ441" t="s">
        <v>243</v>
      </c>
      <c r="BA441" t="s">
        <v>264</v>
      </c>
      <c r="BB441" t="s">
        <v>264</v>
      </c>
      <c r="BC441" t="s">
        <v>264</v>
      </c>
      <c r="BD441" t="s">
        <v>1655</v>
      </c>
      <c r="BE441" t="s">
        <v>1654</v>
      </c>
      <c r="BF441" t="s">
        <v>291</v>
      </c>
      <c r="BG441" t="s">
        <v>150</v>
      </c>
      <c r="BH441" t="str">
        <f>IF(COUNTIF(工作表1!A:A, $C441)&gt;0, "預購款", "非預購款")</f>
        <v>非預購款</v>
      </c>
    </row>
    <row r="442" spans="1:60" x14ac:dyDescent="0.25">
      <c r="A442" t="s">
        <v>1642</v>
      </c>
      <c r="B442" t="s">
        <v>576</v>
      </c>
      <c r="C442" t="s">
        <v>1643</v>
      </c>
      <c r="D442" t="s">
        <v>1644</v>
      </c>
      <c r="E442" t="s">
        <v>1645</v>
      </c>
      <c r="F442" t="s">
        <v>1310</v>
      </c>
      <c r="G442" t="s">
        <v>1646</v>
      </c>
      <c r="H442" t="s">
        <v>132</v>
      </c>
      <c r="I442" t="s">
        <v>97</v>
      </c>
      <c r="J442" t="s">
        <v>98</v>
      </c>
      <c r="K442" t="s">
        <v>80</v>
      </c>
      <c r="L442" t="s">
        <v>1647</v>
      </c>
      <c r="M442" t="s">
        <v>71</v>
      </c>
      <c r="N442" t="s">
        <v>100</v>
      </c>
      <c r="O442" t="s">
        <v>1648</v>
      </c>
      <c r="P442" t="s">
        <v>1649</v>
      </c>
      <c r="R442" t="s">
        <v>1650</v>
      </c>
      <c r="S442" t="s">
        <v>178</v>
      </c>
      <c r="T442" t="s">
        <v>291</v>
      </c>
      <c r="U442" t="s">
        <v>104</v>
      </c>
      <c r="V442" t="s">
        <v>1519</v>
      </c>
      <c r="W442">
        <v>390</v>
      </c>
      <c r="X442">
        <v>16.989999999999998</v>
      </c>
      <c r="Y442">
        <v>49</v>
      </c>
      <c r="Z442">
        <v>279000</v>
      </c>
      <c r="AA442">
        <v>364650</v>
      </c>
      <c r="AB442">
        <v>140</v>
      </c>
      <c r="AD442" t="s">
        <v>238</v>
      </c>
      <c r="AE442">
        <v>3</v>
      </c>
      <c r="AF442">
        <v>0</v>
      </c>
      <c r="AI442">
        <v>0</v>
      </c>
      <c r="AJ442">
        <v>25</v>
      </c>
      <c r="AK442">
        <v>25</v>
      </c>
      <c r="AL442">
        <v>935</v>
      </c>
      <c r="AM442">
        <v>31</v>
      </c>
      <c r="AN442">
        <v>0</v>
      </c>
      <c r="AO442">
        <v>31</v>
      </c>
      <c r="AP442" t="s">
        <v>80</v>
      </c>
      <c r="AQ442" t="s">
        <v>179</v>
      </c>
      <c r="AT442" t="s">
        <v>240</v>
      </c>
      <c r="AU442" t="s">
        <v>240</v>
      </c>
      <c r="AV442" t="s">
        <v>1651</v>
      </c>
      <c r="AW442" t="s">
        <v>69</v>
      </c>
      <c r="AX442" t="s">
        <v>1652</v>
      </c>
      <c r="AY442" t="s">
        <v>1209</v>
      </c>
      <c r="AZ442" t="s">
        <v>243</v>
      </c>
      <c r="BA442" t="s">
        <v>264</v>
      </c>
      <c r="BB442" t="s">
        <v>264</v>
      </c>
      <c r="BC442" t="s">
        <v>264</v>
      </c>
      <c r="BD442" t="s">
        <v>1656</v>
      </c>
      <c r="BE442" t="s">
        <v>1654</v>
      </c>
      <c r="BF442" t="s">
        <v>291</v>
      </c>
      <c r="BG442" t="s">
        <v>150</v>
      </c>
      <c r="BH442" t="str">
        <f>IF(COUNTIF(工作表1!A:A, $C442)&gt;0, "預購款", "非預購款")</f>
        <v>非預購款</v>
      </c>
    </row>
    <row r="443" spans="1:60" x14ac:dyDescent="0.25">
      <c r="A443" t="s">
        <v>1642</v>
      </c>
      <c r="B443" t="s">
        <v>576</v>
      </c>
      <c r="C443" t="s">
        <v>1643</v>
      </c>
      <c r="D443" t="s">
        <v>1644</v>
      </c>
      <c r="E443" t="s">
        <v>1645</v>
      </c>
      <c r="F443" t="s">
        <v>1310</v>
      </c>
      <c r="G443" t="s">
        <v>1646</v>
      </c>
      <c r="H443" t="s">
        <v>119</v>
      </c>
      <c r="I443" t="s">
        <v>1552</v>
      </c>
      <c r="J443" t="s">
        <v>1553</v>
      </c>
      <c r="K443" t="s">
        <v>69</v>
      </c>
      <c r="L443" t="s">
        <v>1647</v>
      </c>
      <c r="M443" t="s">
        <v>71</v>
      </c>
      <c r="N443" t="s">
        <v>100</v>
      </c>
      <c r="O443" t="s">
        <v>1648</v>
      </c>
      <c r="P443" t="s">
        <v>1649</v>
      </c>
      <c r="R443" t="s">
        <v>1650</v>
      </c>
      <c r="S443" t="s">
        <v>178</v>
      </c>
      <c r="T443" t="s">
        <v>291</v>
      </c>
      <c r="U443" t="s">
        <v>104</v>
      </c>
      <c r="V443" t="s">
        <v>1519</v>
      </c>
      <c r="W443">
        <v>390</v>
      </c>
      <c r="X443">
        <v>16.989999999999998</v>
      </c>
      <c r="Y443">
        <v>49</v>
      </c>
      <c r="Z443">
        <v>279000</v>
      </c>
      <c r="AA443">
        <v>364650</v>
      </c>
      <c r="AB443">
        <v>140</v>
      </c>
      <c r="AD443" t="s">
        <v>238</v>
      </c>
      <c r="AE443">
        <v>3</v>
      </c>
      <c r="AF443">
        <v>0</v>
      </c>
      <c r="AI443">
        <v>20</v>
      </c>
      <c r="AJ443">
        <v>120</v>
      </c>
      <c r="AK443">
        <v>140</v>
      </c>
      <c r="AL443">
        <v>935</v>
      </c>
      <c r="AM443">
        <v>143</v>
      </c>
      <c r="AN443">
        <v>0</v>
      </c>
      <c r="AO443">
        <v>143</v>
      </c>
      <c r="AP443" t="s">
        <v>80</v>
      </c>
      <c r="AQ443" t="s">
        <v>179</v>
      </c>
      <c r="AT443" t="s">
        <v>240</v>
      </c>
      <c r="AU443" t="s">
        <v>240</v>
      </c>
      <c r="AV443" t="s">
        <v>1651</v>
      </c>
      <c r="AW443" t="s">
        <v>69</v>
      </c>
      <c r="AX443" t="s">
        <v>1652</v>
      </c>
      <c r="AY443" t="s">
        <v>1209</v>
      </c>
      <c r="AZ443" t="s">
        <v>243</v>
      </c>
      <c r="BA443" t="s">
        <v>264</v>
      </c>
      <c r="BB443" t="s">
        <v>264</v>
      </c>
      <c r="BC443" t="s">
        <v>264</v>
      </c>
      <c r="BD443" t="s">
        <v>1657</v>
      </c>
      <c r="BE443" t="s">
        <v>1654</v>
      </c>
      <c r="BF443" t="s">
        <v>291</v>
      </c>
      <c r="BG443" t="s">
        <v>150</v>
      </c>
      <c r="BH443" t="str">
        <f>IF(COUNTIF(工作表1!A:A, $C443)&gt;0, "預購款", "非預購款")</f>
        <v>非預購款</v>
      </c>
    </row>
    <row r="444" spans="1:60" x14ac:dyDescent="0.25">
      <c r="A444" t="s">
        <v>1642</v>
      </c>
      <c r="B444" t="s">
        <v>576</v>
      </c>
      <c r="C444" t="s">
        <v>1643</v>
      </c>
      <c r="D444" t="s">
        <v>1644</v>
      </c>
      <c r="E444" t="s">
        <v>1645</v>
      </c>
      <c r="F444" t="s">
        <v>1310</v>
      </c>
      <c r="G444" t="s">
        <v>1646</v>
      </c>
      <c r="H444" t="s">
        <v>130</v>
      </c>
      <c r="I444" t="s">
        <v>1552</v>
      </c>
      <c r="J444" t="s">
        <v>1553</v>
      </c>
      <c r="K444" t="s">
        <v>69</v>
      </c>
      <c r="L444" t="s">
        <v>1647</v>
      </c>
      <c r="M444" t="s">
        <v>71</v>
      </c>
      <c r="N444" t="s">
        <v>100</v>
      </c>
      <c r="O444" t="s">
        <v>1648</v>
      </c>
      <c r="P444" t="s">
        <v>1649</v>
      </c>
      <c r="R444" t="s">
        <v>1650</v>
      </c>
      <c r="S444" t="s">
        <v>178</v>
      </c>
      <c r="T444" t="s">
        <v>291</v>
      </c>
      <c r="U444" t="s">
        <v>104</v>
      </c>
      <c r="V444" t="s">
        <v>1519</v>
      </c>
      <c r="W444">
        <v>390</v>
      </c>
      <c r="X444">
        <v>16.989999999999998</v>
      </c>
      <c r="Y444">
        <v>49</v>
      </c>
      <c r="Z444">
        <v>279000</v>
      </c>
      <c r="AA444">
        <v>364650</v>
      </c>
      <c r="AB444">
        <v>140</v>
      </c>
      <c r="AD444" t="s">
        <v>238</v>
      </c>
      <c r="AE444">
        <v>3</v>
      </c>
      <c r="AF444">
        <v>0</v>
      </c>
      <c r="AI444">
        <v>30</v>
      </c>
      <c r="AJ444">
        <v>120</v>
      </c>
      <c r="AK444">
        <v>150</v>
      </c>
      <c r="AL444">
        <v>935</v>
      </c>
      <c r="AM444">
        <v>154</v>
      </c>
      <c r="AN444">
        <v>0</v>
      </c>
      <c r="AO444">
        <v>154</v>
      </c>
      <c r="AP444" t="s">
        <v>80</v>
      </c>
      <c r="AQ444" t="s">
        <v>179</v>
      </c>
      <c r="AT444" t="s">
        <v>240</v>
      </c>
      <c r="AU444" t="s">
        <v>240</v>
      </c>
      <c r="AV444" t="s">
        <v>1651</v>
      </c>
      <c r="AW444" t="s">
        <v>69</v>
      </c>
      <c r="AX444" t="s">
        <v>1652</v>
      </c>
      <c r="AY444" t="s">
        <v>1209</v>
      </c>
      <c r="AZ444" t="s">
        <v>243</v>
      </c>
      <c r="BA444" t="s">
        <v>264</v>
      </c>
      <c r="BB444" t="s">
        <v>264</v>
      </c>
      <c r="BC444" t="s">
        <v>264</v>
      </c>
      <c r="BD444" t="s">
        <v>1658</v>
      </c>
      <c r="BE444" t="s">
        <v>1654</v>
      </c>
      <c r="BF444" t="s">
        <v>291</v>
      </c>
      <c r="BG444" t="s">
        <v>150</v>
      </c>
      <c r="BH444" t="str">
        <f>IF(COUNTIF(工作表1!A:A, $C444)&gt;0, "預購款", "非預購款")</f>
        <v>非預購款</v>
      </c>
    </row>
    <row r="445" spans="1:60" x14ac:dyDescent="0.25">
      <c r="A445" t="s">
        <v>1642</v>
      </c>
      <c r="B445" t="s">
        <v>576</v>
      </c>
      <c r="C445" t="s">
        <v>1643</v>
      </c>
      <c r="D445" t="s">
        <v>1644</v>
      </c>
      <c r="E445" t="s">
        <v>1645</v>
      </c>
      <c r="F445" t="s">
        <v>1310</v>
      </c>
      <c r="G445" t="s">
        <v>1646</v>
      </c>
      <c r="H445" t="s">
        <v>132</v>
      </c>
      <c r="I445" t="s">
        <v>1552</v>
      </c>
      <c r="J445" t="s">
        <v>1553</v>
      </c>
      <c r="K445" t="s">
        <v>69</v>
      </c>
      <c r="L445" t="s">
        <v>1647</v>
      </c>
      <c r="M445" t="s">
        <v>71</v>
      </c>
      <c r="N445" t="s">
        <v>100</v>
      </c>
      <c r="O445" t="s">
        <v>1648</v>
      </c>
      <c r="P445" t="s">
        <v>1649</v>
      </c>
      <c r="R445" t="s">
        <v>1650</v>
      </c>
      <c r="S445" t="s">
        <v>178</v>
      </c>
      <c r="T445" t="s">
        <v>291</v>
      </c>
      <c r="U445" t="s">
        <v>104</v>
      </c>
      <c r="V445" t="s">
        <v>1519</v>
      </c>
      <c r="W445">
        <v>390</v>
      </c>
      <c r="X445">
        <v>16.989999999999998</v>
      </c>
      <c r="Y445">
        <v>49</v>
      </c>
      <c r="Z445">
        <v>279000</v>
      </c>
      <c r="AA445">
        <v>364650</v>
      </c>
      <c r="AB445">
        <v>140</v>
      </c>
      <c r="AD445" t="s">
        <v>238</v>
      </c>
      <c r="AE445">
        <v>3</v>
      </c>
      <c r="AF445">
        <v>0</v>
      </c>
      <c r="AI445">
        <v>30</v>
      </c>
      <c r="AJ445">
        <v>60</v>
      </c>
      <c r="AK445">
        <v>90</v>
      </c>
      <c r="AL445">
        <v>935</v>
      </c>
      <c r="AM445">
        <v>91</v>
      </c>
      <c r="AN445">
        <v>0</v>
      </c>
      <c r="AO445">
        <v>91</v>
      </c>
      <c r="AP445" t="s">
        <v>80</v>
      </c>
      <c r="AQ445" t="s">
        <v>179</v>
      </c>
      <c r="AT445" t="s">
        <v>240</v>
      </c>
      <c r="AU445" t="s">
        <v>240</v>
      </c>
      <c r="AV445" t="s">
        <v>1651</v>
      </c>
      <c r="AW445" t="s">
        <v>69</v>
      </c>
      <c r="AX445" t="s">
        <v>1652</v>
      </c>
      <c r="AY445" t="s">
        <v>1209</v>
      </c>
      <c r="AZ445" t="s">
        <v>243</v>
      </c>
      <c r="BA445" t="s">
        <v>264</v>
      </c>
      <c r="BB445" t="s">
        <v>264</v>
      </c>
      <c r="BC445" t="s">
        <v>264</v>
      </c>
      <c r="BD445" t="s">
        <v>1659</v>
      </c>
      <c r="BE445" t="s">
        <v>1654</v>
      </c>
      <c r="BF445" t="s">
        <v>291</v>
      </c>
      <c r="BG445" t="s">
        <v>150</v>
      </c>
      <c r="BH445" t="str">
        <f>IF(COUNTIF(工作表1!A:A, $C445)&gt;0, "預購款", "非預購款")</f>
        <v>非預購款</v>
      </c>
    </row>
    <row r="446" spans="1:60" x14ac:dyDescent="0.25">
      <c r="A446" t="s">
        <v>1642</v>
      </c>
      <c r="B446" t="s">
        <v>576</v>
      </c>
      <c r="C446" t="s">
        <v>1643</v>
      </c>
      <c r="D446" t="s">
        <v>1644</v>
      </c>
      <c r="E446" t="s">
        <v>1645</v>
      </c>
      <c r="F446" t="s">
        <v>1310</v>
      </c>
      <c r="G446" t="s">
        <v>1646</v>
      </c>
      <c r="H446" t="s">
        <v>119</v>
      </c>
      <c r="I446" t="s">
        <v>171</v>
      </c>
      <c r="J446" t="s">
        <v>172</v>
      </c>
      <c r="K446" t="s">
        <v>69</v>
      </c>
      <c r="L446" t="s">
        <v>1647</v>
      </c>
      <c r="M446" t="s">
        <v>71</v>
      </c>
      <c r="N446" t="s">
        <v>100</v>
      </c>
      <c r="O446" t="s">
        <v>1648</v>
      </c>
      <c r="P446" t="s">
        <v>1649</v>
      </c>
      <c r="R446" t="s">
        <v>1650</v>
      </c>
      <c r="S446" t="s">
        <v>178</v>
      </c>
      <c r="T446" t="s">
        <v>291</v>
      </c>
      <c r="U446" t="s">
        <v>104</v>
      </c>
      <c r="V446" t="s">
        <v>1519</v>
      </c>
      <c r="W446">
        <v>390</v>
      </c>
      <c r="X446">
        <v>16.989999999999998</v>
      </c>
      <c r="Y446">
        <v>49</v>
      </c>
      <c r="Z446">
        <v>279000</v>
      </c>
      <c r="AA446">
        <v>364650</v>
      </c>
      <c r="AB446">
        <v>140</v>
      </c>
      <c r="AD446" t="s">
        <v>238</v>
      </c>
      <c r="AE446">
        <v>3</v>
      </c>
      <c r="AF446">
        <v>0</v>
      </c>
      <c r="AI446">
        <v>30</v>
      </c>
      <c r="AJ446">
        <v>130</v>
      </c>
      <c r="AK446">
        <v>160</v>
      </c>
      <c r="AL446">
        <v>935</v>
      </c>
      <c r="AM446">
        <v>162</v>
      </c>
      <c r="AN446">
        <v>0</v>
      </c>
      <c r="AO446">
        <v>162</v>
      </c>
      <c r="AP446" t="s">
        <v>80</v>
      </c>
      <c r="AQ446" t="s">
        <v>179</v>
      </c>
      <c r="AT446" t="s">
        <v>240</v>
      </c>
      <c r="AU446" t="s">
        <v>240</v>
      </c>
      <c r="AV446" t="s">
        <v>1651</v>
      </c>
      <c r="AW446" t="s">
        <v>69</v>
      </c>
      <c r="AX446" t="s">
        <v>1652</v>
      </c>
      <c r="AY446" t="s">
        <v>1209</v>
      </c>
      <c r="AZ446" t="s">
        <v>243</v>
      </c>
      <c r="BA446" t="s">
        <v>264</v>
      </c>
      <c r="BB446" t="s">
        <v>264</v>
      </c>
      <c r="BC446" t="s">
        <v>264</v>
      </c>
      <c r="BD446" t="s">
        <v>1660</v>
      </c>
      <c r="BE446" t="s">
        <v>1654</v>
      </c>
      <c r="BF446" t="s">
        <v>291</v>
      </c>
      <c r="BG446" t="s">
        <v>150</v>
      </c>
      <c r="BH446" t="str">
        <f>IF(COUNTIF(工作表1!A:A, $C446)&gt;0, "預購款", "非預購款")</f>
        <v>非預購款</v>
      </c>
    </row>
    <row r="447" spans="1:60" x14ac:dyDescent="0.25">
      <c r="A447" t="s">
        <v>1642</v>
      </c>
      <c r="B447" t="s">
        <v>576</v>
      </c>
      <c r="C447" t="s">
        <v>1643</v>
      </c>
      <c r="D447" t="s">
        <v>1644</v>
      </c>
      <c r="E447" t="s">
        <v>1645</v>
      </c>
      <c r="F447" t="s">
        <v>1310</v>
      </c>
      <c r="G447" t="s">
        <v>1646</v>
      </c>
      <c r="H447" t="s">
        <v>130</v>
      </c>
      <c r="I447" t="s">
        <v>171</v>
      </c>
      <c r="J447" t="s">
        <v>172</v>
      </c>
      <c r="K447" t="s">
        <v>69</v>
      </c>
      <c r="L447" t="s">
        <v>1647</v>
      </c>
      <c r="M447" t="s">
        <v>71</v>
      </c>
      <c r="N447" t="s">
        <v>100</v>
      </c>
      <c r="O447" t="s">
        <v>1648</v>
      </c>
      <c r="P447" t="s">
        <v>1649</v>
      </c>
      <c r="R447" t="s">
        <v>1650</v>
      </c>
      <c r="S447" t="s">
        <v>178</v>
      </c>
      <c r="T447" t="s">
        <v>291</v>
      </c>
      <c r="U447" t="s">
        <v>104</v>
      </c>
      <c r="V447" t="s">
        <v>1519</v>
      </c>
      <c r="W447">
        <v>390</v>
      </c>
      <c r="X447">
        <v>16.989999999999998</v>
      </c>
      <c r="Y447">
        <v>49</v>
      </c>
      <c r="Z447">
        <v>279000</v>
      </c>
      <c r="AA447">
        <v>364650</v>
      </c>
      <c r="AB447">
        <v>140</v>
      </c>
      <c r="AD447" t="s">
        <v>238</v>
      </c>
      <c r="AE447">
        <v>3</v>
      </c>
      <c r="AF447">
        <v>0</v>
      </c>
      <c r="AI447">
        <v>40</v>
      </c>
      <c r="AJ447">
        <v>90</v>
      </c>
      <c r="AK447">
        <v>130</v>
      </c>
      <c r="AL447">
        <v>935</v>
      </c>
      <c r="AM447">
        <v>130</v>
      </c>
      <c r="AN447">
        <v>0</v>
      </c>
      <c r="AO447">
        <v>130</v>
      </c>
      <c r="AP447" t="s">
        <v>80</v>
      </c>
      <c r="AQ447" t="s">
        <v>179</v>
      </c>
      <c r="AT447" t="s">
        <v>240</v>
      </c>
      <c r="AU447" t="s">
        <v>240</v>
      </c>
      <c r="AV447" t="s">
        <v>1651</v>
      </c>
      <c r="AW447" t="s">
        <v>69</v>
      </c>
      <c r="AX447" t="s">
        <v>1652</v>
      </c>
      <c r="AY447" t="s">
        <v>1209</v>
      </c>
      <c r="AZ447" t="s">
        <v>243</v>
      </c>
      <c r="BA447" t="s">
        <v>264</v>
      </c>
      <c r="BB447" t="s">
        <v>264</v>
      </c>
      <c r="BC447" t="s">
        <v>264</v>
      </c>
      <c r="BD447" t="s">
        <v>1661</v>
      </c>
      <c r="BE447" t="s">
        <v>1654</v>
      </c>
      <c r="BF447" t="s">
        <v>291</v>
      </c>
      <c r="BG447" t="s">
        <v>150</v>
      </c>
      <c r="BH447" t="str">
        <f>IF(COUNTIF(工作表1!A:A, $C447)&gt;0, "預購款", "非預購款")</f>
        <v>非預購款</v>
      </c>
    </row>
    <row r="448" spans="1:60" x14ac:dyDescent="0.25">
      <c r="A448" t="s">
        <v>1642</v>
      </c>
      <c r="B448" t="s">
        <v>576</v>
      </c>
      <c r="C448" t="s">
        <v>1643</v>
      </c>
      <c r="D448" t="s">
        <v>1644</v>
      </c>
      <c r="E448" t="s">
        <v>1645</v>
      </c>
      <c r="F448" t="s">
        <v>1310</v>
      </c>
      <c r="G448" t="s">
        <v>1646</v>
      </c>
      <c r="H448" t="s">
        <v>132</v>
      </c>
      <c r="I448" t="s">
        <v>171</v>
      </c>
      <c r="J448" t="s">
        <v>172</v>
      </c>
      <c r="K448" t="s">
        <v>69</v>
      </c>
      <c r="L448" t="s">
        <v>1647</v>
      </c>
      <c r="M448" t="s">
        <v>71</v>
      </c>
      <c r="N448" t="s">
        <v>100</v>
      </c>
      <c r="O448" t="s">
        <v>1648</v>
      </c>
      <c r="P448" t="s">
        <v>1649</v>
      </c>
      <c r="R448" t="s">
        <v>1650</v>
      </c>
      <c r="S448" t="s">
        <v>178</v>
      </c>
      <c r="T448" t="s">
        <v>291</v>
      </c>
      <c r="U448" t="s">
        <v>104</v>
      </c>
      <c r="V448" t="s">
        <v>1519</v>
      </c>
      <c r="W448">
        <v>390</v>
      </c>
      <c r="X448">
        <v>16.989999999999998</v>
      </c>
      <c r="Y448">
        <v>49</v>
      </c>
      <c r="Z448">
        <v>279000</v>
      </c>
      <c r="AA448">
        <v>364650</v>
      </c>
      <c r="AB448">
        <v>140</v>
      </c>
      <c r="AD448" t="s">
        <v>238</v>
      </c>
      <c r="AE448">
        <v>3</v>
      </c>
      <c r="AF448">
        <v>0</v>
      </c>
      <c r="AI448">
        <v>20</v>
      </c>
      <c r="AJ448">
        <v>70</v>
      </c>
      <c r="AK448">
        <v>90</v>
      </c>
      <c r="AL448">
        <v>935</v>
      </c>
      <c r="AM448">
        <v>84</v>
      </c>
      <c r="AN448">
        <v>0</v>
      </c>
      <c r="AO448">
        <v>84</v>
      </c>
      <c r="AP448" t="s">
        <v>80</v>
      </c>
      <c r="AQ448" t="s">
        <v>179</v>
      </c>
      <c r="AT448" t="s">
        <v>240</v>
      </c>
      <c r="AU448" t="s">
        <v>240</v>
      </c>
      <c r="AV448" t="s">
        <v>1651</v>
      </c>
      <c r="AW448" t="s">
        <v>69</v>
      </c>
      <c r="AX448" t="s">
        <v>1652</v>
      </c>
      <c r="AY448" t="s">
        <v>1209</v>
      </c>
      <c r="AZ448" t="s">
        <v>243</v>
      </c>
      <c r="BA448" t="s">
        <v>264</v>
      </c>
      <c r="BB448" t="s">
        <v>264</v>
      </c>
      <c r="BC448" t="s">
        <v>264</v>
      </c>
      <c r="BD448" t="s">
        <v>1662</v>
      </c>
      <c r="BE448" t="s">
        <v>1654</v>
      </c>
      <c r="BF448" t="s">
        <v>291</v>
      </c>
      <c r="BG448" t="s">
        <v>150</v>
      </c>
      <c r="BH448" t="str">
        <f>IF(COUNTIF(工作表1!A:A, $C448)&gt;0, "預購款", "非預購款")</f>
        <v>非預購款</v>
      </c>
    </row>
    <row r="449" spans="1:60" x14ac:dyDescent="0.25">
      <c r="A449" t="s">
        <v>1401</v>
      </c>
      <c r="B449" t="s">
        <v>576</v>
      </c>
      <c r="C449" t="s">
        <v>1402</v>
      </c>
      <c r="D449" t="s">
        <v>1403</v>
      </c>
      <c r="E449" t="s">
        <v>1404</v>
      </c>
      <c r="F449" t="s">
        <v>1310</v>
      </c>
      <c r="G449" t="s">
        <v>1405</v>
      </c>
      <c r="H449" t="s">
        <v>119</v>
      </c>
      <c r="I449" t="s">
        <v>97</v>
      </c>
      <c r="J449" t="s">
        <v>98</v>
      </c>
      <c r="K449" t="s">
        <v>69</v>
      </c>
      <c r="L449" t="s">
        <v>1406</v>
      </c>
      <c r="M449" t="s">
        <v>71</v>
      </c>
      <c r="N449" t="s">
        <v>100</v>
      </c>
      <c r="O449" t="s">
        <v>1391</v>
      </c>
      <c r="P449" t="s">
        <v>1392</v>
      </c>
      <c r="R449" t="s">
        <v>1393</v>
      </c>
      <c r="S449" t="s">
        <v>178</v>
      </c>
      <c r="T449" t="s">
        <v>76</v>
      </c>
      <c r="U449" t="s">
        <v>383</v>
      </c>
      <c r="V449" t="s">
        <v>384</v>
      </c>
      <c r="W449">
        <v>990</v>
      </c>
      <c r="X449">
        <v>39.99</v>
      </c>
      <c r="Y449">
        <v>129</v>
      </c>
      <c r="Z449">
        <v>709000</v>
      </c>
      <c r="AA449">
        <v>306900</v>
      </c>
      <c r="AB449">
        <v>544</v>
      </c>
      <c r="AD449" t="s">
        <v>238</v>
      </c>
      <c r="AE449">
        <v>2</v>
      </c>
      <c r="AF449">
        <v>0</v>
      </c>
      <c r="AI449">
        <v>30</v>
      </c>
      <c r="AJ449">
        <v>40</v>
      </c>
      <c r="AK449">
        <v>70</v>
      </c>
      <c r="AL449">
        <v>310</v>
      </c>
      <c r="AM449">
        <v>69</v>
      </c>
      <c r="AN449">
        <v>0</v>
      </c>
      <c r="AO449">
        <v>69</v>
      </c>
      <c r="AP449" t="s">
        <v>80</v>
      </c>
      <c r="AQ449" t="s">
        <v>179</v>
      </c>
      <c r="AR449" t="s">
        <v>261</v>
      </c>
      <c r="AS449" t="s">
        <v>261</v>
      </c>
      <c r="AT449" t="s">
        <v>86</v>
      </c>
      <c r="AU449" t="s">
        <v>261</v>
      </c>
      <c r="AV449" t="s">
        <v>81</v>
      </c>
      <c r="AW449" t="s">
        <v>69</v>
      </c>
      <c r="AX449" t="s">
        <v>1407</v>
      </c>
      <c r="AY449" t="s">
        <v>858</v>
      </c>
      <c r="AZ449" t="s">
        <v>264</v>
      </c>
      <c r="BA449" t="s">
        <v>245</v>
      </c>
      <c r="BB449" t="s">
        <v>245</v>
      </c>
      <c r="BC449" t="s">
        <v>245</v>
      </c>
      <c r="BD449" t="s">
        <v>1408</v>
      </c>
      <c r="BE449" t="s">
        <v>1663</v>
      </c>
      <c r="BF449" t="s">
        <v>86</v>
      </c>
      <c r="BG449" t="s">
        <v>110</v>
      </c>
      <c r="BH449" t="str">
        <f>IF(COUNTIF(工作表1!A:A, $C449)&gt;0, "預購款", "非預購款")</f>
        <v>非預購款</v>
      </c>
    </row>
    <row r="450" spans="1:60" x14ac:dyDescent="0.25">
      <c r="A450" t="s">
        <v>1401</v>
      </c>
      <c r="B450" t="s">
        <v>576</v>
      </c>
      <c r="C450" t="s">
        <v>1402</v>
      </c>
      <c r="D450" t="s">
        <v>1403</v>
      </c>
      <c r="E450" t="s">
        <v>1404</v>
      </c>
      <c r="F450" t="s">
        <v>1310</v>
      </c>
      <c r="G450" t="s">
        <v>1405</v>
      </c>
      <c r="H450" t="s">
        <v>130</v>
      </c>
      <c r="I450" t="s">
        <v>97</v>
      </c>
      <c r="J450" t="s">
        <v>98</v>
      </c>
      <c r="K450" t="s">
        <v>69</v>
      </c>
      <c r="L450" t="s">
        <v>1406</v>
      </c>
      <c r="M450" t="s">
        <v>71</v>
      </c>
      <c r="N450" t="s">
        <v>100</v>
      </c>
      <c r="O450" t="s">
        <v>1391</v>
      </c>
      <c r="P450" t="s">
        <v>1392</v>
      </c>
      <c r="R450" t="s">
        <v>1393</v>
      </c>
      <c r="S450" t="s">
        <v>178</v>
      </c>
      <c r="T450" t="s">
        <v>76</v>
      </c>
      <c r="U450" t="s">
        <v>383</v>
      </c>
      <c r="V450" t="s">
        <v>384</v>
      </c>
      <c r="W450">
        <v>990</v>
      </c>
      <c r="X450">
        <v>39.99</v>
      </c>
      <c r="Y450">
        <v>129</v>
      </c>
      <c r="Z450">
        <v>709000</v>
      </c>
      <c r="AA450">
        <v>306900</v>
      </c>
      <c r="AB450">
        <v>544</v>
      </c>
      <c r="AD450" t="s">
        <v>238</v>
      </c>
      <c r="AE450">
        <v>2</v>
      </c>
      <c r="AF450">
        <v>0</v>
      </c>
      <c r="AI450">
        <v>20</v>
      </c>
      <c r="AJ450">
        <v>50</v>
      </c>
      <c r="AK450">
        <v>70</v>
      </c>
      <c r="AL450">
        <v>310</v>
      </c>
      <c r="AM450">
        <v>66</v>
      </c>
      <c r="AN450">
        <v>0</v>
      </c>
      <c r="AO450">
        <v>66</v>
      </c>
      <c r="AP450" t="s">
        <v>80</v>
      </c>
      <c r="AQ450" t="s">
        <v>179</v>
      </c>
      <c r="AR450" t="s">
        <v>261</v>
      </c>
      <c r="AS450" t="s">
        <v>261</v>
      </c>
      <c r="AT450" t="s">
        <v>86</v>
      </c>
      <c r="AU450" t="s">
        <v>261</v>
      </c>
      <c r="AV450" t="s">
        <v>81</v>
      </c>
      <c r="AW450" t="s">
        <v>69</v>
      </c>
      <c r="AX450" t="s">
        <v>1407</v>
      </c>
      <c r="AY450" t="s">
        <v>858</v>
      </c>
      <c r="AZ450" t="s">
        <v>264</v>
      </c>
      <c r="BA450" t="s">
        <v>245</v>
      </c>
      <c r="BB450" t="s">
        <v>245</v>
      </c>
      <c r="BC450" t="s">
        <v>245</v>
      </c>
      <c r="BD450" t="s">
        <v>1410</v>
      </c>
      <c r="BE450" t="s">
        <v>1663</v>
      </c>
      <c r="BF450" t="s">
        <v>86</v>
      </c>
      <c r="BG450" t="s">
        <v>110</v>
      </c>
      <c r="BH450" t="str">
        <f>IF(COUNTIF(工作表1!A:A, $C450)&gt;0, "預購款", "非預購款")</f>
        <v>非預購款</v>
      </c>
    </row>
    <row r="451" spans="1:60" x14ac:dyDescent="0.25">
      <c r="A451" t="s">
        <v>1401</v>
      </c>
      <c r="B451" t="s">
        <v>576</v>
      </c>
      <c r="C451" t="s">
        <v>1402</v>
      </c>
      <c r="D451" t="s">
        <v>1403</v>
      </c>
      <c r="E451" t="s">
        <v>1404</v>
      </c>
      <c r="F451" t="s">
        <v>1310</v>
      </c>
      <c r="G451" t="s">
        <v>1405</v>
      </c>
      <c r="H451" t="s">
        <v>119</v>
      </c>
      <c r="I451" t="s">
        <v>1552</v>
      </c>
      <c r="J451" t="s">
        <v>1553</v>
      </c>
      <c r="K451" t="s">
        <v>69</v>
      </c>
      <c r="L451" t="s">
        <v>1406</v>
      </c>
      <c r="M451" t="s">
        <v>71</v>
      </c>
      <c r="N451" t="s">
        <v>100</v>
      </c>
      <c r="O451" t="s">
        <v>1391</v>
      </c>
      <c r="P451" t="s">
        <v>1392</v>
      </c>
      <c r="R451" t="s">
        <v>1393</v>
      </c>
      <c r="S451" t="s">
        <v>178</v>
      </c>
      <c r="T451" t="s">
        <v>76</v>
      </c>
      <c r="U451" t="s">
        <v>383</v>
      </c>
      <c r="V451" t="s">
        <v>384</v>
      </c>
      <c r="W451">
        <v>990</v>
      </c>
      <c r="X451">
        <v>39.99</v>
      </c>
      <c r="Y451">
        <v>129</v>
      </c>
      <c r="Z451">
        <v>709000</v>
      </c>
      <c r="AA451">
        <v>306900</v>
      </c>
      <c r="AB451">
        <v>544</v>
      </c>
      <c r="AD451" t="s">
        <v>238</v>
      </c>
      <c r="AE451">
        <v>2</v>
      </c>
      <c r="AF451">
        <v>0</v>
      </c>
      <c r="AI451">
        <v>10</v>
      </c>
      <c r="AJ451">
        <v>50</v>
      </c>
      <c r="AK451">
        <v>60</v>
      </c>
      <c r="AL451">
        <v>310</v>
      </c>
      <c r="AM451">
        <v>55</v>
      </c>
      <c r="AN451">
        <v>0</v>
      </c>
      <c r="AO451">
        <v>55</v>
      </c>
      <c r="AP451" t="s">
        <v>80</v>
      </c>
      <c r="AQ451" t="s">
        <v>179</v>
      </c>
      <c r="AR451" t="s">
        <v>261</v>
      </c>
      <c r="AS451" t="s">
        <v>261</v>
      </c>
      <c r="AT451" t="s">
        <v>86</v>
      </c>
      <c r="AU451" t="s">
        <v>261</v>
      </c>
      <c r="AV451" t="s">
        <v>81</v>
      </c>
      <c r="AW451" t="s">
        <v>69</v>
      </c>
      <c r="AX451" t="s">
        <v>1407</v>
      </c>
      <c r="AY451" t="s">
        <v>858</v>
      </c>
      <c r="AZ451" t="s">
        <v>264</v>
      </c>
      <c r="BA451" t="s">
        <v>245</v>
      </c>
      <c r="BB451" t="s">
        <v>245</v>
      </c>
      <c r="BC451" t="s">
        <v>245</v>
      </c>
      <c r="BD451" t="s">
        <v>1664</v>
      </c>
      <c r="BE451" t="s">
        <v>1663</v>
      </c>
      <c r="BF451" t="s">
        <v>86</v>
      </c>
      <c r="BG451" t="s">
        <v>110</v>
      </c>
      <c r="BH451" t="str">
        <f>IF(COUNTIF(工作表1!A:A, $C451)&gt;0, "預購款", "非預購款")</f>
        <v>非預購款</v>
      </c>
    </row>
    <row r="452" spans="1:60" x14ac:dyDescent="0.25">
      <c r="A452" t="s">
        <v>1401</v>
      </c>
      <c r="B452" t="s">
        <v>576</v>
      </c>
      <c r="C452" t="s">
        <v>1402</v>
      </c>
      <c r="D452" t="s">
        <v>1403</v>
      </c>
      <c r="E452" t="s">
        <v>1404</v>
      </c>
      <c r="F452" t="s">
        <v>1310</v>
      </c>
      <c r="G452" t="s">
        <v>1405</v>
      </c>
      <c r="H452" t="s">
        <v>130</v>
      </c>
      <c r="I452" t="s">
        <v>1552</v>
      </c>
      <c r="J452" t="s">
        <v>1553</v>
      </c>
      <c r="K452" t="s">
        <v>69</v>
      </c>
      <c r="L452" t="s">
        <v>1406</v>
      </c>
      <c r="M452" t="s">
        <v>71</v>
      </c>
      <c r="N452" t="s">
        <v>100</v>
      </c>
      <c r="O452" t="s">
        <v>1391</v>
      </c>
      <c r="P452" t="s">
        <v>1392</v>
      </c>
      <c r="R452" t="s">
        <v>1393</v>
      </c>
      <c r="S452" t="s">
        <v>178</v>
      </c>
      <c r="T452" t="s">
        <v>76</v>
      </c>
      <c r="U452" t="s">
        <v>383</v>
      </c>
      <c r="V452" t="s">
        <v>384</v>
      </c>
      <c r="W452">
        <v>990</v>
      </c>
      <c r="X452">
        <v>39.99</v>
      </c>
      <c r="Y452">
        <v>129</v>
      </c>
      <c r="Z452">
        <v>709000</v>
      </c>
      <c r="AA452">
        <v>306900</v>
      </c>
      <c r="AB452">
        <v>544</v>
      </c>
      <c r="AD452" t="s">
        <v>238</v>
      </c>
      <c r="AE452">
        <v>2</v>
      </c>
      <c r="AF452">
        <v>0</v>
      </c>
      <c r="AI452">
        <v>10</v>
      </c>
      <c r="AJ452">
        <v>60</v>
      </c>
      <c r="AK452">
        <v>70</v>
      </c>
      <c r="AL452">
        <v>310</v>
      </c>
      <c r="AM452">
        <v>66</v>
      </c>
      <c r="AN452">
        <v>0</v>
      </c>
      <c r="AO452">
        <v>66</v>
      </c>
      <c r="AP452" t="s">
        <v>80</v>
      </c>
      <c r="AQ452" t="s">
        <v>179</v>
      </c>
      <c r="AR452" t="s">
        <v>261</v>
      </c>
      <c r="AS452" t="s">
        <v>261</v>
      </c>
      <c r="AT452" t="s">
        <v>86</v>
      </c>
      <c r="AU452" t="s">
        <v>261</v>
      </c>
      <c r="AV452" t="s">
        <v>81</v>
      </c>
      <c r="AW452" t="s">
        <v>69</v>
      </c>
      <c r="AX452" t="s">
        <v>1407</v>
      </c>
      <c r="AY452" t="s">
        <v>858</v>
      </c>
      <c r="AZ452" t="s">
        <v>264</v>
      </c>
      <c r="BA452" t="s">
        <v>245</v>
      </c>
      <c r="BB452" t="s">
        <v>245</v>
      </c>
      <c r="BC452" t="s">
        <v>245</v>
      </c>
      <c r="BD452" t="s">
        <v>1665</v>
      </c>
      <c r="BE452" t="s">
        <v>1663</v>
      </c>
      <c r="BF452" t="s">
        <v>86</v>
      </c>
      <c r="BG452" t="s">
        <v>110</v>
      </c>
      <c r="BH452" t="str">
        <f>IF(COUNTIF(工作表1!A:A, $C452)&gt;0, "預購款", "非預購款")</f>
        <v>非預購款</v>
      </c>
    </row>
    <row r="453" spans="1:60" x14ac:dyDescent="0.25">
      <c r="A453" t="s">
        <v>1401</v>
      </c>
      <c r="B453" t="s">
        <v>576</v>
      </c>
      <c r="C453" t="s">
        <v>1402</v>
      </c>
      <c r="D453" t="s">
        <v>1403</v>
      </c>
      <c r="E453" t="s">
        <v>1404</v>
      </c>
      <c r="F453" t="s">
        <v>1310</v>
      </c>
      <c r="G453" t="s">
        <v>1405</v>
      </c>
      <c r="H453" t="s">
        <v>132</v>
      </c>
      <c r="I453" t="s">
        <v>1552</v>
      </c>
      <c r="J453" t="s">
        <v>1553</v>
      </c>
      <c r="K453" t="s">
        <v>69</v>
      </c>
      <c r="L453" t="s">
        <v>1406</v>
      </c>
      <c r="M453" t="s">
        <v>71</v>
      </c>
      <c r="N453" t="s">
        <v>100</v>
      </c>
      <c r="O453" t="s">
        <v>1391</v>
      </c>
      <c r="P453" t="s">
        <v>1392</v>
      </c>
      <c r="R453" t="s">
        <v>1393</v>
      </c>
      <c r="S453" t="s">
        <v>178</v>
      </c>
      <c r="T453" t="s">
        <v>76</v>
      </c>
      <c r="U453" t="s">
        <v>383</v>
      </c>
      <c r="V453" t="s">
        <v>384</v>
      </c>
      <c r="W453">
        <v>990</v>
      </c>
      <c r="X453">
        <v>39.99</v>
      </c>
      <c r="Y453">
        <v>129</v>
      </c>
      <c r="Z453">
        <v>709000</v>
      </c>
      <c r="AA453">
        <v>306900</v>
      </c>
      <c r="AB453">
        <v>544</v>
      </c>
      <c r="AD453" t="s">
        <v>238</v>
      </c>
      <c r="AE453">
        <v>2</v>
      </c>
      <c r="AF453">
        <v>0</v>
      </c>
      <c r="AI453">
        <v>10</v>
      </c>
      <c r="AJ453">
        <v>20</v>
      </c>
      <c r="AK453">
        <v>30</v>
      </c>
      <c r="AL453">
        <v>310</v>
      </c>
      <c r="AM453">
        <v>25</v>
      </c>
      <c r="AN453">
        <v>0</v>
      </c>
      <c r="AO453">
        <v>25</v>
      </c>
      <c r="AP453" t="s">
        <v>80</v>
      </c>
      <c r="AQ453" t="s">
        <v>179</v>
      </c>
      <c r="AR453" t="s">
        <v>261</v>
      </c>
      <c r="AS453" t="s">
        <v>261</v>
      </c>
      <c r="AT453" t="s">
        <v>86</v>
      </c>
      <c r="AU453" t="s">
        <v>261</v>
      </c>
      <c r="AV453" t="s">
        <v>81</v>
      </c>
      <c r="AW453" t="s">
        <v>69</v>
      </c>
      <c r="AX453" t="s">
        <v>1407</v>
      </c>
      <c r="AY453" t="s">
        <v>858</v>
      </c>
      <c r="AZ453" t="s">
        <v>264</v>
      </c>
      <c r="BA453" t="s">
        <v>245</v>
      </c>
      <c r="BB453" t="s">
        <v>245</v>
      </c>
      <c r="BC453" t="s">
        <v>245</v>
      </c>
      <c r="BD453" t="s">
        <v>1666</v>
      </c>
      <c r="BE453" t="s">
        <v>1663</v>
      </c>
      <c r="BF453" t="s">
        <v>86</v>
      </c>
      <c r="BG453" t="s">
        <v>110</v>
      </c>
      <c r="BH453" t="str">
        <f>IF(COUNTIF(工作表1!A:A, $C453)&gt;0, "預購款", "非預購款")</f>
        <v>非預購款</v>
      </c>
    </row>
    <row r="454" spans="1:60" x14ac:dyDescent="0.25">
      <c r="A454" t="s">
        <v>1667</v>
      </c>
      <c r="B454" t="s">
        <v>759</v>
      </c>
      <c r="C454" t="s">
        <v>1668</v>
      </c>
      <c r="D454" t="s">
        <v>1669</v>
      </c>
      <c r="E454" t="s">
        <v>1670</v>
      </c>
      <c r="F454" t="s">
        <v>1310</v>
      </c>
      <c r="G454" t="s">
        <v>1671</v>
      </c>
      <c r="H454" t="s">
        <v>66</v>
      </c>
      <c r="I454" t="s">
        <v>97</v>
      </c>
      <c r="J454" t="s">
        <v>98</v>
      </c>
      <c r="K454" t="s">
        <v>80</v>
      </c>
      <c r="L454" t="s">
        <v>1672</v>
      </c>
      <c r="M454" t="s">
        <v>71</v>
      </c>
      <c r="N454" t="s">
        <v>100</v>
      </c>
      <c r="O454" t="s">
        <v>1648</v>
      </c>
      <c r="P454" t="s">
        <v>1649</v>
      </c>
      <c r="R454" t="s">
        <v>1650</v>
      </c>
      <c r="S454" t="s">
        <v>178</v>
      </c>
      <c r="T454" t="s">
        <v>258</v>
      </c>
      <c r="U454" t="s">
        <v>1673</v>
      </c>
      <c r="V454" t="s">
        <v>1674</v>
      </c>
      <c r="W454">
        <v>590</v>
      </c>
      <c r="X454">
        <v>29.99</v>
      </c>
      <c r="Y454">
        <v>75</v>
      </c>
      <c r="Z454">
        <v>429000</v>
      </c>
      <c r="AA454">
        <v>73750</v>
      </c>
      <c r="AB454">
        <v>190</v>
      </c>
      <c r="AD454" t="s">
        <v>238</v>
      </c>
      <c r="AE454">
        <v>1</v>
      </c>
      <c r="AF454">
        <v>0</v>
      </c>
      <c r="AI454">
        <v>0</v>
      </c>
      <c r="AJ454">
        <v>125</v>
      </c>
      <c r="AK454">
        <v>125</v>
      </c>
      <c r="AL454">
        <v>125</v>
      </c>
      <c r="AM454">
        <v>126</v>
      </c>
      <c r="AN454">
        <v>0</v>
      </c>
      <c r="AO454">
        <v>126</v>
      </c>
      <c r="AP454" t="s">
        <v>80</v>
      </c>
      <c r="AQ454" t="s">
        <v>954</v>
      </c>
      <c r="AR454" t="s">
        <v>261</v>
      </c>
      <c r="AS454" t="s">
        <v>261</v>
      </c>
      <c r="AT454" t="s">
        <v>86</v>
      </c>
      <c r="AU454" t="s">
        <v>261</v>
      </c>
      <c r="AV454" t="s">
        <v>1675</v>
      </c>
      <c r="AW454" t="s">
        <v>69</v>
      </c>
      <c r="AX454" t="s">
        <v>126</v>
      </c>
      <c r="AY454" t="s">
        <v>1676</v>
      </c>
      <c r="AZ454" t="s">
        <v>245</v>
      </c>
      <c r="BA454" t="s">
        <v>243</v>
      </c>
      <c r="BB454" t="s">
        <v>264</v>
      </c>
      <c r="BC454" t="s">
        <v>245</v>
      </c>
      <c r="BD454" t="s">
        <v>1677</v>
      </c>
      <c r="BE454" t="s">
        <v>1678</v>
      </c>
      <c r="BF454" t="s">
        <v>240</v>
      </c>
      <c r="BG454" t="s">
        <v>150</v>
      </c>
      <c r="BH454" t="str">
        <f>IF(COUNTIF(工作表1!A:A, $C454)&gt;0, "預購款", "非預購款")</f>
        <v>非預購款</v>
      </c>
    </row>
    <row r="455" spans="1:60" x14ac:dyDescent="0.25">
      <c r="A455" t="s">
        <v>1679</v>
      </c>
      <c r="B455" t="s">
        <v>776</v>
      </c>
      <c r="C455" t="s">
        <v>1680</v>
      </c>
      <c r="D455" t="s">
        <v>1681</v>
      </c>
      <c r="E455" t="s">
        <v>1682</v>
      </c>
      <c r="F455" t="s">
        <v>1310</v>
      </c>
      <c r="G455" t="s">
        <v>1683</v>
      </c>
      <c r="H455" t="s">
        <v>119</v>
      </c>
      <c r="I455" t="s">
        <v>214</v>
      </c>
      <c r="J455" t="s">
        <v>215</v>
      </c>
      <c r="K455" t="s">
        <v>69</v>
      </c>
      <c r="L455" t="s">
        <v>1684</v>
      </c>
      <c r="M455" t="s">
        <v>71</v>
      </c>
      <c r="N455" t="s">
        <v>100</v>
      </c>
      <c r="O455" t="s">
        <v>1648</v>
      </c>
      <c r="P455" t="s">
        <v>1649</v>
      </c>
      <c r="R455" t="s">
        <v>1650</v>
      </c>
      <c r="S455" t="s">
        <v>178</v>
      </c>
      <c r="T455" t="s">
        <v>291</v>
      </c>
      <c r="U455" t="s">
        <v>383</v>
      </c>
      <c r="V455" t="s">
        <v>384</v>
      </c>
      <c r="W455">
        <v>790</v>
      </c>
      <c r="X455">
        <v>34.99</v>
      </c>
      <c r="Y455">
        <v>99</v>
      </c>
      <c r="Z455">
        <v>569000</v>
      </c>
      <c r="AA455">
        <v>537200</v>
      </c>
      <c r="AB455">
        <v>630</v>
      </c>
      <c r="AD455" t="s">
        <v>238</v>
      </c>
      <c r="AE455">
        <v>2</v>
      </c>
      <c r="AF455">
        <v>0</v>
      </c>
      <c r="AI455">
        <v>15</v>
      </c>
      <c r="AJ455">
        <v>160</v>
      </c>
      <c r="AK455">
        <v>175</v>
      </c>
      <c r="AL455">
        <v>680</v>
      </c>
      <c r="AM455">
        <v>183</v>
      </c>
      <c r="AN455">
        <v>0</v>
      </c>
      <c r="AO455">
        <v>183</v>
      </c>
      <c r="AP455" t="s">
        <v>80</v>
      </c>
      <c r="AQ455" t="s">
        <v>179</v>
      </c>
      <c r="AT455" t="s">
        <v>86</v>
      </c>
      <c r="AU455" t="s">
        <v>86</v>
      </c>
      <c r="AV455" t="s">
        <v>1685</v>
      </c>
      <c r="AW455" t="s">
        <v>69</v>
      </c>
      <c r="AX455" t="s">
        <v>126</v>
      </c>
      <c r="AY455" t="s">
        <v>1686</v>
      </c>
      <c r="AZ455" t="s">
        <v>310</v>
      </c>
      <c r="BA455" t="s">
        <v>310</v>
      </c>
      <c r="BB455" t="s">
        <v>244</v>
      </c>
      <c r="BC455" t="s">
        <v>264</v>
      </c>
      <c r="BD455" t="s">
        <v>1687</v>
      </c>
      <c r="BE455" t="s">
        <v>1688</v>
      </c>
      <c r="BF455" t="s">
        <v>291</v>
      </c>
      <c r="BG455" t="s">
        <v>150</v>
      </c>
      <c r="BH455" t="str">
        <f>IF(COUNTIF(工作表1!A:A, $C455)&gt;0, "預購款", "非預購款")</f>
        <v>非預購款</v>
      </c>
    </row>
    <row r="456" spans="1:60" x14ac:dyDescent="0.25">
      <c r="A456" t="s">
        <v>1679</v>
      </c>
      <c r="B456" t="s">
        <v>776</v>
      </c>
      <c r="C456" t="s">
        <v>1680</v>
      </c>
      <c r="D456" t="s">
        <v>1681</v>
      </c>
      <c r="E456" t="s">
        <v>1682</v>
      </c>
      <c r="F456" t="s">
        <v>1310</v>
      </c>
      <c r="G456" t="s">
        <v>1683</v>
      </c>
      <c r="H456" t="s">
        <v>130</v>
      </c>
      <c r="I456" t="s">
        <v>214</v>
      </c>
      <c r="J456" t="s">
        <v>215</v>
      </c>
      <c r="K456" t="s">
        <v>69</v>
      </c>
      <c r="L456" t="s">
        <v>1684</v>
      </c>
      <c r="M456" t="s">
        <v>71</v>
      </c>
      <c r="N456" t="s">
        <v>100</v>
      </c>
      <c r="O456" t="s">
        <v>1648</v>
      </c>
      <c r="P456" t="s">
        <v>1649</v>
      </c>
      <c r="R456" t="s">
        <v>1650</v>
      </c>
      <c r="S456" t="s">
        <v>178</v>
      </c>
      <c r="T456" t="s">
        <v>291</v>
      </c>
      <c r="U456" t="s">
        <v>383</v>
      </c>
      <c r="V456" t="s">
        <v>384</v>
      </c>
      <c r="W456">
        <v>790</v>
      </c>
      <c r="X456">
        <v>34.99</v>
      </c>
      <c r="Y456">
        <v>99</v>
      </c>
      <c r="Z456">
        <v>569000</v>
      </c>
      <c r="AA456">
        <v>537200</v>
      </c>
      <c r="AB456">
        <v>630</v>
      </c>
      <c r="AD456" t="s">
        <v>238</v>
      </c>
      <c r="AE456">
        <v>2</v>
      </c>
      <c r="AF456">
        <v>0</v>
      </c>
      <c r="AI456">
        <v>15</v>
      </c>
      <c r="AJ456">
        <v>140</v>
      </c>
      <c r="AK456">
        <v>155</v>
      </c>
      <c r="AL456">
        <v>680</v>
      </c>
      <c r="AM456">
        <v>165</v>
      </c>
      <c r="AN456">
        <v>0</v>
      </c>
      <c r="AO456">
        <v>165</v>
      </c>
      <c r="AP456" t="s">
        <v>80</v>
      </c>
      <c r="AQ456" t="s">
        <v>179</v>
      </c>
      <c r="AT456" t="s">
        <v>86</v>
      </c>
      <c r="AU456" t="s">
        <v>86</v>
      </c>
      <c r="AV456" t="s">
        <v>1685</v>
      </c>
      <c r="AW456" t="s">
        <v>69</v>
      </c>
      <c r="AX456" t="s">
        <v>126</v>
      </c>
      <c r="AY456" t="s">
        <v>1686</v>
      </c>
      <c r="AZ456" t="s">
        <v>310</v>
      </c>
      <c r="BA456" t="s">
        <v>310</v>
      </c>
      <c r="BB456" t="s">
        <v>244</v>
      </c>
      <c r="BC456" t="s">
        <v>264</v>
      </c>
      <c r="BD456" t="s">
        <v>1689</v>
      </c>
      <c r="BE456" t="s">
        <v>1688</v>
      </c>
      <c r="BF456" t="s">
        <v>291</v>
      </c>
      <c r="BG456" t="s">
        <v>150</v>
      </c>
      <c r="BH456" t="str">
        <f>IF(COUNTIF(工作表1!A:A, $C456)&gt;0, "預購款", "非預購款")</f>
        <v>非預購款</v>
      </c>
    </row>
    <row r="457" spans="1:60" x14ac:dyDescent="0.25">
      <c r="A457" t="s">
        <v>1679</v>
      </c>
      <c r="B457" t="s">
        <v>776</v>
      </c>
      <c r="C457" t="s">
        <v>1680</v>
      </c>
      <c r="D457" t="s">
        <v>1681</v>
      </c>
      <c r="E457" t="s">
        <v>1682</v>
      </c>
      <c r="F457" t="s">
        <v>1310</v>
      </c>
      <c r="G457" t="s">
        <v>1683</v>
      </c>
      <c r="H457" t="s">
        <v>132</v>
      </c>
      <c r="I457" t="s">
        <v>214</v>
      </c>
      <c r="J457" t="s">
        <v>215</v>
      </c>
      <c r="K457" t="s">
        <v>69</v>
      </c>
      <c r="L457" t="s">
        <v>1684</v>
      </c>
      <c r="M457" t="s">
        <v>71</v>
      </c>
      <c r="N457" t="s">
        <v>100</v>
      </c>
      <c r="O457" t="s">
        <v>1648</v>
      </c>
      <c r="P457" t="s">
        <v>1649</v>
      </c>
      <c r="R457" t="s">
        <v>1650</v>
      </c>
      <c r="S457" t="s">
        <v>178</v>
      </c>
      <c r="T457" t="s">
        <v>291</v>
      </c>
      <c r="U457" t="s">
        <v>383</v>
      </c>
      <c r="V457" t="s">
        <v>384</v>
      </c>
      <c r="W457">
        <v>790</v>
      </c>
      <c r="X457">
        <v>34.99</v>
      </c>
      <c r="Y457">
        <v>99</v>
      </c>
      <c r="Z457">
        <v>569000</v>
      </c>
      <c r="AA457">
        <v>537200</v>
      </c>
      <c r="AB457">
        <v>630</v>
      </c>
      <c r="AD457" t="s">
        <v>238</v>
      </c>
      <c r="AE457">
        <v>2</v>
      </c>
      <c r="AF457">
        <v>0</v>
      </c>
      <c r="AI457">
        <v>10</v>
      </c>
      <c r="AJ457">
        <v>60</v>
      </c>
      <c r="AK457">
        <v>70</v>
      </c>
      <c r="AL457">
        <v>680</v>
      </c>
      <c r="AM457">
        <v>73</v>
      </c>
      <c r="AN457">
        <v>0</v>
      </c>
      <c r="AO457">
        <v>73</v>
      </c>
      <c r="AP457" t="s">
        <v>80</v>
      </c>
      <c r="AQ457" t="s">
        <v>179</v>
      </c>
      <c r="AT457" t="s">
        <v>86</v>
      </c>
      <c r="AU457" t="s">
        <v>86</v>
      </c>
      <c r="AV457" t="s">
        <v>1685</v>
      </c>
      <c r="AW457" t="s">
        <v>69</v>
      </c>
      <c r="AX457" t="s">
        <v>126</v>
      </c>
      <c r="AY457" t="s">
        <v>1686</v>
      </c>
      <c r="AZ457" t="s">
        <v>310</v>
      </c>
      <c r="BA457" t="s">
        <v>310</v>
      </c>
      <c r="BB457" t="s">
        <v>244</v>
      </c>
      <c r="BC457" t="s">
        <v>264</v>
      </c>
      <c r="BD457" t="s">
        <v>1690</v>
      </c>
      <c r="BE457" t="s">
        <v>1688</v>
      </c>
      <c r="BF457" t="s">
        <v>291</v>
      </c>
      <c r="BG457" t="s">
        <v>150</v>
      </c>
      <c r="BH457" t="str">
        <f>IF(COUNTIF(工作表1!A:A, $C457)&gt;0, "預購款", "非預購款")</f>
        <v>非預購款</v>
      </c>
    </row>
    <row r="458" spans="1:60" x14ac:dyDescent="0.25">
      <c r="A458" t="s">
        <v>1679</v>
      </c>
      <c r="B458" t="s">
        <v>776</v>
      </c>
      <c r="C458" t="s">
        <v>1680</v>
      </c>
      <c r="D458" t="s">
        <v>1681</v>
      </c>
      <c r="E458" t="s">
        <v>1682</v>
      </c>
      <c r="F458" t="s">
        <v>1310</v>
      </c>
      <c r="G458" t="s">
        <v>1683</v>
      </c>
      <c r="H458" t="s">
        <v>119</v>
      </c>
      <c r="I458" t="s">
        <v>171</v>
      </c>
      <c r="J458" t="s">
        <v>172</v>
      </c>
      <c r="K458" t="s">
        <v>80</v>
      </c>
      <c r="L458" t="s">
        <v>1684</v>
      </c>
      <c r="M458" t="s">
        <v>71</v>
      </c>
      <c r="N458" t="s">
        <v>100</v>
      </c>
      <c r="O458" t="s">
        <v>1648</v>
      </c>
      <c r="P458" t="s">
        <v>1649</v>
      </c>
      <c r="R458" t="s">
        <v>1650</v>
      </c>
      <c r="S458" t="s">
        <v>178</v>
      </c>
      <c r="T458" t="s">
        <v>291</v>
      </c>
      <c r="U458" t="s">
        <v>383</v>
      </c>
      <c r="V458" t="s">
        <v>384</v>
      </c>
      <c r="W458">
        <v>790</v>
      </c>
      <c r="X458">
        <v>34.99</v>
      </c>
      <c r="Y458">
        <v>99</v>
      </c>
      <c r="Z458">
        <v>569000</v>
      </c>
      <c r="AA458">
        <v>537200</v>
      </c>
      <c r="AB458">
        <v>630</v>
      </c>
      <c r="AD458" t="s">
        <v>238</v>
      </c>
      <c r="AE458">
        <v>2</v>
      </c>
      <c r="AF458">
        <v>0</v>
      </c>
      <c r="AI458">
        <v>15</v>
      </c>
      <c r="AJ458">
        <v>120</v>
      </c>
      <c r="AK458">
        <v>135</v>
      </c>
      <c r="AL458">
        <v>680</v>
      </c>
      <c r="AM458">
        <v>147</v>
      </c>
      <c r="AN458">
        <v>0</v>
      </c>
      <c r="AO458">
        <v>147</v>
      </c>
      <c r="AP458" t="s">
        <v>80</v>
      </c>
      <c r="AQ458" t="s">
        <v>179</v>
      </c>
      <c r="AT458" t="s">
        <v>86</v>
      </c>
      <c r="AU458" t="s">
        <v>86</v>
      </c>
      <c r="AV458" t="s">
        <v>1685</v>
      </c>
      <c r="AW458" t="s">
        <v>69</v>
      </c>
      <c r="AX458" t="s">
        <v>126</v>
      </c>
      <c r="AY458" t="s">
        <v>1686</v>
      </c>
      <c r="AZ458" t="s">
        <v>310</v>
      </c>
      <c r="BA458" t="s">
        <v>310</v>
      </c>
      <c r="BB458" t="s">
        <v>244</v>
      </c>
      <c r="BC458" t="s">
        <v>264</v>
      </c>
      <c r="BD458" t="s">
        <v>1691</v>
      </c>
      <c r="BE458" t="s">
        <v>1688</v>
      </c>
      <c r="BF458" t="s">
        <v>291</v>
      </c>
      <c r="BG458" t="s">
        <v>150</v>
      </c>
      <c r="BH458" t="str">
        <f>IF(COUNTIF(工作表1!A:A, $C458)&gt;0, "預購款", "非預購款")</f>
        <v>非預購款</v>
      </c>
    </row>
    <row r="459" spans="1:60" x14ac:dyDescent="0.25">
      <c r="A459" t="s">
        <v>1679</v>
      </c>
      <c r="B459" t="s">
        <v>776</v>
      </c>
      <c r="C459" t="s">
        <v>1680</v>
      </c>
      <c r="D459" t="s">
        <v>1681</v>
      </c>
      <c r="E459" t="s">
        <v>1682</v>
      </c>
      <c r="F459" t="s">
        <v>1310</v>
      </c>
      <c r="G459" t="s">
        <v>1683</v>
      </c>
      <c r="H459" t="s">
        <v>130</v>
      </c>
      <c r="I459" t="s">
        <v>171</v>
      </c>
      <c r="J459" t="s">
        <v>172</v>
      </c>
      <c r="K459" t="s">
        <v>80</v>
      </c>
      <c r="L459" t="s">
        <v>1684</v>
      </c>
      <c r="M459" t="s">
        <v>71</v>
      </c>
      <c r="N459" t="s">
        <v>100</v>
      </c>
      <c r="O459" t="s">
        <v>1648</v>
      </c>
      <c r="P459" t="s">
        <v>1649</v>
      </c>
      <c r="R459" t="s">
        <v>1650</v>
      </c>
      <c r="S459" t="s">
        <v>178</v>
      </c>
      <c r="T459" t="s">
        <v>291</v>
      </c>
      <c r="U459" t="s">
        <v>383</v>
      </c>
      <c r="V459" t="s">
        <v>384</v>
      </c>
      <c r="W459">
        <v>790</v>
      </c>
      <c r="X459">
        <v>34.99</v>
      </c>
      <c r="Y459">
        <v>99</v>
      </c>
      <c r="Z459">
        <v>569000</v>
      </c>
      <c r="AA459">
        <v>537200</v>
      </c>
      <c r="AB459">
        <v>630</v>
      </c>
      <c r="AD459" t="s">
        <v>238</v>
      </c>
      <c r="AE459">
        <v>2</v>
      </c>
      <c r="AF459">
        <v>0</v>
      </c>
      <c r="AI459">
        <v>15</v>
      </c>
      <c r="AJ459">
        <v>100</v>
      </c>
      <c r="AK459">
        <v>115</v>
      </c>
      <c r="AL459">
        <v>680</v>
      </c>
      <c r="AM459">
        <v>130</v>
      </c>
      <c r="AN459">
        <v>0</v>
      </c>
      <c r="AO459">
        <v>130</v>
      </c>
      <c r="AP459" t="s">
        <v>80</v>
      </c>
      <c r="AQ459" t="s">
        <v>179</v>
      </c>
      <c r="AT459" t="s">
        <v>86</v>
      </c>
      <c r="AU459" t="s">
        <v>86</v>
      </c>
      <c r="AV459" t="s">
        <v>1685</v>
      </c>
      <c r="AW459" t="s">
        <v>69</v>
      </c>
      <c r="AX459" t="s">
        <v>126</v>
      </c>
      <c r="AY459" t="s">
        <v>1686</v>
      </c>
      <c r="AZ459" t="s">
        <v>310</v>
      </c>
      <c r="BA459" t="s">
        <v>310</v>
      </c>
      <c r="BB459" t="s">
        <v>244</v>
      </c>
      <c r="BC459" t="s">
        <v>264</v>
      </c>
      <c r="BD459" t="s">
        <v>1692</v>
      </c>
      <c r="BE459" t="s">
        <v>1688</v>
      </c>
      <c r="BF459" t="s">
        <v>291</v>
      </c>
      <c r="BG459" t="s">
        <v>150</v>
      </c>
      <c r="BH459" t="str">
        <f>IF(COUNTIF(工作表1!A:A, $C459)&gt;0, "預購款", "非預購款")</f>
        <v>非預購款</v>
      </c>
    </row>
    <row r="460" spans="1:60" x14ac:dyDescent="0.25">
      <c r="A460" t="s">
        <v>1679</v>
      </c>
      <c r="B460" t="s">
        <v>776</v>
      </c>
      <c r="C460" t="s">
        <v>1680</v>
      </c>
      <c r="D460" t="s">
        <v>1681</v>
      </c>
      <c r="E460" t="s">
        <v>1682</v>
      </c>
      <c r="F460" t="s">
        <v>1310</v>
      </c>
      <c r="G460" t="s">
        <v>1683</v>
      </c>
      <c r="H460" t="s">
        <v>132</v>
      </c>
      <c r="I460" t="s">
        <v>171</v>
      </c>
      <c r="J460" t="s">
        <v>172</v>
      </c>
      <c r="K460" t="s">
        <v>80</v>
      </c>
      <c r="L460" t="s">
        <v>1684</v>
      </c>
      <c r="M460" t="s">
        <v>71</v>
      </c>
      <c r="N460" t="s">
        <v>100</v>
      </c>
      <c r="O460" t="s">
        <v>1648</v>
      </c>
      <c r="P460" t="s">
        <v>1649</v>
      </c>
      <c r="R460" t="s">
        <v>1650</v>
      </c>
      <c r="S460" t="s">
        <v>178</v>
      </c>
      <c r="T460" t="s">
        <v>291</v>
      </c>
      <c r="U460" t="s">
        <v>383</v>
      </c>
      <c r="V460" t="s">
        <v>384</v>
      </c>
      <c r="W460">
        <v>790</v>
      </c>
      <c r="X460">
        <v>34.99</v>
      </c>
      <c r="Y460">
        <v>99</v>
      </c>
      <c r="Z460">
        <v>569000</v>
      </c>
      <c r="AA460">
        <v>537200</v>
      </c>
      <c r="AB460">
        <v>630</v>
      </c>
      <c r="AD460" t="s">
        <v>238</v>
      </c>
      <c r="AE460">
        <v>2</v>
      </c>
      <c r="AF460">
        <v>0</v>
      </c>
      <c r="AI460">
        <v>10</v>
      </c>
      <c r="AJ460">
        <v>20</v>
      </c>
      <c r="AK460">
        <v>30</v>
      </c>
      <c r="AL460">
        <v>680</v>
      </c>
      <c r="AM460">
        <v>36</v>
      </c>
      <c r="AN460">
        <v>0</v>
      </c>
      <c r="AO460">
        <v>36</v>
      </c>
      <c r="AP460" t="s">
        <v>80</v>
      </c>
      <c r="AQ460" t="s">
        <v>179</v>
      </c>
      <c r="AT460" t="s">
        <v>86</v>
      </c>
      <c r="AU460" t="s">
        <v>86</v>
      </c>
      <c r="AV460" t="s">
        <v>1685</v>
      </c>
      <c r="AW460" t="s">
        <v>69</v>
      </c>
      <c r="AX460" t="s">
        <v>126</v>
      </c>
      <c r="AY460" t="s">
        <v>1686</v>
      </c>
      <c r="AZ460" t="s">
        <v>310</v>
      </c>
      <c r="BA460" t="s">
        <v>310</v>
      </c>
      <c r="BB460" t="s">
        <v>244</v>
      </c>
      <c r="BC460" t="s">
        <v>264</v>
      </c>
      <c r="BD460" t="s">
        <v>1693</v>
      </c>
      <c r="BE460" t="s">
        <v>1688</v>
      </c>
      <c r="BF460" t="s">
        <v>291</v>
      </c>
      <c r="BG460" t="s">
        <v>150</v>
      </c>
      <c r="BH460" t="str">
        <f>IF(COUNTIF(工作表1!A:A, $C460)&gt;0, "預購款", "非預購款")</f>
        <v>非預購款</v>
      </c>
    </row>
    <row r="461" spans="1:60" x14ac:dyDescent="0.25">
      <c r="A461" t="s">
        <v>1694</v>
      </c>
      <c r="B461" t="s">
        <v>776</v>
      </c>
      <c r="C461" t="s">
        <v>1695</v>
      </c>
      <c r="D461" t="s">
        <v>1696</v>
      </c>
      <c r="E461" t="s">
        <v>1697</v>
      </c>
      <c r="F461" t="s">
        <v>1310</v>
      </c>
      <c r="G461" t="s">
        <v>1698</v>
      </c>
      <c r="H461" t="s">
        <v>119</v>
      </c>
      <c r="I461" t="s">
        <v>214</v>
      </c>
      <c r="J461" t="s">
        <v>215</v>
      </c>
      <c r="K461" t="s">
        <v>69</v>
      </c>
      <c r="L461" t="s">
        <v>1699</v>
      </c>
      <c r="M461" t="s">
        <v>71</v>
      </c>
      <c r="N461" t="s">
        <v>100</v>
      </c>
      <c r="O461" t="s">
        <v>1648</v>
      </c>
      <c r="P461" t="s">
        <v>1649</v>
      </c>
      <c r="R461" t="s">
        <v>1650</v>
      </c>
      <c r="S461" t="s">
        <v>178</v>
      </c>
      <c r="T461" t="s">
        <v>291</v>
      </c>
      <c r="U461" t="s">
        <v>77</v>
      </c>
      <c r="V461" t="s">
        <v>1700</v>
      </c>
      <c r="W461">
        <v>890</v>
      </c>
      <c r="X461">
        <v>39.99</v>
      </c>
      <c r="Y461">
        <v>115</v>
      </c>
      <c r="Z461">
        <v>639000</v>
      </c>
      <c r="AA461">
        <v>476150</v>
      </c>
      <c r="AB461">
        <v>250</v>
      </c>
      <c r="AD461" t="s">
        <v>238</v>
      </c>
      <c r="AE461">
        <v>2</v>
      </c>
      <c r="AF461">
        <v>0</v>
      </c>
      <c r="AI461">
        <v>40</v>
      </c>
      <c r="AJ461">
        <v>80</v>
      </c>
      <c r="AK461">
        <v>120</v>
      </c>
      <c r="AL461">
        <v>535</v>
      </c>
      <c r="AM461">
        <v>129</v>
      </c>
      <c r="AN461">
        <v>0</v>
      </c>
      <c r="AO461">
        <v>129</v>
      </c>
      <c r="AP461" t="s">
        <v>80</v>
      </c>
      <c r="AQ461" t="s">
        <v>179</v>
      </c>
      <c r="AT461" t="s">
        <v>86</v>
      </c>
      <c r="AU461" t="s">
        <v>86</v>
      </c>
      <c r="AV461" t="s">
        <v>1701</v>
      </c>
      <c r="AW461" t="s">
        <v>69</v>
      </c>
      <c r="AX461" t="s">
        <v>126</v>
      </c>
      <c r="AY461" t="s">
        <v>1686</v>
      </c>
      <c r="AZ461" t="s">
        <v>310</v>
      </c>
      <c r="BA461" t="s">
        <v>245</v>
      </c>
      <c r="BB461" t="s">
        <v>244</v>
      </c>
      <c r="BC461" t="s">
        <v>264</v>
      </c>
      <c r="BD461" t="s">
        <v>1702</v>
      </c>
      <c r="BE461" t="s">
        <v>1703</v>
      </c>
      <c r="BF461" t="s">
        <v>291</v>
      </c>
      <c r="BG461" t="s">
        <v>150</v>
      </c>
      <c r="BH461" t="str">
        <f>IF(COUNTIF(工作表1!A:A, $C461)&gt;0, "預購款", "非預購款")</f>
        <v>非預購款</v>
      </c>
    </row>
    <row r="462" spans="1:60" x14ac:dyDescent="0.25">
      <c r="A462" t="s">
        <v>1694</v>
      </c>
      <c r="B462" t="s">
        <v>776</v>
      </c>
      <c r="C462" t="s">
        <v>1695</v>
      </c>
      <c r="D462" t="s">
        <v>1696</v>
      </c>
      <c r="E462" t="s">
        <v>1697</v>
      </c>
      <c r="F462" t="s">
        <v>1310</v>
      </c>
      <c r="G462" t="s">
        <v>1698</v>
      </c>
      <c r="H462" t="s">
        <v>130</v>
      </c>
      <c r="I462" t="s">
        <v>214</v>
      </c>
      <c r="J462" t="s">
        <v>215</v>
      </c>
      <c r="K462" t="s">
        <v>69</v>
      </c>
      <c r="L462" t="s">
        <v>1699</v>
      </c>
      <c r="M462" t="s">
        <v>71</v>
      </c>
      <c r="N462" t="s">
        <v>100</v>
      </c>
      <c r="O462" t="s">
        <v>1648</v>
      </c>
      <c r="P462" t="s">
        <v>1649</v>
      </c>
      <c r="R462" t="s">
        <v>1650</v>
      </c>
      <c r="S462" t="s">
        <v>178</v>
      </c>
      <c r="T462" t="s">
        <v>291</v>
      </c>
      <c r="U462" t="s">
        <v>77</v>
      </c>
      <c r="V462" t="s">
        <v>1700</v>
      </c>
      <c r="W462">
        <v>890</v>
      </c>
      <c r="X462">
        <v>39.99</v>
      </c>
      <c r="Y462">
        <v>115</v>
      </c>
      <c r="Z462">
        <v>639000</v>
      </c>
      <c r="AA462">
        <v>476150</v>
      </c>
      <c r="AB462">
        <v>250</v>
      </c>
      <c r="AD462" t="s">
        <v>238</v>
      </c>
      <c r="AE462">
        <v>2</v>
      </c>
      <c r="AF462">
        <v>0</v>
      </c>
      <c r="AI462">
        <v>35</v>
      </c>
      <c r="AJ462">
        <v>55</v>
      </c>
      <c r="AK462">
        <v>90</v>
      </c>
      <c r="AL462">
        <v>535</v>
      </c>
      <c r="AM462">
        <v>100</v>
      </c>
      <c r="AN462">
        <v>0</v>
      </c>
      <c r="AO462">
        <v>100</v>
      </c>
      <c r="AP462" t="s">
        <v>80</v>
      </c>
      <c r="AQ462" t="s">
        <v>179</v>
      </c>
      <c r="AT462" t="s">
        <v>86</v>
      </c>
      <c r="AU462" t="s">
        <v>86</v>
      </c>
      <c r="AV462" t="s">
        <v>1701</v>
      </c>
      <c r="AW462" t="s">
        <v>69</v>
      </c>
      <c r="AX462" t="s">
        <v>126</v>
      </c>
      <c r="AY462" t="s">
        <v>1686</v>
      </c>
      <c r="AZ462" t="s">
        <v>310</v>
      </c>
      <c r="BA462" t="s">
        <v>245</v>
      </c>
      <c r="BB462" t="s">
        <v>244</v>
      </c>
      <c r="BC462" t="s">
        <v>264</v>
      </c>
      <c r="BD462" t="s">
        <v>1704</v>
      </c>
      <c r="BE462" t="s">
        <v>1703</v>
      </c>
      <c r="BF462" t="s">
        <v>291</v>
      </c>
      <c r="BG462" t="s">
        <v>150</v>
      </c>
      <c r="BH462" t="str">
        <f>IF(COUNTIF(工作表1!A:A, $C462)&gt;0, "預購款", "非預購款")</f>
        <v>非預購款</v>
      </c>
    </row>
    <row r="463" spans="1:60" x14ac:dyDescent="0.25">
      <c r="A463" t="s">
        <v>1694</v>
      </c>
      <c r="B463" t="s">
        <v>776</v>
      </c>
      <c r="C463" t="s">
        <v>1695</v>
      </c>
      <c r="D463" t="s">
        <v>1696</v>
      </c>
      <c r="E463" t="s">
        <v>1697</v>
      </c>
      <c r="F463" t="s">
        <v>1310</v>
      </c>
      <c r="G463" t="s">
        <v>1698</v>
      </c>
      <c r="H463" t="s">
        <v>132</v>
      </c>
      <c r="I463" t="s">
        <v>214</v>
      </c>
      <c r="J463" t="s">
        <v>215</v>
      </c>
      <c r="K463" t="s">
        <v>69</v>
      </c>
      <c r="L463" t="s">
        <v>1699</v>
      </c>
      <c r="M463" t="s">
        <v>71</v>
      </c>
      <c r="N463" t="s">
        <v>100</v>
      </c>
      <c r="O463" t="s">
        <v>1648</v>
      </c>
      <c r="P463" t="s">
        <v>1649</v>
      </c>
      <c r="R463" t="s">
        <v>1650</v>
      </c>
      <c r="S463" t="s">
        <v>178</v>
      </c>
      <c r="T463" t="s">
        <v>291</v>
      </c>
      <c r="U463" t="s">
        <v>77</v>
      </c>
      <c r="V463" t="s">
        <v>1700</v>
      </c>
      <c r="W463">
        <v>890</v>
      </c>
      <c r="X463">
        <v>39.99</v>
      </c>
      <c r="Y463">
        <v>115</v>
      </c>
      <c r="Z463">
        <v>639000</v>
      </c>
      <c r="AA463">
        <v>476150</v>
      </c>
      <c r="AB463">
        <v>250</v>
      </c>
      <c r="AD463" t="s">
        <v>238</v>
      </c>
      <c r="AE463">
        <v>2</v>
      </c>
      <c r="AF463">
        <v>0</v>
      </c>
      <c r="AI463">
        <v>35</v>
      </c>
      <c r="AJ463">
        <v>45</v>
      </c>
      <c r="AK463">
        <v>80</v>
      </c>
      <c r="AL463">
        <v>535</v>
      </c>
      <c r="AM463">
        <v>89</v>
      </c>
      <c r="AN463">
        <v>0</v>
      </c>
      <c r="AO463">
        <v>89</v>
      </c>
      <c r="AP463" t="s">
        <v>80</v>
      </c>
      <c r="AQ463" t="s">
        <v>179</v>
      </c>
      <c r="AT463" t="s">
        <v>86</v>
      </c>
      <c r="AU463" t="s">
        <v>86</v>
      </c>
      <c r="AV463" t="s">
        <v>1701</v>
      </c>
      <c r="AW463" t="s">
        <v>69</v>
      </c>
      <c r="AX463" t="s">
        <v>126</v>
      </c>
      <c r="AY463" t="s">
        <v>1686</v>
      </c>
      <c r="AZ463" t="s">
        <v>310</v>
      </c>
      <c r="BA463" t="s">
        <v>245</v>
      </c>
      <c r="BB463" t="s">
        <v>244</v>
      </c>
      <c r="BC463" t="s">
        <v>264</v>
      </c>
      <c r="BD463" t="s">
        <v>1705</v>
      </c>
      <c r="BE463" t="s">
        <v>1703</v>
      </c>
      <c r="BF463" t="s">
        <v>291</v>
      </c>
      <c r="BG463" t="s">
        <v>150</v>
      </c>
      <c r="BH463" t="str">
        <f>IF(COUNTIF(工作表1!A:A, $C463)&gt;0, "預購款", "非預購款")</f>
        <v>非預購款</v>
      </c>
    </row>
    <row r="464" spans="1:60" x14ac:dyDescent="0.25">
      <c r="A464" t="s">
        <v>1694</v>
      </c>
      <c r="B464" t="s">
        <v>776</v>
      </c>
      <c r="C464" t="s">
        <v>1695</v>
      </c>
      <c r="D464" t="s">
        <v>1696</v>
      </c>
      <c r="E464" t="s">
        <v>1697</v>
      </c>
      <c r="F464" t="s">
        <v>1310</v>
      </c>
      <c r="G464" t="s">
        <v>1698</v>
      </c>
      <c r="H464" t="s">
        <v>119</v>
      </c>
      <c r="I464" t="s">
        <v>171</v>
      </c>
      <c r="J464" t="s">
        <v>172</v>
      </c>
      <c r="K464" t="s">
        <v>80</v>
      </c>
      <c r="L464" t="s">
        <v>1699</v>
      </c>
      <c r="M464" t="s">
        <v>71</v>
      </c>
      <c r="N464" t="s">
        <v>100</v>
      </c>
      <c r="O464" t="s">
        <v>1648</v>
      </c>
      <c r="P464" t="s">
        <v>1649</v>
      </c>
      <c r="R464" t="s">
        <v>1650</v>
      </c>
      <c r="S464" t="s">
        <v>178</v>
      </c>
      <c r="T464" t="s">
        <v>291</v>
      </c>
      <c r="U464" t="s">
        <v>77</v>
      </c>
      <c r="V464" t="s">
        <v>1700</v>
      </c>
      <c r="W464">
        <v>890</v>
      </c>
      <c r="X464">
        <v>39.99</v>
      </c>
      <c r="Y464">
        <v>115</v>
      </c>
      <c r="Z464">
        <v>639000</v>
      </c>
      <c r="AA464">
        <v>476150</v>
      </c>
      <c r="AB464">
        <v>250</v>
      </c>
      <c r="AD464" t="s">
        <v>238</v>
      </c>
      <c r="AE464">
        <v>2</v>
      </c>
      <c r="AF464">
        <v>0</v>
      </c>
      <c r="AI464">
        <v>10</v>
      </c>
      <c r="AJ464">
        <v>70</v>
      </c>
      <c r="AK464">
        <v>80</v>
      </c>
      <c r="AL464">
        <v>535</v>
      </c>
      <c r="AM464">
        <v>90</v>
      </c>
      <c r="AN464">
        <v>0</v>
      </c>
      <c r="AO464">
        <v>90</v>
      </c>
      <c r="AP464" t="s">
        <v>80</v>
      </c>
      <c r="AQ464" t="s">
        <v>179</v>
      </c>
      <c r="AT464" t="s">
        <v>86</v>
      </c>
      <c r="AU464" t="s">
        <v>86</v>
      </c>
      <c r="AV464" t="s">
        <v>1701</v>
      </c>
      <c r="AW464" t="s">
        <v>69</v>
      </c>
      <c r="AX464" t="s">
        <v>126</v>
      </c>
      <c r="AY464" t="s">
        <v>1686</v>
      </c>
      <c r="AZ464" t="s">
        <v>310</v>
      </c>
      <c r="BA464" t="s">
        <v>245</v>
      </c>
      <c r="BB464" t="s">
        <v>244</v>
      </c>
      <c r="BC464" t="s">
        <v>264</v>
      </c>
      <c r="BD464" t="s">
        <v>1706</v>
      </c>
      <c r="BE464" t="s">
        <v>1703</v>
      </c>
      <c r="BF464" t="s">
        <v>291</v>
      </c>
      <c r="BG464" t="s">
        <v>150</v>
      </c>
      <c r="BH464" t="str">
        <f>IF(COUNTIF(工作表1!A:A, $C464)&gt;0, "預購款", "非預購款")</f>
        <v>非預購款</v>
      </c>
    </row>
    <row r="465" spans="1:60" x14ac:dyDescent="0.25">
      <c r="A465" t="s">
        <v>1694</v>
      </c>
      <c r="B465" t="s">
        <v>776</v>
      </c>
      <c r="C465" t="s">
        <v>1695</v>
      </c>
      <c r="D465" t="s">
        <v>1696</v>
      </c>
      <c r="E465" t="s">
        <v>1697</v>
      </c>
      <c r="F465" t="s">
        <v>1310</v>
      </c>
      <c r="G465" t="s">
        <v>1698</v>
      </c>
      <c r="H465" t="s">
        <v>130</v>
      </c>
      <c r="I465" t="s">
        <v>171</v>
      </c>
      <c r="J465" t="s">
        <v>172</v>
      </c>
      <c r="K465" t="s">
        <v>80</v>
      </c>
      <c r="L465" t="s">
        <v>1699</v>
      </c>
      <c r="M465" t="s">
        <v>71</v>
      </c>
      <c r="N465" t="s">
        <v>100</v>
      </c>
      <c r="O465" t="s">
        <v>1648</v>
      </c>
      <c r="P465" t="s">
        <v>1649</v>
      </c>
      <c r="R465" t="s">
        <v>1650</v>
      </c>
      <c r="S465" t="s">
        <v>178</v>
      </c>
      <c r="T465" t="s">
        <v>291</v>
      </c>
      <c r="U465" t="s">
        <v>77</v>
      </c>
      <c r="V465" t="s">
        <v>1700</v>
      </c>
      <c r="W465">
        <v>890</v>
      </c>
      <c r="X465">
        <v>39.99</v>
      </c>
      <c r="Y465">
        <v>115</v>
      </c>
      <c r="Z465">
        <v>639000</v>
      </c>
      <c r="AA465">
        <v>476150</v>
      </c>
      <c r="AB465">
        <v>250</v>
      </c>
      <c r="AD465" t="s">
        <v>238</v>
      </c>
      <c r="AE465">
        <v>2</v>
      </c>
      <c r="AF465">
        <v>0</v>
      </c>
      <c r="AI465">
        <v>10</v>
      </c>
      <c r="AJ465">
        <v>100</v>
      </c>
      <c r="AK465">
        <v>110</v>
      </c>
      <c r="AL465">
        <v>535</v>
      </c>
      <c r="AM465">
        <v>120</v>
      </c>
      <c r="AN465">
        <v>0</v>
      </c>
      <c r="AO465">
        <v>120</v>
      </c>
      <c r="AP465" t="s">
        <v>80</v>
      </c>
      <c r="AQ465" t="s">
        <v>179</v>
      </c>
      <c r="AT465" t="s">
        <v>86</v>
      </c>
      <c r="AU465" t="s">
        <v>86</v>
      </c>
      <c r="AV465" t="s">
        <v>1701</v>
      </c>
      <c r="AW465" t="s">
        <v>69</v>
      </c>
      <c r="AX465" t="s">
        <v>126</v>
      </c>
      <c r="AY465" t="s">
        <v>1686</v>
      </c>
      <c r="AZ465" t="s">
        <v>310</v>
      </c>
      <c r="BA465" t="s">
        <v>245</v>
      </c>
      <c r="BB465" t="s">
        <v>244</v>
      </c>
      <c r="BC465" t="s">
        <v>264</v>
      </c>
      <c r="BD465" t="s">
        <v>1707</v>
      </c>
      <c r="BE465" t="s">
        <v>1703</v>
      </c>
      <c r="BF465" t="s">
        <v>291</v>
      </c>
      <c r="BG465" t="s">
        <v>150</v>
      </c>
      <c r="BH465" t="str">
        <f>IF(COUNTIF(工作表1!A:A, $C465)&gt;0, "預購款", "非預購款")</f>
        <v>非預購款</v>
      </c>
    </row>
    <row r="466" spans="1:60" x14ac:dyDescent="0.25">
      <c r="A466" t="s">
        <v>1694</v>
      </c>
      <c r="B466" t="s">
        <v>776</v>
      </c>
      <c r="C466" t="s">
        <v>1695</v>
      </c>
      <c r="D466" t="s">
        <v>1696</v>
      </c>
      <c r="E466" t="s">
        <v>1697</v>
      </c>
      <c r="F466" t="s">
        <v>1310</v>
      </c>
      <c r="G466" t="s">
        <v>1698</v>
      </c>
      <c r="H466" t="s">
        <v>132</v>
      </c>
      <c r="I466" t="s">
        <v>171</v>
      </c>
      <c r="J466" t="s">
        <v>172</v>
      </c>
      <c r="K466" t="s">
        <v>80</v>
      </c>
      <c r="L466" t="s">
        <v>1699</v>
      </c>
      <c r="M466" t="s">
        <v>71</v>
      </c>
      <c r="N466" t="s">
        <v>100</v>
      </c>
      <c r="O466" t="s">
        <v>1648</v>
      </c>
      <c r="P466" t="s">
        <v>1649</v>
      </c>
      <c r="R466" t="s">
        <v>1650</v>
      </c>
      <c r="S466" t="s">
        <v>178</v>
      </c>
      <c r="T466" t="s">
        <v>291</v>
      </c>
      <c r="U466" t="s">
        <v>77</v>
      </c>
      <c r="V466" t="s">
        <v>1700</v>
      </c>
      <c r="W466">
        <v>890</v>
      </c>
      <c r="X466">
        <v>39.99</v>
      </c>
      <c r="Y466">
        <v>115</v>
      </c>
      <c r="Z466">
        <v>639000</v>
      </c>
      <c r="AA466">
        <v>476150</v>
      </c>
      <c r="AB466">
        <v>250</v>
      </c>
      <c r="AD466" t="s">
        <v>238</v>
      </c>
      <c r="AE466">
        <v>2</v>
      </c>
      <c r="AF466">
        <v>0</v>
      </c>
      <c r="AI466">
        <v>15</v>
      </c>
      <c r="AJ466">
        <v>40</v>
      </c>
      <c r="AK466">
        <v>55</v>
      </c>
      <c r="AL466">
        <v>535</v>
      </c>
      <c r="AM466">
        <v>62</v>
      </c>
      <c r="AN466">
        <v>0</v>
      </c>
      <c r="AO466">
        <v>62</v>
      </c>
      <c r="AP466" t="s">
        <v>80</v>
      </c>
      <c r="AQ466" t="s">
        <v>179</v>
      </c>
      <c r="AT466" t="s">
        <v>86</v>
      </c>
      <c r="AU466" t="s">
        <v>86</v>
      </c>
      <c r="AV466" t="s">
        <v>1701</v>
      </c>
      <c r="AW466" t="s">
        <v>69</v>
      </c>
      <c r="AX466" t="s">
        <v>126</v>
      </c>
      <c r="AY466" t="s">
        <v>1686</v>
      </c>
      <c r="AZ466" t="s">
        <v>310</v>
      </c>
      <c r="BA466" t="s">
        <v>245</v>
      </c>
      <c r="BB466" t="s">
        <v>244</v>
      </c>
      <c r="BC466" t="s">
        <v>264</v>
      </c>
      <c r="BD466" t="s">
        <v>1708</v>
      </c>
      <c r="BE466" t="s">
        <v>1703</v>
      </c>
      <c r="BF466" t="s">
        <v>291</v>
      </c>
      <c r="BG466" t="s">
        <v>150</v>
      </c>
      <c r="BH466" t="str">
        <f>IF(COUNTIF(工作表1!A:A, $C466)&gt;0, "預購款", "非預購款")</f>
        <v>非預購款</v>
      </c>
    </row>
    <row r="467" spans="1:60" x14ac:dyDescent="0.25">
      <c r="A467" t="s">
        <v>1709</v>
      </c>
      <c r="B467" t="s">
        <v>226</v>
      </c>
      <c r="C467" t="s">
        <v>1710</v>
      </c>
      <c r="D467" t="s">
        <v>1711</v>
      </c>
      <c r="E467" t="s">
        <v>1712</v>
      </c>
      <c r="F467" t="s">
        <v>1310</v>
      </c>
      <c r="G467" t="s">
        <v>1713</v>
      </c>
      <c r="H467" t="s">
        <v>119</v>
      </c>
      <c r="I467" t="s">
        <v>97</v>
      </c>
      <c r="J467" t="s">
        <v>98</v>
      </c>
      <c r="K467" t="s">
        <v>69</v>
      </c>
      <c r="L467" t="s">
        <v>1714</v>
      </c>
      <c r="M467" t="s">
        <v>71</v>
      </c>
      <c r="N467" t="s">
        <v>100</v>
      </c>
      <c r="O467" t="s">
        <v>1391</v>
      </c>
      <c r="P467" t="s">
        <v>1392</v>
      </c>
      <c r="R467" t="s">
        <v>1588</v>
      </c>
      <c r="S467" t="s">
        <v>178</v>
      </c>
      <c r="T467" t="s">
        <v>76</v>
      </c>
      <c r="U467" t="s">
        <v>104</v>
      </c>
      <c r="V467" t="s">
        <v>1519</v>
      </c>
      <c r="W467">
        <v>690</v>
      </c>
      <c r="X467">
        <v>29.99</v>
      </c>
      <c r="Y467">
        <v>89</v>
      </c>
      <c r="Z467">
        <v>499000</v>
      </c>
      <c r="AA467">
        <v>389850</v>
      </c>
      <c r="AB467">
        <v>158</v>
      </c>
      <c r="AD467" t="s">
        <v>238</v>
      </c>
      <c r="AE467">
        <v>2</v>
      </c>
      <c r="AF467">
        <v>5</v>
      </c>
      <c r="AI467">
        <v>15</v>
      </c>
      <c r="AJ467">
        <v>50</v>
      </c>
      <c r="AK467">
        <v>70</v>
      </c>
      <c r="AL467">
        <v>565</v>
      </c>
      <c r="AM467">
        <v>73</v>
      </c>
      <c r="AN467">
        <v>0</v>
      </c>
      <c r="AO467">
        <v>73</v>
      </c>
      <c r="AP467" t="s">
        <v>80</v>
      </c>
      <c r="AQ467" t="s">
        <v>179</v>
      </c>
      <c r="AR467" t="s">
        <v>240</v>
      </c>
      <c r="AS467" t="s">
        <v>240</v>
      </c>
      <c r="AT467" t="s">
        <v>240</v>
      </c>
      <c r="AU467" t="s">
        <v>264</v>
      </c>
      <c r="AV467" t="s">
        <v>1587</v>
      </c>
      <c r="AW467" t="s">
        <v>69</v>
      </c>
      <c r="AX467" t="s">
        <v>1603</v>
      </c>
      <c r="AY467" t="s">
        <v>1715</v>
      </c>
      <c r="AZ467" t="s">
        <v>243</v>
      </c>
      <c r="BA467" t="s">
        <v>244</v>
      </c>
      <c r="BB467" t="s">
        <v>244</v>
      </c>
      <c r="BC467" t="s">
        <v>244</v>
      </c>
      <c r="BD467" t="s">
        <v>1716</v>
      </c>
      <c r="BE467" t="s">
        <v>1717</v>
      </c>
      <c r="BF467" t="s">
        <v>86</v>
      </c>
      <c r="BG467" t="s">
        <v>110</v>
      </c>
      <c r="BH467" t="str">
        <f>IF(COUNTIF(工作表1!A:A, $C467)&gt;0, "預購款", "非預購款")</f>
        <v>非預購款</v>
      </c>
    </row>
    <row r="468" spans="1:60" x14ac:dyDescent="0.25">
      <c r="A468" t="s">
        <v>1709</v>
      </c>
      <c r="B468" t="s">
        <v>226</v>
      </c>
      <c r="C468" t="s">
        <v>1710</v>
      </c>
      <c r="D468" t="s">
        <v>1711</v>
      </c>
      <c r="E468" t="s">
        <v>1712</v>
      </c>
      <c r="F468" t="s">
        <v>1310</v>
      </c>
      <c r="G468" t="s">
        <v>1713</v>
      </c>
      <c r="H468" t="s">
        <v>130</v>
      </c>
      <c r="I468" t="s">
        <v>97</v>
      </c>
      <c r="J468" t="s">
        <v>98</v>
      </c>
      <c r="K468" t="s">
        <v>69</v>
      </c>
      <c r="L468" t="s">
        <v>1714</v>
      </c>
      <c r="M468" t="s">
        <v>71</v>
      </c>
      <c r="N468" t="s">
        <v>100</v>
      </c>
      <c r="O468" t="s">
        <v>1391</v>
      </c>
      <c r="P468" t="s">
        <v>1392</v>
      </c>
      <c r="R468" t="s">
        <v>1588</v>
      </c>
      <c r="S468" t="s">
        <v>178</v>
      </c>
      <c r="T468" t="s">
        <v>76</v>
      </c>
      <c r="U468" t="s">
        <v>104</v>
      </c>
      <c r="V468" t="s">
        <v>1519</v>
      </c>
      <c r="W468">
        <v>690</v>
      </c>
      <c r="X468">
        <v>29.99</v>
      </c>
      <c r="Y468">
        <v>89</v>
      </c>
      <c r="Z468">
        <v>499000</v>
      </c>
      <c r="AA468">
        <v>389850</v>
      </c>
      <c r="AB468">
        <v>158</v>
      </c>
      <c r="AD468" t="s">
        <v>238</v>
      </c>
      <c r="AE468">
        <v>2</v>
      </c>
      <c r="AF468">
        <v>5</v>
      </c>
      <c r="AI468">
        <v>50</v>
      </c>
      <c r="AJ468">
        <v>80</v>
      </c>
      <c r="AK468">
        <v>135</v>
      </c>
      <c r="AL468">
        <v>565</v>
      </c>
      <c r="AM468">
        <v>135</v>
      </c>
      <c r="AN468">
        <v>0</v>
      </c>
      <c r="AO468">
        <v>135</v>
      </c>
      <c r="AP468" t="s">
        <v>80</v>
      </c>
      <c r="AQ468" t="s">
        <v>179</v>
      </c>
      <c r="AR468" t="s">
        <v>240</v>
      </c>
      <c r="AS468" t="s">
        <v>240</v>
      </c>
      <c r="AT468" t="s">
        <v>240</v>
      </c>
      <c r="AU468" t="s">
        <v>264</v>
      </c>
      <c r="AV468" t="s">
        <v>1587</v>
      </c>
      <c r="AW468" t="s">
        <v>69</v>
      </c>
      <c r="AX468" t="s">
        <v>1603</v>
      </c>
      <c r="AY468" t="s">
        <v>1715</v>
      </c>
      <c r="AZ468" t="s">
        <v>243</v>
      </c>
      <c r="BA468" t="s">
        <v>244</v>
      </c>
      <c r="BB468" t="s">
        <v>244</v>
      </c>
      <c r="BC468" t="s">
        <v>244</v>
      </c>
      <c r="BD468" t="s">
        <v>1718</v>
      </c>
      <c r="BE468" t="s">
        <v>1717</v>
      </c>
      <c r="BF468" t="s">
        <v>86</v>
      </c>
      <c r="BG468" t="s">
        <v>110</v>
      </c>
      <c r="BH468" t="str">
        <f>IF(COUNTIF(工作表1!A:A, $C468)&gt;0, "預購款", "非預購款")</f>
        <v>非預購款</v>
      </c>
    </row>
    <row r="469" spans="1:60" x14ac:dyDescent="0.25">
      <c r="A469" t="s">
        <v>1709</v>
      </c>
      <c r="B469" t="s">
        <v>226</v>
      </c>
      <c r="C469" t="s">
        <v>1710</v>
      </c>
      <c r="D469" t="s">
        <v>1711</v>
      </c>
      <c r="E469" t="s">
        <v>1712</v>
      </c>
      <c r="F469" t="s">
        <v>1310</v>
      </c>
      <c r="G469" t="s">
        <v>1713</v>
      </c>
      <c r="H469" t="s">
        <v>132</v>
      </c>
      <c r="I469" t="s">
        <v>97</v>
      </c>
      <c r="J469" t="s">
        <v>98</v>
      </c>
      <c r="K469" t="s">
        <v>69</v>
      </c>
      <c r="L469" t="s">
        <v>1714</v>
      </c>
      <c r="M469" t="s">
        <v>71</v>
      </c>
      <c r="N469" t="s">
        <v>100</v>
      </c>
      <c r="O469" t="s">
        <v>1391</v>
      </c>
      <c r="P469" t="s">
        <v>1392</v>
      </c>
      <c r="R469" t="s">
        <v>1588</v>
      </c>
      <c r="S469" t="s">
        <v>178</v>
      </c>
      <c r="T469" t="s">
        <v>76</v>
      </c>
      <c r="U469" t="s">
        <v>104</v>
      </c>
      <c r="V469" t="s">
        <v>1519</v>
      </c>
      <c r="W469">
        <v>690</v>
      </c>
      <c r="X469">
        <v>29.99</v>
      </c>
      <c r="Y469">
        <v>89</v>
      </c>
      <c r="Z469">
        <v>499000</v>
      </c>
      <c r="AA469">
        <v>389850</v>
      </c>
      <c r="AB469">
        <v>158</v>
      </c>
      <c r="AD469" t="s">
        <v>238</v>
      </c>
      <c r="AE469">
        <v>2</v>
      </c>
      <c r="AF469">
        <v>0</v>
      </c>
      <c r="AI469">
        <v>40</v>
      </c>
      <c r="AJ469">
        <v>40</v>
      </c>
      <c r="AK469">
        <v>80</v>
      </c>
      <c r="AL469">
        <v>565</v>
      </c>
      <c r="AM469">
        <v>82</v>
      </c>
      <c r="AN469">
        <v>0</v>
      </c>
      <c r="AO469">
        <v>82</v>
      </c>
      <c r="AP469" t="s">
        <v>80</v>
      </c>
      <c r="AQ469" t="s">
        <v>179</v>
      </c>
      <c r="AR469" t="s">
        <v>240</v>
      </c>
      <c r="AS469" t="s">
        <v>240</v>
      </c>
      <c r="AT469" t="s">
        <v>240</v>
      </c>
      <c r="AU469" t="s">
        <v>264</v>
      </c>
      <c r="AV469" t="s">
        <v>1587</v>
      </c>
      <c r="AW469" t="s">
        <v>69</v>
      </c>
      <c r="AX469" t="s">
        <v>1603</v>
      </c>
      <c r="AY469" t="s">
        <v>1715</v>
      </c>
      <c r="AZ469" t="s">
        <v>243</v>
      </c>
      <c r="BA469" t="s">
        <v>244</v>
      </c>
      <c r="BB469" t="s">
        <v>244</v>
      </c>
      <c r="BC469" t="s">
        <v>244</v>
      </c>
      <c r="BD469" t="s">
        <v>1719</v>
      </c>
      <c r="BE469" t="s">
        <v>1717</v>
      </c>
      <c r="BF469" t="s">
        <v>86</v>
      </c>
      <c r="BG469" t="s">
        <v>110</v>
      </c>
      <c r="BH469" t="str">
        <f>IF(COUNTIF(工作表1!A:A, $C469)&gt;0, "預購款", "非預購款")</f>
        <v>非預購款</v>
      </c>
    </row>
    <row r="470" spans="1:60" x14ac:dyDescent="0.25">
      <c r="A470" t="s">
        <v>1709</v>
      </c>
      <c r="B470" t="s">
        <v>226</v>
      </c>
      <c r="C470" t="s">
        <v>1710</v>
      </c>
      <c r="D470" t="s">
        <v>1711</v>
      </c>
      <c r="E470" t="s">
        <v>1712</v>
      </c>
      <c r="F470" t="s">
        <v>1310</v>
      </c>
      <c r="G470" t="s">
        <v>1713</v>
      </c>
      <c r="H470" t="s">
        <v>119</v>
      </c>
      <c r="I470" t="s">
        <v>214</v>
      </c>
      <c r="J470" t="s">
        <v>215</v>
      </c>
      <c r="K470" t="s">
        <v>69</v>
      </c>
      <c r="L470" t="s">
        <v>1714</v>
      </c>
      <c r="M470" t="s">
        <v>71</v>
      </c>
      <c r="N470" t="s">
        <v>100</v>
      </c>
      <c r="O470" t="s">
        <v>1391</v>
      </c>
      <c r="P470" t="s">
        <v>1392</v>
      </c>
      <c r="R470" t="s">
        <v>1588</v>
      </c>
      <c r="S470" t="s">
        <v>178</v>
      </c>
      <c r="T470" t="s">
        <v>76</v>
      </c>
      <c r="U470" t="s">
        <v>104</v>
      </c>
      <c r="V470" t="s">
        <v>1519</v>
      </c>
      <c r="W470">
        <v>690</v>
      </c>
      <c r="X470">
        <v>29.99</v>
      </c>
      <c r="Y470">
        <v>89</v>
      </c>
      <c r="Z470">
        <v>499000</v>
      </c>
      <c r="AA470">
        <v>389850</v>
      </c>
      <c r="AB470">
        <v>158</v>
      </c>
      <c r="AD470" t="s">
        <v>238</v>
      </c>
      <c r="AE470">
        <v>2</v>
      </c>
      <c r="AF470">
        <v>0</v>
      </c>
      <c r="AI470">
        <v>10</v>
      </c>
      <c r="AJ470">
        <v>40</v>
      </c>
      <c r="AK470">
        <v>50</v>
      </c>
      <c r="AL470">
        <v>565</v>
      </c>
      <c r="AM470">
        <v>60</v>
      </c>
      <c r="AN470">
        <v>0</v>
      </c>
      <c r="AO470">
        <v>60</v>
      </c>
      <c r="AP470" t="s">
        <v>80</v>
      </c>
      <c r="AQ470" t="s">
        <v>179</v>
      </c>
      <c r="AR470" t="s">
        <v>240</v>
      </c>
      <c r="AS470" t="s">
        <v>240</v>
      </c>
      <c r="AT470" t="s">
        <v>240</v>
      </c>
      <c r="AU470" t="s">
        <v>264</v>
      </c>
      <c r="AV470" t="s">
        <v>1587</v>
      </c>
      <c r="AW470" t="s">
        <v>69</v>
      </c>
      <c r="AX470" t="s">
        <v>1603</v>
      </c>
      <c r="AY470" t="s">
        <v>1715</v>
      </c>
      <c r="AZ470" t="s">
        <v>243</v>
      </c>
      <c r="BA470" t="s">
        <v>244</v>
      </c>
      <c r="BB470" t="s">
        <v>244</v>
      </c>
      <c r="BC470" t="s">
        <v>244</v>
      </c>
      <c r="BD470" t="s">
        <v>1720</v>
      </c>
      <c r="BE470" t="s">
        <v>1717</v>
      </c>
      <c r="BF470" t="s">
        <v>86</v>
      </c>
      <c r="BG470" t="s">
        <v>110</v>
      </c>
      <c r="BH470" t="str">
        <f>IF(COUNTIF(工作表1!A:A, $C470)&gt;0, "預購款", "非預購款")</f>
        <v>非預購款</v>
      </c>
    </row>
    <row r="471" spans="1:60" x14ac:dyDescent="0.25">
      <c r="A471" t="s">
        <v>1709</v>
      </c>
      <c r="B471" t="s">
        <v>226</v>
      </c>
      <c r="C471" t="s">
        <v>1710</v>
      </c>
      <c r="D471" t="s">
        <v>1711</v>
      </c>
      <c r="E471" t="s">
        <v>1712</v>
      </c>
      <c r="F471" t="s">
        <v>1310</v>
      </c>
      <c r="G471" t="s">
        <v>1713</v>
      </c>
      <c r="H471" t="s">
        <v>130</v>
      </c>
      <c r="I471" t="s">
        <v>214</v>
      </c>
      <c r="J471" t="s">
        <v>215</v>
      </c>
      <c r="K471" t="s">
        <v>69</v>
      </c>
      <c r="L471" t="s">
        <v>1714</v>
      </c>
      <c r="M471" t="s">
        <v>71</v>
      </c>
      <c r="N471" t="s">
        <v>100</v>
      </c>
      <c r="O471" t="s">
        <v>1391</v>
      </c>
      <c r="P471" t="s">
        <v>1392</v>
      </c>
      <c r="R471" t="s">
        <v>1588</v>
      </c>
      <c r="S471" t="s">
        <v>178</v>
      </c>
      <c r="T471" t="s">
        <v>76</v>
      </c>
      <c r="U471" t="s">
        <v>104</v>
      </c>
      <c r="V471" t="s">
        <v>1519</v>
      </c>
      <c r="W471">
        <v>690</v>
      </c>
      <c r="X471">
        <v>29.99</v>
      </c>
      <c r="Y471">
        <v>89</v>
      </c>
      <c r="Z471">
        <v>499000</v>
      </c>
      <c r="AA471">
        <v>389850</v>
      </c>
      <c r="AB471">
        <v>158</v>
      </c>
      <c r="AD471" t="s">
        <v>238</v>
      </c>
      <c r="AE471">
        <v>2</v>
      </c>
      <c r="AF471">
        <v>5</v>
      </c>
      <c r="AI471">
        <v>60</v>
      </c>
      <c r="AJ471">
        <v>80</v>
      </c>
      <c r="AK471">
        <v>145</v>
      </c>
      <c r="AL471">
        <v>565</v>
      </c>
      <c r="AM471">
        <v>153</v>
      </c>
      <c r="AN471">
        <v>0</v>
      </c>
      <c r="AO471">
        <v>153</v>
      </c>
      <c r="AP471" t="s">
        <v>80</v>
      </c>
      <c r="AQ471" t="s">
        <v>179</v>
      </c>
      <c r="AR471" t="s">
        <v>240</v>
      </c>
      <c r="AS471" t="s">
        <v>240</v>
      </c>
      <c r="AT471" t="s">
        <v>240</v>
      </c>
      <c r="AU471" t="s">
        <v>264</v>
      </c>
      <c r="AV471" t="s">
        <v>1587</v>
      </c>
      <c r="AW471" t="s">
        <v>69</v>
      </c>
      <c r="AX471" t="s">
        <v>1603</v>
      </c>
      <c r="AY471" t="s">
        <v>1715</v>
      </c>
      <c r="AZ471" t="s">
        <v>243</v>
      </c>
      <c r="BA471" t="s">
        <v>244</v>
      </c>
      <c r="BB471" t="s">
        <v>244</v>
      </c>
      <c r="BC471" t="s">
        <v>244</v>
      </c>
      <c r="BD471" t="s">
        <v>1721</v>
      </c>
      <c r="BE471" t="s">
        <v>1717</v>
      </c>
      <c r="BF471" t="s">
        <v>86</v>
      </c>
      <c r="BG471" t="s">
        <v>110</v>
      </c>
      <c r="BH471" t="str">
        <f>IF(COUNTIF(工作表1!A:A, $C471)&gt;0, "預購款", "非預購款")</f>
        <v>非預購款</v>
      </c>
    </row>
    <row r="472" spans="1:60" x14ac:dyDescent="0.25">
      <c r="A472" t="s">
        <v>1709</v>
      </c>
      <c r="B472" t="s">
        <v>226</v>
      </c>
      <c r="C472" t="s">
        <v>1710</v>
      </c>
      <c r="D472" t="s">
        <v>1711</v>
      </c>
      <c r="E472" t="s">
        <v>1712</v>
      </c>
      <c r="F472" t="s">
        <v>1310</v>
      </c>
      <c r="G472" t="s">
        <v>1713</v>
      </c>
      <c r="H472" t="s">
        <v>132</v>
      </c>
      <c r="I472" t="s">
        <v>214</v>
      </c>
      <c r="J472" t="s">
        <v>215</v>
      </c>
      <c r="K472" t="s">
        <v>69</v>
      </c>
      <c r="L472" t="s">
        <v>1714</v>
      </c>
      <c r="M472" t="s">
        <v>71</v>
      </c>
      <c r="N472" t="s">
        <v>100</v>
      </c>
      <c r="O472" t="s">
        <v>1391</v>
      </c>
      <c r="P472" t="s">
        <v>1392</v>
      </c>
      <c r="R472" t="s">
        <v>1588</v>
      </c>
      <c r="S472" t="s">
        <v>178</v>
      </c>
      <c r="T472" t="s">
        <v>76</v>
      </c>
      <c r="U472" t="s">
        <v>104</v>
      </c>
      <c r="V472" t="s">
        <v>1519</v>
      </c>
      <c r="W472">
        <v>690</v>
      </c>
      <c r="X472">
        <v>29.99</v>
      </c>
      <c r="Y472">
        <v>89</v>
      </c>
      <c r="Z472">
        <v>499000</v>
      </c>
      <c r="AA472">
        <v>389850</v>
      </c>
      <c r="AB472">
        <v>158</v>
      </c>
      <c r="AD472" t="s">
        <v>238</v>
      </c>
      <c r="AE472">
        <v>2</v>
      </c>
      <c r="AF472">
        <v>0</v>
      </c>
      <c r="AI472">
        <v>35</v>
      </c>
      <c r="AJ472">
        <v>50</v>
      </c>
      <c r="AK472">
        <v>85</v>
      </c>
      <c r="AL472">
        <v>565</v>
      </c>
      <c r="AM472">
        <v>92</v>
      </c>
      <c r="AN472">
        <v>0</v>
      </c>
      <c r="AO472">
        <v>92</v>
      </c>
      <c r="AP472" t="s">
        <v>80</v>
      </c>
      <c r="AQ472" t="s">
        <v>179</v>
      </c>
      <c r="AR472" t="s">
        <v>240</v>
      </c>
      <c r="AS472" t="s">
        <v>240</v>
      </c>
      <c r="AT472" t="s">
        <v>240</v>
      </c>
      <c r="AU472" t="s">
        <v>264</v>
      </c>
      <c r="AV472" t="s">
        <v>1587</v>
      </c>
      <c r="AW472" t="s">
        <v>69</v>
      </c>
      <c r="AX472" t="s">
        <v>1603</v>
      </c>
      <c r="AY472" t="s">
        <v>1715</v>
      </c>
      <c r="AZ472" t="s">
        <v>243</v>
      </c>
      <c r="BA472" t="s">
        <v>244</v>
      </c>
      <c r="BB472" t="s">
        <v>244</v>
      </c>
      <c r="BC472" t="s">
        <v>244</v>
      </c>
      <c r="BD472" t="s">
        <v>1722</v>
      </c>
      <c r="BE472" t="s">
        <v>1717</v>
      </c>
      <c r="BF472" t="s">
        <v>86</v>
      </c>
      <c r="BG472" t="s">
        <v>110</v>
      </c>
      <c r="BH472" t="str">
        <f>IF(COUNTIF(工作表1!A:A, $C472)&gt;0, "預購款", "非預購款")</f>
        <v>非預購款</v>
      </c>
    </row>
    <row r="473" spans="1:60" x14ac:dyDescent="0.25">
      <c r="A473" t="s">
        <v>1723</v>
      </c>
      <c r="B473" t="s">
        <v>226</v>
      </c>
      <c r="C473" t="s">
        <v>1724</v>
      </c>
      <c r="D473" t="s">
        <v>1725</v>
      </c>
      <c r="E473" t="s">
        <v>1726</v>
      </c>
      <c r="F473" t="s">
        <v>1310</v>
      </c>
      <c r="G473" t="s">
        <v>1727</v>
      </c>
      <c r="H473" t="s">
        <v>273</v>
      </c>
      <c r="I473" t="s">
        <v>97</v>
      </c>
      <c r="J473" t="s">
        <v>98</v>
      </c>
      <c r="K473" t="s">
        <v>69</v>
      </c>
      <c r="L473" t="s">
        <v>1714</v>
      </c>
      <c r="M473" t="s">
        <v>71</v>
      </c>
      <c r="N473" t="s">
        <v>100</v>
      </c>
      <c r="O473" t="s">
        <v>1391</v>
      </c>
      <c r="P473" t="s">
        <v>1392</v>
      </c>
      <c r="R473" t="s">
        <v>1588</v>
      </c>
      <c r="S473" t="s">
        <v>178</v>
      </c>
      <c r="T473" t="s">
        <v>274</v>
      </c>
      <c r="U473" t="s">
        <v>104</v>
      </c>
      <c r="V473" t="s">
        <v>1728</v>
      </c>
      <c r="W473">
        <v>690</v>
      </c>
      <c r="X473">
        <v>29.99</v>
      </c>
      <c r="Y473">
        <v>89</v>
      </c>
      <c r="Z473">
        <v>499000</v>
      </c>
      <c r="AA473">
        <v>158700</v>
      </c>
      <c r="AB473">
        <v>226</v>
      </c>
      <c r="AD473" t="s">
        <v>238</v>
      </c>
      <c r="AE473">
        <v>2</v>
      </c>
      <c r="AF473">
        <v>0</v>
      </c>
      <c r="AI473">
        <v>40</v>
      </c>
      <c r="AJ473">
        <v>50</v>
      </c>
      <c r="AK473">
        <v>90</v>
      </c>
      <c r="AL473">
        <v>230</v>
      </c>
      <c r="AM473">
        <v>92</v>
      </c>
      <c r="AN473">
        <v>0</v>
      </c>
      <c r="AO473">
        <v>92</v>
      </c>
      <c r="AP473" t="s">
        <v>80</v>
      </c>
      <c r="AQ473" t="s">
        <v>179</v>
      </c>
      <c r="AS473" t="s">
        <v>240</v>
      </c>
      <c r="AT473" t="s">
        <v>240</v>
      </c>
      <c r="AU473" t="s">
        <v>240</v>
      </c>
      <c r="AV473" t="s">
        <v>1587</v>
      </c>
      <c r="AW473" t="s">
        <v>69</v>
      </c>
      <c r="AX473" t="s">
        <v>1628</v>
      </c>
      <c r="AY473" t="s">
        <v>1729</v>
      </c>
      <c r="AZ473" t="s">
        <v>243</v>
      </c>
      <c r="BA473" t="s">
        <v>244</v>
      </c>
      <c r="BB473" t="s">
        <v>244</v>
      </c>
      <c r="BC473" t="s">
        <v>244</v>
      </c>
      <c r="BD473" t="s">
        <v>1730</v>
      </c>
      <c r="BE473" t="s">
        <v>1731</v>
      </c>
      <c r="BF473" t="s">
        <v>279</v>
      </c>
      <c r="BG473" t="s">
        <v>150</v>
      </c>
      <c r="BH473" t="str">
        <f>IF(COUNTIF(工作表1!A:A, $C473)&gt;0, "預購款", "非預購款")</f>
        <v>非預購款</v>
      </c>
    </row>
    <row r="474" spans="1:60" x14ac:dyDescent="0.25">
      <c r="A474" t="s">
        <v>1723</v>
      </c>
      <c r="B474" t="s">
        <v>226</v>
      </c>
      <c r="C474" t="s">
        <v>1724</v>
      </c>
      <c r="D474" t="s">
        <v>1725</v>
      </c>
      <c r="E474" t="s">
        <v>1726</v>
      </c>
      <c r="F474" t="s">
        <v>1310</v>
      </c>
      <c r="G474" t="s">
        <v>1727</v>
      </c>
      <c r="H474" t="s">
        <v>501</v>
      </c>
      <c r="I474" t="s">
        <v>97</v>
      </c>
      <c r="J474" t="s">
        <v>98</v>
      </c>
      <c r="K474" t="s">
        <v>69</v>
      </c>
      <c r="L474" t="s">
        <v>1714</v>
      </c>
      <c r="M474" t="s">
        <v>71</v>
      </c>
      <c r="N474" t="s">
        <v>100</v>
      </c>
      <c r="O474" t="s">
        <v>1391</v>
      </c>
      <c r="P474" t="s">
        <v>1392</v>
      </c>
      <c r="R474" t="s">
        <v>1588</v>
      </c>
      <c r="S474" t="s">
        <v>178</v>
      </c>
      <c r="T474" t="s">
        <v>274</v>
      </c>
      <c r="U474" t="s">
        <v>104</v>
      </c>
      <c r="V474" t="s">
        <v>1728</v>
      </c>
      <c r="W474">
        <v>690</v>
      </c>
      <c r="X474">
        <v>29.99</v>
      </c>
      <c r="Y474">
        <v>89</v>
      </c>
      <c r="Z474">
        <v>499000</v>
      </c>
      <c r="AA474">
        <v>158700</v>
      </c>
      <c r="AB474">
        <v>226</v>
      </c>
      <c r="AD474" t="s">
        <v>238</v>
      </c>
      <c r="AE474">
        <v>2</v>
      </c>
      <c r="AF474">
        <v>0</v>
      </c>
      <c r="AI474">
        <v>10</v>
      </c>
      <c r="AJ474">
        <v>30</v>
      </c>
      <c r="AK474">
        <v>40</v>
      </c>
      <c r="AL474">
        <v>230</v>
      </c>
      <c r="AM474">
        <v>43</v>
      </c>
      <c r="AN474">
        <v>0</v>
      </c>
      <c r="AO474">
        <v>43</v>
      </c>
      <c r="AP474" t="s">
        <v>80</v>
      </c>
      <c r="AQ474" t="s">
        <v>179</v>
      </c>
      <c r="AS474" t="s">
        <v>240</v>
      </c>
      <c r="AT474" t="s">
        <v>240</v>
      </c>
      <c r="AU474" t="s">
        <v>240</v>
      </c>
      <c r="AV474" t="s">
        <v>1587</v>
      </c>
      <c r="AW474" t="s">
        <v>69</v>
      </c>
      <c r="AX474" t="s">
        <v>1628</v>
      </c>
      <c r="AY474" t="s">
        <v>1729</v>
      </c>
      <c r="AZ474" t="s">
        <v>243</v>
      </c>
      <c r="BA474" t="s">
        <v>244</v>
      </c>
      <c r="BB474" t="s">
        <v>244</v>
      </c>
      <c r="BC474" t="s">
        <v>244</v>
      </c>
      <c r="BD474" t="s">
        <v>1732</v>
      </c>
      <c r="BE474" t="s">
        <v>1731</v>
      </c>
      <c r="BF474" t="s">
        <v>279</v>
      </c>
      <c r="BG474" t="s">
        <v>150</v>
      </c>
      <c r="BH474" t="str">
        <f>IF(COUNTIF(工作表1!A:A, $C474)&gt;0, "預購款", "非預購款")</f>
        <v>非預購款</v>
      </c>
    </row>
    <row r="475" spans="1:60" x14ac:dyDescent="0.25">
      <c r="A475" t="s">
        <v>1723</v>
      </c>
      <c r="B475" t="s">
        <v>226</v>
      </c>
      <c r="C475" t="s">
        <v>1724</v>
      </c>
      <c r="D475" t="s">
        <v>1725</v>
      </c>
      <c r="E475" t="s">
        <v>1726</v>
      </c>
      <c r="F475" t="s">
        <v>1310</v>
      </c>
      <c r="G475" t="s">
        <v>1727</v>
      </c>
      <c r="H475" t="s">
        <v>280</v>
      </c>
      <c r="I475" t="s">
        <v>97</v>
      </c>
      <c r="J475" t="s">
        <v>98</v>
      </c>
      <c r="K475" t="s">
        <v>69</v>
      </c>
      <c r="L475" t="s">
        <v>1714</v>
      </c>
      <c r="M475" t="s">
        <v>71</v>
      </c>
      <c r="N475" t="s">
        <v>100</v>
      </c>
      <c r="O475" t="s">
        <v>1391</v>
      </c>
      <c r="P475" t="s">
        <v>1392</v>
      </c>
      <c r="R475" t="s">
        <v>1588</v>
      </c>
      <c r="S475" t="s">
        <v>178</v>
      </c>
      <c r="T475" t="s">
        <v>274</v>
      </c>
      <c r="U475" t="s">
        <v>104</v>
      </c>
      <c r="V475" t="s">
        <v>1728</v>
      </c>
      <c r="W475">
        <v>690</v>
      </c>
      <c r="X475">
        <v>29.99</v>
      </c>
      <c r="Y475">
        <v>89</v>
      </c>
      <c r="Z475">
        <v>499000</v>
      </c>
      <c r="AA475">
        <v>158700</v>
      </c>
      <c r="AB475">
        <v>226</v>
      </c>
      <c r="AD475" t="s">
        <v>238</v>
      </c>
      <c r="AE475">
        <v>2</v>
      </c>
      <c r="AF475">
        <v>0</v>
      </c>
      <c r="AI475">
        <v>10</v>
      </c>
      <c r="AJ475">
        <v>30</v>
      </c>
      <c r="AK475">
        <v>40</v>
      </c>
      <c r="AL475">
        <v>230</v>
      </c>
      <c r="AM475">
        <v>43</v>
      </c>
      <c r="AN475">
        <v>0</v>
      </c>
      <c r="AO475">
        <v>43</v>
      </c>
      <c r="AP475" t="s">
        <v>80</v>
      </c>
      <c r="AQ475" t="s">
        <v>179</v>
      </c>
      <c r="AS475" t="s">
        <v>240</v>
      </c>
      <c r="AT475" t="s">
        <v>240</v>
      </c>
      <c r="AU475" t="s">
        <v>240</v>
      </c>
      <c r="AV475" t="s">
        <v>1587</v>
      </c>
      <c r="AW475" t="s">
        <v>69</v>
      </c>
      <c r="AX475" t="s">
        <v>1628</v>
      </c>
      <c r="AY475" t="s">
        <v>1729</v>
      </c>
      <c r="AZ475" t="s">
        <v>243</v>
      </c>
      <c r="BA475" t="s">
        <v>244</v>
      </c>
      <c r="BB475" t="s">
        <v>244</v>
      </c>
      <c r="BC475" t="s">
        <v>244</v>
      </c>
      <c r="BD475" t="s">
        <v>1733</v>
      </c>
      <c r="BE475" t="s">
        <v>1731</v>
      </c>
      <c r="BF475" t="s">
        <v>279</v>
      </c>
      <c r="BG475" t="s">
        <v>150</v>
      </c>
      <c r="BH475" t="str">
        <f>IF(COUNTIF(工作表1!A:A, $C475)&gt;0, "預購款", "非預購款")</f>
        <v>非預購款</v>
      </c>
    </row>
    <row r="476" spans="1:60" x14ac:dyDescent="0.25">
      <c r="A476" t="s">
        <v>1605</v>
      </c>
      <c r="B476" t="s">
        <v>226</v>
      </c>
      <c r="C476" t="s">
        <v>1606</v>
      </c>
      <c r="D476" t="s">
        <v>1607</v>
      </c>
      <c r="E476" t="s">
        <v>1608</v>
      </c>
      <c r="F476" t="s">
        <v>1310</v>
      </c>
      <c r="G476" t="s">
        <v>1609</v>
      </c>
      <c r="H476" t="s">
        <v>66</v>
      </c>
      <c r="I476" t="s">
        <v>1228</v>
      </c>
      <c r="J476" t="s">
        <v>1229</v>
      </c>
      <c r="K476" t="s">
        <v>69</v>
      </c>
      <c r="L476" t="s">
        <v>1610</v>
      </c>
      <c r="M476" t="s">
        <v>71</v>
      </c>
      <c r="N476" t="s">
        <v>100</v>
      </c>
      <c r="O476" t="s">
        <v>1391</v>
      </c>
      <c r="P476" t="s">
        <v>1392</v>
      </c>
      <c r="R476" t="s">
        <v>1588</v>
      </c>
      <c r="S476" t="s">
        <v>178</v>
      </c>
      <c r="T476" t="s">
        <v>76</v>
      </c>
      <c r="U476" t="s">
        <v>527</v>
      </c>
      <c r="V476" t="s">
        <v>1311</v>
      </c>
      <c r="W476">
        <v>890</v>
      </c>
      <c r="X476">
        <v>39.99</v>
      </c>
      <c r="Y476">
        <v>115</v>
      </c>
      <c r="Z476">
        <v>639000</v>
      </c>
      <c r="AA476">
        <v>106800</v>
      </c>
      <c r="AB476">
        <v>178</v>
      </c>
      <c r="AD476" t="s">
        <v>238</v>
      </c>
      <c r="AE476">
        <v>1</v>
      </c>
      <c r="AF476">
        <v>0</v>
      </c>
      <c r="AI476">
        <v>50</v>
      </c>
      <c r="AJ476">
        <v>70</v>
      </c>
      <c r="AK476">
        <v>120</v>
      </c>
      <c r="AL476">
        <v>120</v>
      </c>
      <c r="AM476">
        <v>120</v>
      </c>
      <c r="AN476">
        <v>0</v>
      </c>
      <c r="AO476">
        <v>120</v>
      </c>
      <c r="AP476" t="s">
        <v>80</v>
      </c>
      <c r="AQ476" t="s">
        <v>1151</v>
      </c>
      <c r="AR476" t="s">
        <v>261</v>
      </c>
      <c r="AS476" t="s">
        <v>261</v>
      </c>
      <c r="AT476" t="s">
        <v>86</v>
      </c>
      <c r="AU476" t="s">
        <v>86</v>
      </c>
      <c r="AV476" t="s">
        <v>1587</v>
      </c>
      <c r="AW476" t="s">
        <v>69</v>
      </c>
      <c r="AX476" t="s">
        <v>1611</v>
      </c>
      <c r="AY476" t="s">
        <v>1612</v>
      </c>
      <c r="BD476" t="s">
        <v>1613</v>
      </c>
      <c r="BE476" t="s">
        <v>1734</v>
      </c>
      <c r="BF476" t="s">
        <v>86</v>
      </c>
      <c r="BH476" t="str">
        <f>IF(COUNTIF(工作表1!A:A, $C476)&gt;0, "預購款", "非預購款")</f>
        <v>非預購款</v>
      </c>
    </row>
    <row r="477" spans="1:60" x14ac:dyDescent="0.25">
      <c r="A477" t="s">
        <v>1735</v>
      </c>
      <c r="B477" t="s">
        <v>226</v>
      </c>
      <c r="C477" t="s">
        <v>1736</v>
      </c>
      <c r="D477" t="s">
        <v>1737</v>
      </c>
      <c r="E477" t="s">
        <v>1738</v>
      </c>
      <c r="F477" t="s">
        <v>1310</v>
      </c>
      <c r="G477" t="s">
        <v>1739</v>
      </c>
      <c r="H477" t="s">
        <v>119</v>
      </c>
      <c r="I477" t="s">
        <v>97</v>
      </c>
      <c r="J477" t="s">
        <v>98</v>
      </c>
      <c r="K477" t="s">
        <v>69</v>
      </c>
      <c r="L477" t="s">
        <v>1740</v>
      </c>
      <c r="M477" t="s">
        <v>71</v>
      </c>
      <c r="N477" t="s">
        <v>100</v>
      </c>
      <c r="O477" t="s">
        <v>1648</v>
      </c>
      <c r="P477" t="s">
        <v>1649</v>
      </c>
      <c r="R477" t="s">
        <v>1650</v>
      </c>
      <c r="S477" t="s">
        <v>178</v>
      </c>
      <c r="T477" t="s">
        <v>258</v>
      </c>
      <c r="U477" t="s">
        <v>150</v>
      </c>
      <c r="V477" t="s">
        <v>1634</v>
      </c>
      <c r="W477">
        <v>790</v>
      </c>
      <c r="X477">
        <v>34.99</v>
      </c>
      <c r="Y477">
        <v>99</v>
      </c>
      <c r="Z477">
        <v>569000</v>
      </c>
      <c r="AA477">
        <v>248850</v>
      </c>
      <c r="AB477">
        <v>175</v>
      </c>
      <c r="AD477" t="s">
        <v>238</v>
      </c>
      <c r="AE477">
        <v>1</v>
      </c>
      <c r="AF477">
        <v>10</v>
      </c>
      <c r="AI477">
        <v>80</v>
      </c>
      <c r="AJ477">
        <v>100</v>
      </c>
      <c r="AK477">
        <v>190</v>
      </c>
      <c r="AL477">
        <v>315</v>
      </c>
      <c r="AM477">
        <v>193</v>
      </c>
      <c r="AN477">
        <v>0</v>
      </c>
      <c r="AO477">
        <v>193</v>
      </c>
      <c r="AP477" t="s">
        <v>80</v>
      </c>
      <c r="AQ477" t="s">
        <v>954</v>
      </c>
      <c r="AR477" t="s">
        <v>86</v>
      </c>
      <c r="AS477" t="s">
        <v>261</v>
      </c>
      <c r="AT477" t="s">
        <v>86</v>
      </c>
      <c r="AU477" t="s">
        <v>86</v>
      </c>
      <c r="AV477" t="s">
        <v>1741</v>
      </c>
      <c r="AW477" t="s">
        <v>69</v>
      </c>
      <c r="AX477" t="s">
        <v>737</v>
      </c>
      <c r="AY477" t="s">
        <v>1742</v>
      </c>
      <c r="AZ477" t="s">
        <v>245</v>
      </c>
      <c r="BA477" t="s">
        <v>264</v>
      </c>
      <c r="BB477" t="s">
        <v>245</v>
      </c>
      <c r="BC477" t="s">
        <v>245</v>
      </c>
      <c r="BD477" t="s">
        <v>1743</v>
      </c>
      <c r="BE477" t="s">
        <v>1744</v>
      </c>
      <c r="BF477" t="s">
        <v>240</v>
      </c>
      <c r="BG477" t="s">
        <v>87</v>
      </c>
      <c r="BH477" t="str">
        <f>IF(COUNTIF(工作表1!A:A, $C477)&gt;0, "預購款", "非預購款")</f>
        <v>非預購款</v>
      </c>
    </row>
    <row r="478" spans="1:60" x14ac:dyDescent="0.25">
      <c r="A478" t="s">
        <v>1735</v>
      </c>
      <c r="B478" t="s">
        <v>226</v>
      </c>
      <c r="C478" t="s">
        <v>1736</v>
      </c>
      <c r="D478" t="s">
        <v>1737</v>
      </c>
      <c r="E478" t="s">
        <v>1738</v>
      </c>
      <c r="F478" t="s">
        <v>1310</v>
      </c>
      <c r="G478" t="s">
        <v>1739</v>
      </c>
      <c r="H478" t="s">
        <v>130</v>
      </c>
      <c r="I478" t="s">
        <v>97</v>
      </c>
      <c r="J478" t="s">
        <v>98</v>
      </c>
      <c r="K478" t="s">
        <v>69</v>
      </c>
      <c r="L478" t="s">
        <v>1740</v>
      </c>
      <c r="M478" t="s">
        <v>71</v>
      </c>
      <c r="N478" t="s">
        <v>100</v>
      </c>
      <c r="O478" t="s">
        <v>1648</v>
      </c>
      <c r="P478" t="s">
        <v>1649</v>
      </c>
      <c r="R478" t="s">
        <v>1650</v>
      </c>
      <c r="S478" t="s">
        <v>178</v>
      </c>
      <c r="T478" t="s">
        <v>258</v>
      </c>
      <c r="U478" t="s">
        <v>150</v>
      </c>
      <c r="V478" t="s">
        <v>1634</v>
      </c>
      <c r="W478">
        <v>790</v>
      </c>
      <c r="X478">
        <v>34.99</v>
      </c>
      <c r="Y478">
        <v>99</v>
      </c>
      <c r="Z478">
        <v>569000</v>
      </c>
      <c r="AA478">
        <v>248850</v>
      </c>
      <c r="AB478">
        <v>175</v>
      </c>
      <c r="AD478" t="s">
        <v>238</v>
      </c>
      <c r="AE478">
        <v>1</v>
      </c>
      <c r="AF478">
        <v>5</v>
      </c>
      <c r="AI478">
        <v>50</v>
      </c>
      <c r="AJ478">
        <v>70</v>
      </c>
      <c r="AK478">
        <v>125</v>
      </c>
      <c r="AL478">
        <v>315</v>
      </c>
      <c r="AM478">
        <v>131</v>
      </c>
      <c r="AN478">
        <v>0</v>
      </c>
      <c r="AO478">
        <v>131</v>
      </c>
      <c r="AP478" t="s">
        <v>80</v>
      </c>
      <c r="AQ478" t="s">
        <v>954</v>
      </c>
      <c r="AR478" t="s">
        <v>86</v>
      </c>
      <c r="AS478" t="s">
        <v>261</v>
      </c>
      <c r="AT478" t="s">
        <v>86</v>
      </c>
      <c r="AU478" t="s">
        <v>86</v>
      </c>
      <c r="AV478" t="s">
        <v>1741</v>
      </c>
      <c r="AW478" t="s">
        <v>69</v>
      </c>
      <c r="AX478" t="s">
        <v>737</v>
      </c>
      <c r="AY478" t="s">
        <v>1742</v>
      </c>
      <c r="AZ478" t="s">
        <v>245</v>
      </c>
      <c r="BA478" t="s">
        <v>264</v>
      </c>
      <c r="BB478" t="s">
        <v>245</v>
      </c>
      <c r="BC478" t="s">
        <v>245</v>
      </c>
      <c r="BD478" t="s">
        <v>1745</v>
      </c>
      <c r="BE478" t="s">
        <v>1744</v>
      </c>
      <c r="BF478" t="s">
        <v>240</v>
      </c>
      <c r="BG478" t="s">
        <v>87</v>
      </c>
      <c r="BH478" t="str">
        <f>IF(COUNTIF(工作表1!A:A, $C478)&gt;0, "預購款", "非預購款")</f>
        <v>非預購款</v>
      </c>
    </row>
    <row r="479" spans="1:60" x14ac:dyDescent="0.25">
      <c r="A479" t="s">
        <v>1758</v>
      </c>
      <c r="B479" t="s">
        <v>226</v>
      </c>
      <c r="C479" t="s">
        <v>1759</v>
      </c>
      <c r="D479" t="s">
        <v>1760</v>
      </c>
      <c r="E479" t="s">
        <v>1761</v>
      </c>
      <c r="F479" t="s">
        <v>1310</v>
      </c>
      <c r="G479" t="s">
        <v>1762</v>
      </c>
      <c r="H479" t="s">
        <v>273</v>
      </c>
      <c r="I479" t="s">
        <v>111</v>
      </c>
      <c r="J479" t="s">
        <v>112</v>
      </c>
      <c r="K479" t="s">
        <v>69</v>
      </c>
      <c r="L479" t="s">
        <v>1751</v>
      </c>
      <c r="M479" t="s">
        <v>71</v>
      </c>
      <c r="N479" t="s">
        <v>100</v>
      </c>
      <c r="O479" t="s">
        <v>1648</v>
      </c>
      <c r="P479" t="s">
        <v>1649</v>
      </c>
      <c r="R479" t="s">
        <v>1650</v>
      </c>
      <c r="S479" t="s">
        <v>178</v>
      </c>
      <c r="T479" t="s">
        <v>274</v>
      </c>
      <c r="U479" t="s">
        <v>383</v>
      </c>
      <c r="V479" t="s">
        <v>384</v>
      </c>
      <c r="W479">
        <v>1180</v>
      </c>
      <c r="X479">
        <v>49.99</v>
      </c>
      <c r="Y479">
        <v>155</v>
      </c>
      <c r="Z479">
        <v>859000</v>
      </c>
      <c r="AA479">
        <v>135700</v>
      </c>
      <c r="AB479">
        <v>814</v>
      </c>
      <c r="AD479" t="s">
        <v>238</v>
      </c>
      <c r="AE479">
        <v>1</v>
      </c>
      <c r="AF479">
        <v>5</v>
      </c>
      <c r="AI479">
        <v>0</v>
      </c>
      <c r="AJ479">
        <v>40</v>
      </c>
      <c r="AK479">
        <v>45</v>
      </c>
      <c r="AL479">
        <v>115</v>
      </c>
      <c r="AM479">
        <v>48</v>
      </c>
      <c r="AN479">
        <v>0</v>
      </c>
      <c r="AO479">
        <v>48</v>
      </c>
      <c r="AP479" t="s">
        <v>80</v>
      </c>
      <c r="AQ479" t="s">
        <v>179</v>
      </c>
      <c r="AS479" t="s">
        <v>86</v>
      </c>
      <c r="AT479" t="s">
        <v>240</v>
      </c>
      <c r="AU479" t="s">
        <v>86</v>
      </c>
      <c r="AV479" t="s">
        <v>1763</v>
      </c>
      <c r="AW479" t="s">
        <v>69</v>
      </c>
      <c r="AX479" t="s">
        <v>1153</v>
      </c>
      <c r="AY479" t="s">
        <v>1764</v>
      </c>
      <c r="AZ479" t="s">
        <v>264</v>
      </c>
      <c r="BA479" t="s">
        <v>245</v>
      </c>
      <c r="BB479" t="s">
        <v>243</v>
      </c>
      <c r="BC479" t="s">
        <v>243</v>
      </c>
      <c r="BD479" t="s">
        <v>1765</v>
      </c>
      <c r="BE479" t="s">
        <v>1766</v>
      </c>
      <c r="BF479" t="s">
        <v>279</v>
      </c>
      <c r="BG479" t="s">
        <v>110</v>
      </c>
      <c r="BH479" t="str">
        <f>IF(COUNTIF(工作表1!A:A, $C479)&gt;0, "預購款", "非預購款")</f>
        <v>非預購款</v>
      </c>
    </row>
    <row r="480" spans="1:60" x14ac:dyDescent="0.25">
      <c r="A480" t="s">
        <v>1758</v>
      </c>
      <c r="B480" t="s">
        <v>226</v>
      </c>
      <c r="C480" t="s">
        <v>1759</v>
      </c>
      <c r="D480" t="s">
        <v>1760</v>
      </c>
      <c r="E480" t="s">
        <v>1761</v>
      </c>
      <c r="F480" t="s">
        <v>1310</v>
      </c>
      <c r="G480" t="s">
        <v>1762</v>
      </c>
      <c r="H480" t="s">
        <v>501</v>
      </c>
      <c r="I480" t="s">
        <v>111</v>
      </c>
      <c r="J480" t="s">
        <v>112</v>
      </c>
      <c r="K480" t="s">
        <v>69</v>
      </c>
      <c r="L480" t="s">
        <v>1751</v>
      </c>
      <c r="M480" t="s">
        <v>71</v>
      </c>
      <c r="N480" t="s">
        <v>100</v>
      </c>
      <c r="O480" t="s">
        <v>1648</v>
      </c>
      <c r="P480" t="s">
        <v>1649</v>
      </c>
      <c r="R480" t="s">
        <v>1650</v>
      </c>
      <c r="S480" t="s">
        <v>178</v>
      </c>
      <c r="T480" t="s">
        <v>274</v>
      </c>
      <c r="U480" t="s">
        <v>383</v>
      </c>
      <c r="V480" t="s">
        <v>384</v>
      </c>
      <c r="W480">
        <v>1180</v>
      </c>
      <c r="X480">
        <v>49.99</v>
      </c>
      <c r="Y480">
        <v>155</v>
      </c>
      <c r="Z480">
        <v>859000</v>
      </c>
      <c r="AA480">
        <v>135700</v>
      </c>
      <c r="AB480">
        <v>814</v>
      </c>
      <c r="AD480" t="s">
        <v>238</v>
      </c>
      <c r="AE480">
        <v>1</v>
      </c>
      <c r="AF480">
        <v>0</v>
      </c>
      <c r="AI480">
        <v>0</v>
      </c>
      <c r="AJ480">
        <v>25</v>
      </c>
      <c r="AK480">
        <v>25</v>
      </c>
      <c r="AL480">
        <v>115</v>
      </c>
      <c r="AM480">
        <v>29</v>
      </c>
      <c r="AN480">
        <v>0</v>
      </c>
      <c r="AO480">
        <v>29</v>
      </c>
      <c r="AP480" t="s">
        <v>80</v>
      </c>
      <c r="AQ480" t="s">
        <v>179</v>
      </c>
      <c r="AS480" t="s">
        <v>86</v>
      </c>
      <c r="AT480" t="s">
        <v>240</v>
      </c>
      <c r="AU480" t="s">
        <v>86</v>
      </c>
      <c r="AV480" t="s">
        <v>1763</v>
      </c>
      <c r="AW480" t="s">
        <v>69</v>
      </c>
      <c r="AX480" t="s">
        <v>1153</v>
      </c>
      <c r="AY480" t="s">
        <v>1764</v>
      </c>
      <c r="AZ480" t="s">
        <v>264</v>
      </c>
      <c r="BA480" t="s">
        <v>245</v>
      </c>
      <c r="BB480" t="s">
        <v>243</v>
      </c>
      <c r="BC480" t="s">
        <v>243</v>
      </c>
      <c r="BD480" t="s">
        <v>1767</v>
      </c>
      <c r="BE480" t="s">
        <v>1766</v>
      </c>
      <c r="BF480" t="s">
        <v>279</v>
      </c>
      <c r="BG480" t="s">
        <v>110</v>
      </c>
      <c r="BH480" t="str">
        <f>IF(COUNTIF(工作表1!A:A, $C480)&gt;0, "預購款", "非預購款")</f>
        <v>非預購款</v>
      </c>
    </row>
    <row r="481" spans="1:60" x14ac:dyDescent="0.25">
      <c r="A481" t="s">
        <v>1758</v>
      </c>
      <c r="B481" t="s">
        <v>226</v>
      </c>
      <c r="C481" t="s">
        <v>1759</v>
      </c>
      <c r="D481" t="s">
        <v>1760</v>
      </c>
      <c r="E481" t="s">
        <v>1761</v>
      </c>
      <c r="F481" t="s">
        <v>1310</v>
      </c>
      <c r="G481" t="s">
        <v>1762</v>
      </c>
      <c r="H481" t="s">
        <v>280</v>
      </c>
      <c r="I481" t="s">
        <v>111</v>
      </c>
      <c r="J481" t="s">
        <v>112</v>
      </c>
      <c r="K481" t="s">
        <v>69</v>
      </c>
      <c r="L481" t="s">
        <v>1751</v>
      </c>
      <c r="M481" t="s">
        <v>71</v>
      </c>
      <c r="N481" t="s">
        <v>100</v>
      </c>
      <c r="O481" t="s">
        <v>1648</v>
      </c>
      <c r="P481" t="s">
        <v>1649</v>
      </c>
      <c r="R481" t="s">
        <v>1650</v>
      </c>
      <c r="S481" t="s">
        <v>178</v>
      </c>
      <c r="T481" t="s">
        <v>274</v>
      </c>
      <c r="U481" t="s">
        <v>383</v>
      </c>
      <c r="V481" t="s">
        <v>384</v>
      </c>
      <c r="W481">
        <v>1180</v>
      </c>
      <c r="X481">
        <v>49.99</v>
      </c>
      <c r="Y481">
        <v>155</v>
      </c>
      <c r="Z481">
        <v>859000</v>
      </c>
      <c r="AA481">
        <v>135700</v>
      </c>
      <c r="AB481">
        <v>814</v>
      </c>
      <c r="AD481" t="s">
        <v>238</v>
      </c>
      <c r="AE481">
        <v>1</v>
      </c>
      <c r="AF481">
        <v>0</v>
      </c>
      <c r="AI481">
        <v>0</v>
      </c>
      <c r="AJ481">
        <v>45</v>
      </c>
      <c r="AK481">
        <v>45</v>
      </c>
      <c r="AL481">
        <v>115</v>
      </c>
      <c r="AM481">
        <v>45</v>
      </c>
      <c r="AN481">
        <v>0</v>
      </c>
      <c r="AO481">
        <v>45</v>
      </c>
      <c r="AP481" t="s">
        <v>80</v>
      </c>
      <c r="AQ481" t="s">
        <v>179</v>
      </c>
      <c r="AS481" t="s">
        <v>86</v>
      </c>
      <c r="AT481" t="s">
        <v>240</v>
      </c>
      <c r="AU481" t="s">
        <v>86</v>
      </c>
      <c r="AV481" t="s">
        <v>1763</v>
      </c>
      <c r="AW481" t="s">
        <v>69</v>
      </c>
      <c r="AX481" t="s">
        <v>1153</v>
      </c>
      <c r="AY481" t="s">
        <v>1764</v>
      </c>
      <c r="AZ481" t="s">
        <v>264</v>
      </c>
      <c r="BA481" t="s">
        <v>245</v>
      </c>
      <c r="BB481" t="s">
        <v>243</v>
      </c>
      <c r="BC481" t="s">
        <v>243</v>
      </c>
      <c r="BD481" t="s">
        <v>1768</v>
      </c>
      <c r="BE481" t="s">
        <v>1766</v>
      </c>
      <c r="BF481" t="s">
        <v>279</v>
      </c>
      <c r="BG481" t="s">
        <v>110</v>
      </c>
      <c r="BH481" t="str">
        <f>IF(COUNTIF(工作表1!A:A, $C481)&gt;0, "預購款", "非預購款")</f>
        <v>非預購款</v>
      </c>
    </row>
    <row r="482" spans="1:60" x14ac:dyDescent="0.25">
      <c r="A482" t="s">
        <v>1769</v>
      </c>
      <c r="B482" t="s">
        <v>226</v>
      </c>
      <c r="C482" t="s">
        <v>1770</v>
      </c>
      <c r="D482" t="s">
        <v>1771</v>
      </c>
      <c r="E482" t="s">
        <v>1772</v>
      </c>
      <c r="F482" t="s">
        <v>1310</v>
      </c>
      <c r="G482" t="s">
        <v>1773</v>
      </c>
      <c r="H482" t="s">
        <v>119</v>
      </c>
      <c r="I482" t="s">
        <v>97</v>
      </c>
      <c r="J482" t="s">
        <v>98</v>
      </c>
      <c r="K482" t="s">
        <v>69</v>
      </c>
      <c r="L482" t="s">
        <v>1774</v>
      </c>
      <c r="M482" t="s">
        <v>71</v>
      </c>
      <c r="N482" t="s">
        <v>100</v>
      </c>
      <c r="O482" t="s">
        <v>1648</v>
      </c>
      <c r="P482" t="s">
        <v>1649</v>
      </c>
      <c r="R482" t="s">
        <v>1650</v>
      </c>
      <c r="S482" t="s">
        <v>178</v>
      </c>
      <c r="T482" t="s">
        <v>258</v>
      </c>
      <c r="U482" t="s">
        <v>1673</v>
      </c>
      <c r="V482" t="s">
        <v>1775</v>
      </c>
      <c r="W482">
        <v>790</v>
      </c>
      <c r="X482">
        <v>34.99</v>
      </c>
      <c r="Y482">
        <v>99</v>
      </c>
      <c r="Z482">
        <v>569000</v>
      </c>
      <c r="AA482">
        <v>90850</v>
      </c>
      <c r="AB482">
        <v>140</v>
      </c>
      <c r="AD482" t="s">
        <v>238</v>
      </c>
      <c r="AE482">
        <v>1</v>
      </c>
      <c r="AF482">
        <v>0</v>
      </c>
      <c r="AI482">
        <v>0</v>
      </c>
      <c r="AJ482">
        <v>50</v>
      </c>
      <c r="AK482">
        <v>50</v>
      </c>
      <c r="AL482">
        <v>115</v>
      </c>
      <c r="AM482">
        <v>51</v>
      </c>
      <c r="AN482">
        <v>0</v>
      </c>
      <c r="AO482">
        <v>51</v>
      </c>
      <c r="AP482" t="s">
        <v>80</v>
      </c>
      <c r="AQ482" t="s">
        <v>179</v>
      </c>
      <c r="AT482" t="s">
        <v>86</v>
      </c>
      <c r="AU482" t="s">
        <v>86</v>
      </c>
      <c r="AV482" t="s">
        <v>1776</v>
      </c>
      <c r="AW482" t="s">
        <v>69</v>
      </c>
      <c r="AX482" t="s">
        <v>262</v>
      </c>
      <c r="AY482" t="s">
        <v>1777</v>
      </c>
      <c r="AZ482" t="s">
        <v>264</v>
      </c>
      <c r="BA482" t="s">
        <v>245</v>
      </c>
      <c r="BB482" t="s">
        <v>264</v>
      </c>
      <c r="BC482" t="s">
        <v>245</v>
      </c>
      <c r="BD482" t="s">
        <v>1778</v>
      </c>
      <c r="BE482" t="s">
        <v>1779</v>
      </c>
      <c r="BF482" t="s">
        <v>240</v>
      </c>
      <c r="BG482" t="s">
        <v>110</v>
      </c>
      <c r="BH482" t="str">
        <f>IF(COUNTIF(工作表1!A:A, $C482)&gt;0, "預購款", "非預購款")</f>
        <v>非預購款</v>
      </c>
    </row>
    <row r="483" spans="1:60" x14ac:dyDescent="0.25">
      <c r="A483" t="s">
        <v>1769</v>
      </c>
      <c r="B483" t="s">
        <v>226</v>
      </c>
      <c r="C483" t="s">
        <v>1770</v>
      </c>
      <c r="D483" t="s">
        <v>1771</v>
      </c>
      <c r="E483" t="s">
        <v>1772</v>
      </c>
      <c r="F483" t="s">
        <v>1310</v>
      </c>
      <c r="G483" t="s">
        <v>1773</v>
      </c>
      <c r="H483" t="s">
        <v>130</v>
      </c>
      <c r="I483" t="s">
        <v>97</v>
      </c>
      <c r="J483" t="s">
        <v>98</v>
      </c>
      <c r="K483" t="s">
        <v>69</v>
      </c>
      <c r="L483" t="s">
        <v>1774</v>
      </c>
      <c r="M483" t="s">
        <v>71</v>
      </c>
      <c r="N483" t="s">
        <v>100</v>
      </c>
      <c r="O483" t="s">
        <v>1648</v>
      </c>
      <c r="P483" t="s">
        <v>1649</v>
      </c>
      <c r="R483" t="s">
        <v>1650</v>
      </c>
      <c r="S483" t="s">
        <v>178</v>
      </c>
      <c r="T483" t="s">
        <v>258</v>
      </c>
      <c r="U483" t="s">
        <v>1673</v>
      </c>
      <c r="V483" t="s">
        <v>1775</v>
      </c>
      <c r="W483">
        <v>790</v>
      </c>
      <c r="X483">
        <v>34.99</v>
      </c>
      <c r="Y483">
        <v>99</v>
      </c>
      <c r="Z483">
        <v>569000</v>
      </c>
      <c r="AA483">
        <v>90850</v>
      </c>
      <c r="AB483">
        <v>140</v>
      </c>
      <c r="AD483" t="s">
        <v>238</v>
      </c>
      <c r="AE483">
        <v>1</v>
      </c>
      <c r="AF483">
        <v>0</v>
      </c>
      <c r="AI483">
        <v>0</v>
      </c>
      <c r="AJ483">
        <v>40</v>
      </c>
      <c r="AK483">
        <v>40</v>
      </c>
      <c r="AL483">
        <v>115</v>
      </c>
      <c r="AM483">
        <v>42</v>
      </c>
      <c r="AN483">
        <v>0</v>
      </c>
      <c r="AO483">
        <v>42</v>
      </c>
      <c r="AP483" t="s">
        <v>80</v>
      </c>
      <c r="AQ483" t="s">
        <v>179</v>
      </c>
      <c r="AT483" t="s">
        <v>86</v>
      </c>
      <c r="AU483" t="s">
        <v>86</v>
      </c>
      <c r="AV483" t="s">
        <v>1776</v>
      </c>
      <c r="AW483" t="s">
        <v>69</v>
      </c>
      <c r="AX483" t="s">
        <v>262</v>
      </c>
      <c r="AY483" t="s">
        <v>1777</v>
      </c>
      <c r="AZ483" t="s">
        <v>264</v>
      </c>
      <c r="BA483" t="s">
        <v>245</v>
      </c>
      <c r="BB483" t="s">
        <v>264</v>
      </c>
      <c r="BC483" t="s">
        <v>245</v>
      </c>
      <c r="BD483" t="s">
        <v>1780</v>
      </c>
      <c r="BE483" t="s">
        <v>1779</v>
      </c>
      <c r="BF483" t="s">
        <v>240</v>
      </c>
      <c r="BG483" t="s">
        <v>110</v>
      </c>
      <c r="BH483" t="str">
        <f>IF(COUNTIF(工作表1!A:A, $C483)&gt;0, "預購款", "非預購款")</f>
        <v>非預購款</v>
      </c>
    </row>
    <row r="484" spans="1:60" x14ac:dyDescent="0.25">
      <c r="A484" t="s">
        <v>1769</v>
      </c>
      <c r="B484" t="s">
        <v>226</v>
      </c>
      <c r="C484" t="s">
        <v>1770</v>
      </c>
      <c r="D484" t="s">
        <v>1771</v>
      </c>
      <c r="E484" t="s">
        <v>1772</v>
      </c>
      <c r="F484" t="s">
        <v>1310</v>
      </c>
      <c r="G484" t="s">
        <v>1773</v>
      </c>
      <c r="H484" t="s">
        <v>132</v>
      </c>
      <c r="I484" t="s">
        <v>97</v>
      </c>
      <c r="J484" t="s">
        <v>98</v>
      </c>
      <c r="K484" t="s">
        <v>69</v>
      </c>
      <c r="L484" t="s">
        <v>1774</v>
      </c>
      <c r="M484" t="s">
        <v>71</v>
      </c>
      <c r="N484" t="s">
        <v>100</v>
      </c>
      <c r="O484" t="s">
        <v>1648</v>
      </c>
      <c r="P484" t="s">
        <v>1649</v>
      </c>
      <c r="R484" t="s">
        <v>1650</v>
      </c>
      <c r="S484" t="s">
        <v>178</v>
      </c>
      <c r="T484" t="s">
        <v>258</v>
      </c>
      <c r="U484" t="s">
        <v>1673</v>
      </c>
      <c r="V484" t="s">
        <v>1775</v>
      </c>
      <c r="W484">
        <v>790</v>
      </c>
      <c r="X484">
        <v>34.99</v>
      </c>
      <c r="Y484">
        <v>99</v>
      </c>
      <c r="Z484">
        <v>569000</v>
      </c>
      <c r="AA484">
        <v>90850</v>
      </c>
      <c r="AB484">
        <v>140</v>
      </c>
      <c r="AD484" t="s">
        <v>238</v>
      </c>
      <c r="AE484">
        <v>1</v>
      </c>
      <c r="AF484">
        <v>0</v>
      </c>
      <c r="AI484">
        <v>0</v>
      </c>
      <c r="AJ484">
        <v>25</v>
      </c>
      <c r="AK484">
        <v>25</v>
      </c>
      <c r="AL484">
        <v>115</v>
      </c>
      <c r="AM484">
        <v>28</v>
      </c>
      <c r="AN484">
        <v>0</v>
      </c>
      <c r="AO484">
        <v>28</v>
      </c>
      <c r="AP484" t="s">
        <v>80</v>
      </c>
      <c r="AQ484" t="s">
        <v>179</v>
      </c>
      <c r="AT484" t="s">
        <v>86</v>
      </c>
      <c r="AU484" t="s">
        <v>86</v>
      </c>
      <c r="AV484" t="s">
        <v>1776</v>
      </c>
      <c r="AW484" t="s">
        <v>69</v>
      </c>
      <c r="AX484" t="s">
        <v>262</v>
      </c>
      <c r="AY484" t="s">
        <v>1777</v>
      </c>
      <c r="AZ484" t="s">
        <v>264</v>
      </c>
      <c r="BA484" t="s">
        <v>245</v>
      </c>
      <c r="BB484" t="s">
        <v>264</v>
      </c>
      <c r="BC484" t="s">
        <v>245</v>
      </c>
      <c r="BD484" t="s">
        <v>1781</v>
      </c>
      <c r="BE484" t="s">
        <v>1779</v>
      </c>
      <c r="BF484" t="s">
        <v>240</v>
      </c>
      <c r="BG484" t="s">
        <v>110</v>
      </c>
      <c r="BH484" t="str">
        <f>IF(COUNTIF(工作表1!A:A, $C484)&gt;0, "預購款", "非預購款")</f>
        <v>非預購款</v>
      </c>
    </row>
    <row r="485" spans="1:60" x14ac:dyDescent="0.25">
      <c r="A485" t="s">
        <v>1782</v>
      </c>
      <c r="B485" t="s">
        <v>283</v>
      </c>
      <c r="C485" t="s">
        <v>1783</v>
      </c>
      <c r="D485" t="s">
        <v>1784</v>
      </c>
      <c r="E485" t="s">
        <v>1785</v>
      </c>
      <c r="F485" t="s">
        <v>1310</v>
      </c>
      <c r="G485" t="s">
        <v>1786</v>
      </c>
      <c r="H485" t="s">
        <v>119</v>
      </c>
      <c r="I485" t="s">
        <v>97</v>
      </c>
      <c r="J485" t="s">
        <v>98</v>
      </c>
      <c r="K485" t="s">
        <v>69</v>
      </c>
      <c r="L485" t="s">
        <v>1787</v>
      </c>
      <c r="M485" t="s">
        <v>71</v>
      </c>
      <c r="N485" t="s">
        <v>100</v>
      </c>
      <c r="O485" t="s">
        <v>1648</v>
      </c>
      <c r="P485" t="s">
        <v>1649</v>
      </c>
      <c r="R485" t="s">
        <v>1650</v>
      </c>
      <c r="S485" t="s">
        <v>178</v>
      </c>
      <c r="T485" t="s">
        <v>291</v>
      </c>
      <c r="U485" t="s">
        <v>150</v>
      </c>
      <c r="V485" t="s">
        <v>1630</v>
      </c>
      <c r="W485">
        <v>490</v>
      </c>
      <c r="X485">
        <v>22.99</v>
      </c>
      <c r="Y485">
        <v>60</v>
      </c>
      <c r="Z485">
        <v>355000</v>
      </c>
      <c r="AA485">
        <v>88200</v>
      </c>
      <c r="AB485">
        <v>160</v>
      </c>
      <c r="AD485" t="s">
        <v>238</v>
      </c>
      <c r="AE485">
        <v>1</v>
      </c>
      <c r="AF485">
        <v>0</v>
      </c>
      <c r="AI485">
        <v>30</v>
      </c>
      <c r="AJ485">
        <v>70</v>
      </c>
      <c r="AK485">
        <v>100</v>
      </c>
      <c r="AL485">
        <v>180</v>
      </c>
      <c r="AM485">
        <v>110</v>
      </c>
      <c r="AN485">
        <v>0</v>
      </c>
      <c r="AO485">
        <v>110</v>
      </c>
      <c r="AP485" t="s">
        <v>80</v>
      </c>
      <c r="AQ485" t="s">
        <v>954</v>
      </c>
      <c r="AT485" t="s">
        <v>264</v>
      </c>
      <c r="AU485" t="s">
        <v>240</v>
      </c>
      <c r="AV485" t="s">
        <v>876</v>
      </c>
      <c r="AW485" t="s">
        <v>69</v>
      </c>
      <c r="AX485" t="s">
        <v>126</v>
      </c>
      <c r="AY485" t="s">
        <v>1788</v>
      </c>
      <c r="AZ485" t="s">
        <v>243</v>
      </c>
      <c r="BA485" t="s">
        <v>245</v>
      </c>
      <c r="BB485" t="s">
        <v>245</v>
      </c>
      <c r="BC485" t="s">
        <v>264</v>
      </c>
      <c r="BD485" t="s">
        <v>1789</v>
      </c>
      <c r="BE485" t="s">
        <v>1790</v>
      </c>
      <c r="BF485" t="s">
        <v>291</v>
      </c>
      <c r="BG485" t="s">
        <v>87</v>
      </c>
      <c r="BH485" t="str">
        <f>IF(COUNTIF(工作表1!A:A, $C485)&gt;0, "預購款", "非預購款")</f>
        <v>非預購款</v>
      </c>
    </row>
    <row r="486" spans="1:60" x14ac:dyDescent="0.25">
      <c r="A486" t="s">
        <v>1782</v>
      </c>
      <c r="B486" t="s">
        <v>283</v>
      </c>
      <c r="C486" t="s">
        <v>1783</v>
      </c>
      <c r="D486" t="s">
        <v>1784</v>
      </c>
      <c r="E486" t="s">
        <v>1785</v>
      </c>
      <c r="F486" t="s">
        <v>1310</v>
      </c>
      <c r="G486" t="s">
        <v>1786</v>
      </c>
      <c r="H486" t="s">
        <v>130</v>
      </c>
      <c r="I486" t="s">
        <v>97</v>
      </c>
      <c r="J486" t="s">
        <v>98</v>
      </c>
      <c r="K486" t="s">
        <v>69</v>
      </c>
      <c r="L486" t="s">
        <v>1787</v>
      </c>
      <c r="M486" t="s">
        <v>71</v>
      </c>
      <c r="N486" t="s">
        <v>100</v>
      </c>
      <c r="O486" t="s">
        <v>1648</v>
      </c>
      <c r="P486" t="s">
        <v>1649</v>
      </c>
      <c r="R486" t="s">
        <v>1650</v>
      </c>
      <c r="S486" t="s">
        <v>178</v>
      </c>
      <c r="T486" t="s">
        <v>291</v>
      </c>
      <c r="U486" t="s">
        <v>150</v>
      </c>
      <c r="V486" t="s">
        <v>1630</v>
      </c>
      <c r="W486">
        <v>490</v>
      </c>
      <c r="X486">
        <v>22.99</v>
      </c>
      <c r="Y486">
        <v>60</v>
      </c>
      <c r="Z486">
        <v>355000</v>
      </c>
      <c r="AA486">
        <v>88200</v>
      </c>
      <c r="AB486">
        <v>160</v>
      </c>
      <c r="AD486" t="s">
        <v>238</v>
      </c>
      <c r="AE486">
        <v>1</v>
      </c>
      <c r="AF486">
        <v>0</v>
      </c>
      <c r="AI486">
        <v>10</v>
      </c>
      <c r="AJ486">
        <v>70</v>
      </c>
      <c r="AK486">
        <v>80</v>
      </c>
      <c r="AL486">
        <v>180</v>
      </c>
      <c r="AM486">
        <v>90</v>
      </c>
      <c r="AN486">
        <v>0</v>
      </c>
      <c r="AO486">
        <v>90</v>
      </c>
      <c r="AP486" t="s">
        <v>80</v>
      </c>
      <c r="AQ486" t="s">
        <v>954</v>
      </c>
      <c r="AT486" t="s">
        <v>264</v>
      </c>
      <c r="AU486" t="s">
        <v>240</v>
      </c>
      <c r="AV486" t="s">
        <v>876</v>
      </c>
      <c r="AW486" t="s">
        <v>69</v>
      </c>
      <c r="AX486" t="s">
        <v>126</v>
      </c>
      <c r="AY486" t="s">
        <v>1788</v>
      </c>
      <c r="AZ486" t="s">
        <v>243</v>
      </c>
      <c r="BA486" t="s">
        <v>245</v>
      </c>
      <c r="BB486" t="s">
        <v>245</v>
      </c>
      <c r="BC486" t="s">
        <v>264</v>
      </c>
      <c r="BD486" t="s">
        <v>1791</v>
      </c>
      <c r="BE486" t="s">
        <v>1790</v>
      </c>
      <c r="BF486" t="s">
        <v>291</v>
      </c>
      <c r="BG486" t="s">
        <v>87</v>
      </c>
      <c r="BH486" t="str">
        <f>IF(COUNTIF(工作表1!A:A, $C486)&gt;0, "預購款", "非預購款")</f>
        <v>非預購款</v>
      </c>
    </row>
    <row r="487" spans="1:60" x14ac:dyDescent="0.25">
      <c r="A487" t="s">
        <v>1792</v>
      </c>
      <c r="B487" t="s">
        <v>283</v>
      </c>
      <c r="C487" t="s">
        <v>1793</v>
      </c>
      <c r="D487" t="s">
        <v>1794</v>
      </c>
      <c r="E487" t="s">
        <v>1795</v>
      </c>
      <c r="F487" t="s">
        <v>1310</v>
      </c>
      <c r="G487" t="s">
        <v>1796</v>
      </c>
      <c r="H487" t="s">
        <v>119</v>
      </c>
      <c r="I487" t="s">
        <v>97</v>
      </c>
      <c r="J487" t="s">
        <v>98</v>
      </c>
      <c r="K487" t="s">
        <v>69</v>
      </c>
      <c r="L487" t="s">
        <v>1797</v>
      </c>
      <c r="M487" t="s">
        <v>71</v>
      </c>
      <c r="N487" t="s">
        <v>100</v>
      </c>
      <c r="O487" t="s">
        <v>1648</v>
      </c>
      <c r="P487" t="s">
        <v>1649</v>
      </c>
      <c r="R487" t="s">
        <v>1798</v>
      </c>
      <c r="S487" t="s">
        <v>178</v>
      </c>
      <c r="T487" t="s">
        <v>258</v>
      </c>
      <c r="U487" t="s">
        <v>104</v>
      </c>
      <c r="V487" t="s">
        <v>1799</v>
      </c>
      <c r="W487">
        <v>690</v>
      </c>
      <c r="X487">
        <v>29.99</v>
      </c>
      <c r="Y487">
        <v>89</v>
      </c>
      <c r="Z487">
        <v>499000</v>
      </c>
      <c r="AA487">
        <v>1121250</v>
      </c>
      <c r="AB487">
        <v>200</v>
      </c>
      <c r="AD487" t="s">
        <v>238</v>
      </c>
      <c r="AE487">
        <v>2</v>
      </c>
      <c r="AF487">
        <v>10</v>
      </c>
      <c r="AI487">
        <v>210</v>
      </c>
      <c r="AJ487">
        <v>260</v>
      </c>
      <c r="AK487">
        <v>480</v>
      </c>
      <c r="AL487">
        <v>1625</v>
      </c>
      <c r="AM487">
        <v>480</v>
      </c>
      <c r="AN487">
        <v>0</v>
      </c>
      <c r="AO487">
        <v>480</v>
      </c>
      <c r="AP487" t="s">
        <v>80</v>
      </c>
      <c r="AQ487" t="s">
        <v>179</v>
      </c>
      <c r="AR487" t="s">
        <v>86</v>
      </c>
      <c r="AS487" t="s">
        <v>86</v>
      </c>
      <c r="AT487" t="s">
        <v>86</v>
      </c>
      <c r="AU487" t="s">
        <v>86</v>
      </c>
      <c r="AV487" t="s">
        <v>1800</v>
      </c>
      <c r="AW487" t="s">
        <v>69</v>
      </c>
      <c r="AX487" t="s">
        <v>737</v>
      </c>
      <c r="AY487" t="s">
        <v>1801</v>
      </c>
      <c r="AZ487" t="s">
        <v>310</v>
      </c>
      <c r="BA487" t="s">
        <v>244</v>
      </c>
      <c r="BB487" t="s">
        <v>264</v>
      </c>
      <c r="BC487" t="s">
        <v>244</v>
      </c>
      <c r="BD487" t="s">
        <v>1802</v>
      </c>
      <c r="BE487" t="s">
        <v>1803</v>
      </c>
      <c r="BF487" t="s">
        <v>240</v>
      </c>
      <c r="BG487" t="s">
        <v>110</v>
      </c>
      <c r="BH487" t="str">
        <f>IF(COUNTIF(工作表1!A:A, $C487)&gt;0, "預購款", "非預購款")</f>
        <v>非預購款</v>
      </c>
    </row>
    <row r="488" spans="1:60" x14ac:dyDescent="0.25">
      <c r="A488" t="s">
        <v>1792</v>
      </c>
      <c r="B488" t="s">
        <v>283</v>
      </c>
      <c r="C488" t="s">
        <v>1793</v>
      </c>
      <c r="D488" t="s">
        <v>1794</v>
      </c>
      <c r="E488" t="s">
        <v>1795</v>
      </c>
      <c r="F488" t="s">
        <v>1310</v>
      </c>
      <c r="G488" t="s">
        <v>1796</v>
      </c>
      <c r="H488" t="s">
        <v>130</v>
      </c>
      <c r="I488" t="s">
        <v>97</v>
      </c>
      <c r="J488" t="s">
        <v>98</v>
      </c>
      <c r="K488" t="s">
        <v>69</v>
      </c>
      <c r="L488" t="s">
        <v>1797</v>
      </c>
      <c r="M488" t="s">
        <v>71</v>
      </c>
      <c r="N488" t="s">
        <v>100</v>
      </c>
      <c r="O488" t="s">
        <v>1648</v>
      </c>
      <c r="P488" t="s">
        <v>1649</v>
      </c>
      <c r="R488" t="s">
        <v>1798</v>
      </c>
      <c r="S488" t="s">
        <v>178</v>
      </c>
      <c r="T488" t="s">
        <v>258</v>
      </c>
      <c r="U488" t="s">
        <v>104</v>
      </c>
      <c r="V488" t="s">
        <v>1799</v>
      </c>
      <c r="W488">
        <v>690</v>
      </c>
      <c r="X488">
        <v>29.99</v>
      </c>
      <c r="Y488">
        <v>89</v>
      </c>
      <c r="Z488">
        <v>499000</v>
      </c>
      <c r="AA488">
        <v>1121250</v>
      </c>
      <c r="AB488">
        <v>200</v>
      </c>
      <c r="AD488" t="s">
        <v>238</v>
      </c>
      <c r="AE488">
        <v>2</v>
      </c>
      <c r="AF488">
        <v>5</v>
      </c>
      <c r="AI488">
        <v>100</v>
      </c>
      <c r="AJ488">
        <v>170</v>
      </c>
      <c r="AK488">
        <v>275</v>
      </c>
      <c r="AL488">
        <v>1625</v>
      </c>
      <c r="AM488">
        <v>278</v>
      </c>
      <c r="AN488">
        <v>0</v>
      </c>
      <c r="AO488">
        <v>278</v>
      </c>
      <c r="AP488" t="s">
        <v>80</v>
      </c>
      <c r="AQ488" t="s">
        <v>179</v>
      </c>
      <c r="AR488" t="s">
        <v>86</v>
      </c>
      <c r="AS488" t="s">
        <v>86</v>
      </c>
      <c r="AT488" t="s">
        <v>86</v>
      </c>
      <c r="AU488" t="s">
        <v>86</v>
      </c>
      <c r="AV488" t="s">
        <v>1800</v>
      </c>
      <c r="AW488" t="s">
        <v>69</v>
      </c>
      <c r="AX488" t="s">
        <v>737</v>
      </c>
      <c r="AY488" t="s">
        <v>1801</v>
      </c>
      <c r="AZ488" t="s">
        <v>310</v>
      </c>
      <c r="BA488" t="s">
        <v>244</v>
      </c>
      <c r="BB488" t="s">
        <v>264</v>
      </c>
      <c r="BC488" t="s">
        <v>244</v>
      </c>
      <c r="BD488" t="s">
        <v>1804</v>
      </c>
      <c r="BE488" t="s">
        <v>1803</v>
      </c>
      <c r="BF488" t="s">
        <v>240</v>
      </c>
      <c r="BG488" t="s">
        <v>110</v>
      </c>
      <c r="BH488" t="str">
        <f>IF(COUNTIF(工作表1!A:A, $C488)&gt;0, "預購款", "非預購款")</f>
        <v>非預購款</v>
      </c>
    </row>
    <row r="489" spans="1:60" x14ac:dyDescent="0.25">
      <c r="A489" t="s">
        <v>1792</v>
      </c>
      <c r="B489" t="s">
        <v>283</v>
      </c>
      <c r="C489" t="s">
        <v>1793</v>
      </c>
      <c r="D489" t="s">
        <v>1794</v>
      </c>
      <c r="E489" t="s">
        <v>1795</v>
      </c>
      <c r="F489" t="s">
        <v>1310</v>
      </c>
      <c r="G489" t="s">
        <v>1796</v>
      </c>
      <c r="H489" t="s">
        <v>132</v>
      </c>
      <c r="I489" t="s">
        <v>97</v>
      </c>
      <c r="J489" t="s">
        <v>98</v>
      </c>
      <c r="K489" t="s">
        <v>69</v>
      </c>
      <c r="L489" t="s">
        <v>1797</v>
      </c>
      <c r="M489" t="s">
        <v>71</v>
      </c>
      <c r="N489" t="s">
        <v>100</v>
      </c>
      <c r="O489" t="s">
        <v>1648</v>
      </c>
      <c r="P489" t="s">
        <v>1649</v>
      </c>
      <c r="R489" t="s">
        <v>1798</v>
      </c>
      <c r="S489" t="s">
        <v>178</v>
      </c>
      <c r="T489" t="s">
        <v>258</v>
      </c>
      <c r="U489" t="s">
        <v>104</v>
      </c>
      <c r="V489" t="s">
        <v>1799</v>
      </c>
      <c r="W489">
        <v>690</v>
      </c>
      <c r="X489">
        <v>29.99</v>
      </c>
      <c r="Y489">
        <v>89</v>
      </c>
      <c r="Z489">
        <v>499000</v>
      </c>
      <c r="AA489">
        <v>1121250</v>
      </c>
      <c r="AB489">
        <v>200</v>
      </c>
      <c r="AD489" t="s">
        <v>238</v>
      </c>
      <c r="AE489">
        <v>2</v>
      </c>
      <c r="AF489">
        <v>0</v>
      </c>
      <c r="AI489">
        <v>30</v>
      </c>
      <c r="AJ489">
        <v>50</v>
      </c>
      <c r="AK489">
        <v>80</v>
      </c>
      <c r="AL489">
        <v>1625</v>
      </c>
      <c r="AM489">
        <v>80</v>
      </c>
      <c r="AN489">
        <v>0</v>
      </c>
      <c r="AO489">
        <v>80</v>
      </c>
      <c r="AP489" t="s">
        <v>80</v>
      </c>
      <c r="AQ489" t="s">
        <v>179</v>
      </c>
      <c r="AR489" t="s">
        <v>86</v>
      </c>
      <c r="AS489" t="s">
        <v>86</v>
      </c>
      <c r="AT489" t="s">
        <v>86</v>
      </c>
      <c r="AU489" t="s">
        <v>86</v>
      </c>
      <c r="AV489" t="s">
        <v>1800</v>
      </c>
      <c r="AW489" t="s">
        <v>69</v>
      </c>
      <c r="AX489" t="s">
        <v>737</v>
      </c>
      <c r="AY489" t="s">
        <v>1801</v>
      </c>
      <c r="AZ489" t="s">
        <v>310</v>
      </c>
      <c r="BA489" t="s">
        <v>244</v>
      </c>
      <c r="BB489" t="s">
        <v>264</v>
      </c>
      <c r="BC489" t="s">
        <v>244</v>
      </c>
      <c r="BD489" t="s">
        <v>1805</v>
      </c>
      <c r="BE489" t="s">
        <v>1803</v>
      </c>
      <c r="BF489" t="s">
        <v>240</v>
      </c>
      <c r="BG489" t="s">
        <v>110</v>
      </c>
      <c r="BH489" t="str">
        <f>IF(COUNTIF(工作表1!A:A, $C489)&gt;0, "預購款", "非預購款")</f>
        <v>非預購款</v>
      </c>
    </row>
    <row r="490" spans="1:60" x14ac:dyDescent="0.25">
      <c r="A490" t="s">
        <v>1792</v>
      </c>
      <c r="B490" t="s">
        <v>283</v>
      </c>
      <c r="C490" t="s">
        <v>1793</v>
      </c>
      <c r="D490" t="s">
        <v>1794</v>
      </c>
      <c r="E490" t="s">
        <v>1795</v>
      </c>
      <c r="F490" t="s">
        <v>1310</v>
      </c>
      <c r="G490" t="s">
        <v>1796</v>
      </c>
      <c r="H490" t="s">
        <v>119</v>
      </c>
      <c r="I490" t="s">
        <v>422</v>
      </c>
      <c r="J490" t="s">
        <v>423</v>
      </c>
      <c r="K490" t="s">
        <v>69</v>
      </c>
      <c r="L490" t="s">
        <v>1797</v>
      </c>
      <c r="M490" t="s">
        <v>71</v>
      </c>
      <c r="N490" t="s">
        <v>100</v>
      </c>
      <c r="O490" t="s">
        <v>1648</v>
      </c>
      <c r="P490" t="s">
        <v>1649</v>
      </c>
      <c r="R490" t="s">
        <v>1798</v>
      </c>
      <c r="S490" t="s">
        <v>178</v>
      </c>
      <c r="T490" t="s">
        <v>258</v>
      </c>
      <c r="U490" t="s">
        <v>104</v>
      </c>
      <c r="V490" t="s">
        <v>1799</v>
      </c>
      <c r="W490">
        <v>690</v>
      </c>
      <c r="X490">
        <v>29.99</v>
      </c>
      <c r="Y490">
        <v>89</v>
      </c>
      <c r="Z490">
        <v>499000</v>
      </c>
      <c r="AA490">
        <v>1121250</v>
      </c>
      <c r="AB490">
        <v>200</v>
      </c>
      <c r="AD490" t="s">
        <v>238</v>
      </c>
      <c r="AE490">
        <v>2</v>
      </c>
      <c r="AF490">
        <v>5</v>
      </c>
      <c r="AI490">
        <v>130</v>
      </c>
      <c r="AJ490">
        <v>250</v>
      </c>
      <c r="AK490">
        <v>385</v>
      </c>
      <c r="AL490">
        <v>1625</v>
      </c>
      <c r="AM490">
        <v>392</v>
      </c>
      <c r="AN490">
        <v>0</v>
      </c>
      <c r="AO490">
        <v>392</v>
      </c>
      <c r="AP490" t="s">
        <v>80</v>
      </c>
      <c r="AQ490" t="s">
        <v>179</v>
      </c>
      <c r="AR490" t="s">
        <v>86</v>
      </c>
      <c r="AS490" t="s">
        <v>86</v>
      </c>
      <c r="AT490" t="s">
        <v>86</v>
      </c>
      <c r="AU490" t="s">
        <v>86</v>
      </c>
      <c r="AV490" t="s">
        <v>1800</v>
      </c>
      <c r="AW490" t="s">
        <v>69</v>
      </c>
      <c r="AX490" t="s">
        <v>737</v>
      </c>
      <c r="AY490" t="s">
        <v>1801</v>
      </c>
      <c r="AZ490" t="s">
        <v>310</v>
      </c>
      <c r="BA490" t="s">
        <v>244</v>
      </c>
      <c r="BB490" t="s">
        <v>264</v>
      </c>
      <c r="BC490" t="s">
        <v>244</v>
      </c>
      <c r="BD490" t="s">
        <v>1806</v>
      </c>
      <c r="BE490" t="s">
        <v>1803</v>
      </c>
      <c r="BF490" t="s">
        <v>240</v>
      </c>
      <c r="BG490" t="s">
        <v>110</v>
      </c>
      <c r="BH490" t="str">
        <f>IF(COUNTIF(工作表1!A:A, $C490)&gt;0, "預購款", "非預購款")</f>
        <v>非預購款</v>
      </c>
    </row>
    <row r="491" spans="1:60" x14ac:dyDescent="0.25">
      <c r="A491" t="s">
        <v>1792</v>
      </c>
      <c r="B491" t="s">
        <v>283</v>
      </c>
      <c r="C491" t="s">
        <v>1793</v>
      </c>
      <c r="D491" t="s">
        <v>1794</v>
      </c>
      <c r="E491" t="s">
        <v>1795</v>
      </c>
      <c r="F491" t="s">
        <v>1310</v>
      </c>
      <c r="G491" t="s">
        <v>1796</v>
      </c>
      <c r="H491" t="s">
        <v>130</v>
      </c>
      <c r="I491" t="s">
        <v>422</v>
      </c>
      <c r="J491" t="s">
        <v>423</v>
      </c>
      <c r="K491" t="s">
        <v>69</v>
      </c>
      <c r="L491" t="s">
        <v>1797</v>
      </c>
      <c r="M491" t="s">
        <v>71</v>
      </c>
      <c r="N491" t="s">
        <v>100</v>
      </c>
      <c r="O491" t="s">
        <v>1648</v>
      </c>
      <c r="P491" t="s">
        <v>1649</v>
      </c>
      <c r="R491" t="s">
        <v>1798</v>
      </c>
      <c r="S491" t="s">
        <v>178</v>
      </c>
      <c r="T491" t="s">
        <v>258</v>
      </c>
      <c r="U491" t="s">
        <v>104</v>
      </c>
      <c r="V491" t="s">
        <v>1799</v>
      </c>
      <c r="W491">
        <v>690</v>
      </c>
      <c r="X491">
        <v>29.99</v>
      </c>
      <c r="Y491">
        <v>89</v>
      </c>
      <c r="Z491">
        <v>499000</v>
      </c>
      <c r="AA491">
        <v>1121250</v>
      </c>
      <c r="AB491">
        <v>200</v>
      </c>
      <c r="AD491" t="s">
        <v>238</v>
      </c>
      <c r="AE491">
        <v>2</v>
      </c>
      <c r="AF491">
        <v>5</v>
      </c>
      <c r="AI491">
        <v>60</v>
      </c>
      <c r="AJ491">
        <v>200</v>
      </c>
      <c r="AK491">
        <v>265</v>
      </c>
      <c r="AL491">
        <v>1625</v>
      </c>
      <c r="AM491">
        <v>271</v>
      </c>
      <c r="AN491">
        <v>0</v>
      </c>
      <c r="AO491">
        <v>271</v>
      </c>
      <c r="AP491" t="s">
        <v>80</v>
      </c>
      <c r="AQ491" t="s">
        <v>179</v>
      </c>
      <c r="AR491" t="s">
        <v>86</v>
      </c>
      <c r="AS491" t="s">
        <v>86</v>
      </c>
      <c r="AT491" t="s">
        <v>86</v>
      </c>
      <c r="AU491" t="s">
        <v>86</v>
      </c>
      <c r="AV491" t="s">
        <v>1800</v>
      </c>
      <c r="AW491" t="s">
        <v>69</v>
      </c>
      <c r="AX491" t="s">
        <v>737</v>
      </c>
      <c r="AY491" t="s">
        <v>1801</v>
      </c>
      <c r="AZ491" t="s">
        <v>310</v>
      </c>
      <c r="BA491" t="s">
        <v>244</v>
      </c>
      <c r="BB491" t="s">
        <v>264</v>
      </c>
      <c r="BC491" t="s">
        <v>244</v>
      </c>
      <c r="BD491" t="s">
        <v>1807</v>
      </c>
      <c r="BE491" t="s">
        <v>1803</v>
      </c>
      <c r="BF491" t="s">
        <v>240</v>
      </c>
      <c r="BG491" t="s">
        <v>110</v>
      </c>
      <c r="BH491" t="str">
        <f>IF(COUNTIF(工作表1!A:A, $C491)&gt;0, "預購款", "非預購款")</f>
        <v>非預購款</v>
      </c>
    </row>
    <row r="492" spans="1:60" x14ac:dyDescent="0.25">
      <c r="A492" t="s">
        <v>1792</v>
      </c>
      <c r="B492" t="s">
        <v>283</v>
      </c>
      <c r="C492" t="s">
        <v>1793</v>
      </c>
      <c r="D492" t="s">
        <v>1794</v>
      </c>
      <c r="E492" t="s">
        <v>1795</v>
      </c>
      <c r="F492" t="s">
        <v>1310</v>
      </c>
      <c r="G492" t="s">
        <v>1796</v>
      </c>
      <c r="H492" t="s">
        <v>132</v>
      </c>
      <c r="I492" t="s">
        <v>422</v>
      </c>
      <c r="J492" t="s">
        <v>423</v>
      </c>
      <c r="K492" t="s">
        <v>69</v>
      </c>
      <c r="L492" t="s">
        <v>1797</v>
      </c>
      <c r="M492" t="s">
        <v>71</v>
      </c>
      <c r="N492" t="s">
        <v>100</v>
      </c>
      <c r="O492" t="s">
        <v>1648</v>
      </c>
      <c r="P492" t="s">
        <v>1649</v>
      </c>
      <c r="R492" t="s">
        <v>1798</v>
      </c>
      <c r="S492" t="s">
        <v>178</v>
      </c>
      <c r="T492" t="s">
        <v>258</v>
      </c>
      <c r="U492" t="s">
        <v>104</v>
      </c>
      <c r="V492" t="s">
        <v>1799</v>
      </c>
      <c r="W492">
        <v>690</v>
      </c>
      <c r="X492">
        <v>29.99</v>
      </c>
      <c r="Y492">
        <v>89</v>
      </c>
      <c r="Z492">
        <v>499000</v>
      </c>
      <c r="AA492">
        <v>1121250</v>
      </c>
      <c r="AB492">
        <v>200</v>
      </c>
      <c r="AD492" t="s">
        <v>238</v>
      </c>
      <c r="AE492">
        <v>2</v>
      </c>
      <c r="AF492">
        <v>0</v>
      </c>
      <c r="AI492">
        <v>50</v>
      </c>
      <c r="AJ492">
        <v>90</v>
      </c>
      <c r="AK492">
        <v>140</v>
      </c>
      <c r="AL492">
        <v>1625</v>
      </c>
      <c r="AM492">
        <v>147</v>
      </c>
      <c r="AN492">
        <v>0</v>
      </c>
      <c r="AO492">
        <v>147</v>
      </c>
      <c r="AP492" t="s">
        <v>80</v>
      </c>
      <c r="AQ492" t="s">
        <v>179</v>
      </c>
      <c r="AR492" t="s">
        <v>86</v>
      </c>
      <c r="AS492" t="s">
        <v>86</v>
      </c>
      <c r="AT492" t="s">
        <v>86</v>
      </c>
      <c r="AU492" t="s">
        <v>86</v>
      </c>
      <c r="AV492" t="s">
        <v>1800</v>
      </c>
      <c r="AW492" t="s">
        <v>69</v>
      </c>
      <c r="AX492" t="s">
        <v>737</v>
      </c>
      <c r="AY492" t="s">
        <v>1801</v>
      </c>
      <c r="AZ492" t="s">
        <v>310</v>
      </c>
      <c r="BA492" t="s">
        <v>244</v>
      </c>
      <c r="BB492" t="s">
        <v>264</v>
      </c>
      <c r="BC492" t="s">
        <v>244</v>
      </c>
      <c r="BD492" t="s">
        <v>1808</v>
      </c>
      <c r="BE492" t="s">
        <v>1803</v>
      </c>
      <c r="BF492" t="s">
        <v>240</v>
      </c>
      <c r="BG492" t="s">
        <v>110</v>
      </c>
      <c r="BH492" t="str">
        <f>IF(COUNTIF(工作表1!A:A, $C492)&gt;0, "預購款", "非預購款")</f>
        <v>非預購款</v>
      </c>
    </row>
    <row r="493" spans="1:60" x14ac:dyDescent="0.25">
      <c r="A493" t="s">
        <v>1614</v>
      </c>
      <c r="B493" t="s">
        <v>315</v>
      </c>
      <c r="C493" t="s">
        <v>1615</v>
      </c>
      <c r="D493" t="s">
        <v>1616</v>
      </c>
      <c r="E493" t="s">
        <v>1617</v>
      </c>
      <c r="F493" t="s">
        <v>1310</v>
      </c>
      <c r="G493" t="s">
        <v>1618</v>
      </c>
      <c r="H493" t="s">
        <v>66</v>
      </c>
      <c r="I493" t="s">
        <v>88</v>
      </c>
      <c r="J493" t="s">
        <v>89</v>
      </c>
      <c r="K493" t="s">
        <v>69</v>
      </c>
      <c r="L493" t="s">
        <v>1619</v>
      </c>
      <c r="M493" t="s">
        <v>71</v>
      </c>
      <c r="N493" t="s">
        <v>100</v>
      </c>
      <c r="O493" t="s">
        <v>1391</v>
      </c>
      <c r="P493" t="s">
        <v>1392</v>
      </c>
      <c r="R493" t="s">
        <v>1586</v>
      </c>
      <c r="S493" t="s">
        <v>178</v>
      </c>
      <c r="T493" t="s">
        <v>76</v>
      </c>
      <c r="U493" t="s">
        <v>104</v>
      </c>
      <c r="V493" t="s">
        <v>1620</v>
      </c>
      <c r="W493">
        <v>890</v>
      </c>
      <c r="X493">
        <v>39.99</v>
      </c>
      <c r="Y493">
        <v>115</v>
      </c>
      <c r="Z493">
        <v>639000</v>
      </c>
      <c r="AA493">
        <v>133500</v>
      </c>
      <c r="AB493">
        <v>274</v>
      </c>
      <c r="AD493" t="s">
        <v>238</v>
      </c>
      <c r="AE493">
        <v>1</v>
      </c>
      <c r="AF493">
        <v>0</v>
      </c>
      <c r="AI493">
        <v>50</v>
      </c>
      <c r="AJ493">
        <v>100</v>
      </c>
      <c r="AK493">
        <v>150</v>
      </c>
      <c r="AL493">
        <v>150</v>
      </c>
      <c r="AM493">
        <v>146</v>
      </c>
      <c r="AN493">
        <v>0</v>
      </c>
      <c r="AO493">
        <v>146</v>
      </c>
      <c r="AP493" t="s">
        <v>80</v>
      </c>
      <c r="AQ493" t="s">
        <v>179</v>
      </c>
      <c r="AR493" t="s">
        <v>86</v>
      </c>
      <c r="AS493" t="s">
        <v>86</v>
      </c>
      <c r="AT493" t="s">
        <v>264</v>
      </c>
      <c r="AU493" t="s">
        <v>264</v>
      </c>
      <c r="AV493" t="s">
        <v>1587</v>
      </c>
      <c r="AW493" t="s">
        <v>69</v>
      </c>
      <c r="AX493" t="s">
        <v>1603</v>
      </c>
      <c r="AY493" t="s">
        <v>1604</v>
      </c>
      <c r="AZ493" t="s">
        <v>245</v>
      </c>
      <c r="BA493" t="s">
        <v>243</v>
      </c>
      <c r="BB493" t="s">
        <v>244</v>
      </c>
      <c r="BC493" t="s">
        <v>244</v>
      </c>
      <c r="BD493" t="s">
        <v>1621</v>
      </c>
      <c r="BE493" t="s">
        <v>1810</v>
      </c>
      <c r="BF493" t="s">
        <v>86</v>
      </c>
      <c r="BG493" t="s">
        <v>150</v>
      </c>
      <c r="BH493" t="str">
        <f>IF(COUNTIF(工作表1!A:A, $C493)&gt;0, "預購款", "非預購款")</f>
        <v>非預購款</v>
      </c>
    </row>
    <row r="494" spans="1:60" x14ac:dyDescent="0.25">
      <c r="A494" t="s">
        <v>1623</v>
      </c>
      <c r="B494" t="s">
        <v>315</v>
      </c>
      <c r="C494" t="s">
        <v>1624</v>
      </c>
      <c r="D494" t="s">
        <v>1625</v>
      </c>
      <c r="E494" t="s">
        <v>1626</v>
      </c>
      <c r="F494" t="s">
        <v>1310</v>
      </c>
      <c r="G494" t="s">
        <v>1627</v>
      </c>
      <c r="H494" t="s">
        <v>632</v>
      </c>
      <c r="I494" t="s">
        <v>88</v>
      </c>
      <c r="J494" t="s">
        <v>89</v>
      </c>
      <c r="K494" t="s">
        <v>69</v>
      </c>
      <c r="L494" t="s">
        <v>1619</v>
      </c>
      <c r="M494" t="s">
        <v>71</v>
      </c>
      <c r="N494" t="s">
        <v>100</v>
      </c>
      <c r="O494" t="s">
        <v>1391</v>
      </c>
      <c r="P494" t="s">
        <v>1392</v>
      </c>
      <c r="R494" t="s">
        <v>1588</v>
      </c>
      <c r="S494" t="s">
        <v>178</v>
      </c>
      <c r="T494" t="s">
        <v>274</v>
      </c>
      <c r="U494" t="s">
        <v>104</v>
      </c>
      <c r="V494" t="s">
        <v>1620</v>
      </c>
      <c r="W494">
        <v>990</v>
      </c>
      <c r="X494">
        <v>39.99</v>
      </c>
      <c r="Y494">
        <v>129</v>
      </c>
      <c r="Z494">
        <v>709000</v>
      </c>
      <c r="AA494">
        <v>89100</v>
      </c>
      <c r="AB494">
        <v>300</v>
      </c>
      <c r="AD494" t="s">
        <v>238</v>
      </c>
      <c r="AE494">
        <v>1</v>
      </c>
      <c r="AF494">
        <v>0</v>
      </c>
      <c r="AI494">
        <v>40</v>
      </c>
      <c r="AJ494">
        <v>50</v>
      </c>
      <c r="AK494">
        <v>90</v>
      </c>
      <c r="AL494">
        <v>90</v>
      </c>
      <c r="AM494">
        <v>87</v>
      </c>
      <c r="AN494">
        <v>0</v>
      </c>
      <c r="AO494">
        <v>87</v>
      </c>
      <c r="AP494" t="s">
        <v>80</v>
      </c>
      <c r="AQ494" t="s">
        <v>179</v>
      </c>
      <c r="AS494" t="s">
        <v>86</v>
      </c>
      <c r="AT494" t="s">
        <v>240</v>
      </c>
      <c r="AU494" t="s">
        <v>86</v>
      </c>
      <c r="AV494" t="s">
        <v>1587</v>
      </c>
      <c r="AW494" t="s">
        <v>69</v>
      </c>
      <c r="AX494" t="s">
        <v>1628</v>
      </c>
      <c r="AY494" t="s">
        <v>634</v>
      </c>
      <c r="AZ494" t="s">
        <v>245</v>
      </c>
      <c r="BA494" t="s">
        <v>243</v>
      </c>
      <c r="BB494" t="s">
        <v>244</v>
      </c>
      <c r="BC494" t="s">
        <v>244</v>
      </c>
      <c r="BD494" t="s">
        <v>1629</v>
      </c>
      <c r="BE494" t="s">
        <v>1811</v>
      </c>
      <c r="BF494" t="s">
        <v>279</v>
      </c>
      <c r="BG494" t="s">
        <v>150</v>
      </c>
      <c r="BH494" t="str">
        <f>IF(COUNTIF(工作表1!A:A, $C494)&gt;0, "預購款", "非預購款")</f>
        <v>非預購款</v>
      </c>
    </row>
    <row r="495" spans="1:60" x14ac:dyDescent="0.25">
      <c r="A495" t="s">
        <v>1812</v>
      </c>
      <c r="B495" t="s">
        <v>315</v>
      </c>
      <c r="C495" t="s">
        <v>1813</v>
      </c>
      <c r="D495" t="s">
        <v>1814</v>
      </c>
      <c r="E495" t="s">
        <v>1815</v>
      </c>
      <c r="F495" t="s">
        <v>1310</v>
      </c>
      <c r="G495" t="s">
        <v>1816</v>
      </c>
      <c r="H495" t="s">
        <v>119</v>
      </c>
      <c r="I495" t="s">
        <v>97</v>
      </c>
      <c r="J495" t="s">
        <v>98</v>
      </c>
      <c r="K495" t="s">
        <v>69</v>
      </c>
      <c r="L495" t="s">
        <v>1817</v>
      </c>
      <c r="M495" t="s">
        <v>71</v>
      </c>
      <c r="N495" t="s">
        <v>100</v>
      </c>
      <c r="O495" t="s">
        <v>1648</v>
      </c>
      <c r="P495" t="s">
        <v>1649</v>
      </c>
      <c r="R495" t="s">
        <v>1650</v>
      </c>
      <c r="S495" t="s">
        <v>178</v>
      </c>
      <c r="T495" t="s">
        <v>258</v>
      </c>
      <c r="U495" t="s">
        <v>123</v>
      </c>
      <c r="V495" t="s">
        <v>124</v>
      </c>
      <c r="W495">
        <v>890</v>
      </c>
      <c r="X495">
        <v>39.99</v>
      </c>
      <c r="Y495">
        <v>115</v>
      </c>
      <c r="Z495">
        <v>639000</v>
      </c>
      <c r="AA495">
        <v>1150770</v>
      </c>
      <c r="AB495">
        <v>390</v>
      </c>
      <c r="AD495" t="s">
        <v>238</v>
      </c>
      <c r="AE495">
        <v>2</v>
      </c>
      <c r="AF495">
        <v>10</v>
      </c>
      <c r="AI495">
        <v>70</v>
      </c>
      <c r="AJ495">
        <v>260</v>
      </c>
      <c r="AK495">
        <v>340</v>
      </c>
      <c r="AL495">
        <v>1293</v>
      </c>
      <c r="AM495">
        <v>349</v>
      </c>
      <c r="AN495">
        <v>1</v>
      </c>
      <c r="AO495">
        <v>350</v>
      </c>
      <c r="AP495" t="s">
        <v>80</v>
      </c>
      <c r="AQ495" t="s">
        <v>179</v>
      </c>
      <c r="AR495" t="s">
        <v>86</v>
      </c>
      <c r="AS495" t="s">
        <v>86</v>
      </c>
      <c r="AT495" t="s">
        <v>86</v>
      </c>
      <c r="AU495" t="s">
        <v>86</v>
      </c>
      <c r="AV495" t="s">
        <v>1818</v>
      </c>
      <c r="AW495" t="s">
        <v>69</v>
      </c>
      <c r="AX495" t="s">
        <v>728</v>
      </c>
      <c r="AY495" t="s">
        <v>1819</v>
      </c>
      <c r="AZ495" t="s">
        <v>264</v>
      </c>
      <c r="BA495" t="s">
        <v>245</v>
      </c>
      <c r="BB495" t="s">
        <v>245</v>
      </c>
      <c r="BC495" t="s">
        <v>245</v>
      </c>
      <c r="BD495" t="s">
        <v>1820</v>
      </c>
      <c r="BE495" t="s">
        <v>1821</v>
      </c>
      <c r="BF495" t="s">
        <v>240</v>
      </c>
      <c r="BG495" t="s">
        <v>110</v>
      </c>
      <c r="BH495" t="str">
        <f>IF(COUNTIF(工作表1!A:A, $C495)&gt;0, "預購款", "非預購款")</f>
        <v>非預購款</v>
      </c>
    </row>
    <row r="496" spans="1:60" x14ac:dyDescent="0.25">
      <c r="A496" t="s">
        <v>1812</v>
      </c>
      <c r="B496" t="s">
        <v>315</v>
      </c>
      <c r="C496" t="s">
        <v>1813</v>
      </c>
      <c r="D496" t="s">
        <v>1814</v>
      </c>
      <c r="E496" t="s">
        <v>1815</v>
      </c>
      <c r="F496" t="s">
        <v>1310</v>
      </c>
      <c r="G496" t="s">
        <v>1816</v>
      </c>
      <c r="H496" t="s">
        <v>130</v>
      </c>
      <c r="I496" t="s">
        <v>97</v>
      </c>
      <c r="J496" t="s">
        <v>98</v>
      </c>
      <c r="K496" t="s">
        <v>69</v>
      </c>
      <c r="L496" t="s">
        <v>1817</v>
      </c>
      <c r="M496" t="s">
        <v>71</v>
      </c>
      <c r="N496" t="s">
        <v>100</v>
      </c>
      <c r="O496" t="s">
        <v>1648</v>
      </c>
      <c r="P496" t="s">
        <v>1649</v>
      </c>
      <c r="R496" t="s">
        <v>1650</v>
      </c>
      <c r="S496" t="s">
        <v>178</v>
      </c>
      <c r="T496" t="s">
        <v>258</v>
      </c>
      <c r="U496" t="s">
        <v>123</v>
      </c>
      <c r="V496" t="s">
        <v>124</v>
      </c>
      <c r="W496">
        <v>890</v>
      </c>
      <c r="X496">
        <v>39.99</v>
      </c>
      <c r="Y496">
        <v>115</v>
      </c>
      <c r="Z496">
        <v>639000</v>
      </c>
      <c r="AA496">
        <v>1150770</v>
      </c>
      <c r="AB496">
        <v>390</v>
      </c>
      <c r="AD496" t="s">
        <v>238</v>
      </c>
      <c r="AE496">
        <v>2</v>
      </c>
      <c r="AF496">
        <v>8</v>
      </c>
      <c r="AI496">
        <v>30</v>
      </c>
      <c r="AJ496">
        <v>200</v>
      </c>
      <c r="AK496">
        <v>238</v>
      </c>
      <c r="AL496">
        <v>1293</v>
      </c>
      <c r="AM496">
        <v>250</v>
      </c>
      <c r="AN496">
        <v>0</v>
      </c>
      <c r="AO496">
        <v>250</v>
      </c>
      <c r="AP496" t="s">
        <v>80</v>
      </c>
      <c r="AQ496" t="s">
        <v>179</v>
      </c>
      <c r="AR496" t="s">
        <v>86</v>
      </c>
      <c r="AS496" t="s">
        <v>86</v>
      </c>
      <c r="AT496" t="s">
        <v>86</v>
      </c>
      <c r="AU496" t="s">
        <v>86</v>
      </c>
      <c r="AV496" t="s">
        <v>1818</v>
      </c>
      <c r="AW496" t="s">
        <v>69</v>
      </c>
      <c r="AX496" t="s">
        <v>728</v>
      </c>
      <c r="AY496" t="s">
        <v>1819</v>
      </c>
      <c r="AZ496" t="s">
        <v>264</v>
      </c>
      <c r="BA496" t="s">
        <v>245</v>
      </c>
      <c r="BB496" t="s">
        <v>245</v>
      </c>
      <c r="BC496" t="s">
        <v>245</v>
      </c>
      <c r="BD496" t="s">
        <v>1822</v>
      </c>
      <c r="BE496" t="s">
        <v>1821</v>
      </c>
      <c r="BF496" t="s">
        <v>240</v>
      </c>
      <c r="BG496" t="s">
        <v>110</v>
      </c>
      <c r="BH496" t="str">
        <f>IF(COUNTIF(工作表1!A:A, $C496)&gt;0, "預購款", "非預購款")</f>
        <v>非預購款</v>
      </c>
    </row>
    <row r="497" spans="1:60" x14ac:dyDescent="0.25">
      <c r="A497" t="s">
        <v>1812</v>
      </c>
      <c r="B497" t="s">
        <v>315</v>
      </c>
      <c r="C497" t="s">
        <v>1813</v>
      </c>
      <c r="D497" t="s">
        <v>1814</v>
      </c>
      <c r="E497" t="s">
        <v>1815</v>
      </c>
      <c r="F497" t="s">
        <v>1310</v>
      </c>
      <c r="G497" t="s">
        <v>1816</v>
      </c>
      <c r="H497" t="s">
        <v>132</v>
      </c>
      <c r="I497" t="s">
        <v>97</v>
      </c>
      <c r="J497" t="s">
        <v>98</v>
      </c>
      <c r="K497" t="s">
        <v>69</v>
      </c>
      <c r="L497" t="s">
        <v>1817</v>
      </c>
      <c r="M497" t="s">
        <v>71</v>
      </c>
      <c r="N497" t="s">
        <v>100</v>
      </c>
      <c r="O497" t="s">
        <v>1648</v>
      </c>
      <c r="P497" t="s">
        <v>1649</v>
      </c>
      <c r="R497" t="s">
        <v>1650</v>
      </c>
      <c r="S497" t="s">
        <v>178</v>
      </c>
      <c r="T497" t="s">
        <v>258</v>
      </c>
      <c r="U497" t="s">
        <v>123</v>
      </c>
      <c r="V497" t="s">
        <v>124</v>
      </c>
      <c r="W497">
        <v>890</v>
      </c>
      <c r="X497">
        <v>39.99</v>
      </c>
      <c r="Y497">
        <v>115</v>
      </c>
      <c r="Z497">
        <v>639000</v>
      </c>
      <c r="AA497">
        <v>1150770</v>
      </c>
      <c r="AB497">
        <v>390</v>
      </c>
      <c r="AD497" t="s">
        <v>238</v>
      </c>
      <c r="AE497">
        <v>2</v>
      </c>
      <c r="AF497">
        <v>0</v>
      </c>
      <c r="AI497">
        <v>15</v>
      </c>
      <c r="AJ497">
        <v>110</v>
      </c>
      <c r="AK497">
        <v>125</v>
      </c>
      <c r="AL497">
        <v>1293</v>
      </c>
      <c r="AM497">
        <v>140</v>
      </c>
      <c r="AN497">
        <v>0</v>
      </c>
      <c r="AO497">
        <v>140</v>
      </c>
      <c r="AP497" t="s">
        <v>80</v>
      </c>
      <c r="AQ497" t="s">
        <v>179</v>
      </c>
      <c r="AR497" t="s">
        <v>86</v>
      </c>
      <c r="AS497" t="s">
        <v>86</v>
      </c>
      <c r="AT497" t="s">
        <v>86</v>
      </c>
      <c r="AU497" t="s">
        <v>86</v>
      </c>
      <c r="AV497" t="s">
        <v>1818</v>
      </c>
      <c r="AW497" t="s">
        <v>69</v>
      </c>
      <c r="AX497" t="s">
        <v>728</v>
      </c>
      <c r="AY497" t="s">
        <v>1819</v>
      </c>
      <c r="AZ497" t="s">
        <v>264</v>
      </c>
      <c r="BA497" t="s">
        <v>245</v>
      </c>
      <c r="BB497" t="s">
        <v>245</v>
      </c>
      <c r="BC497" t="s">
        <v>245</v>
      </c>
      <c r="BD497" t="s">
        <v>1823</v>
      </c>
      <c r="BE497" t="s">
        <v>1821</v>
      </c>
      <c r="BF497" t="s">
        <v>240</v>
      </c>
      <c r="BG497" t="s">
        <v>110</v>
      </c>
      <c r="BH497" t="str">
        <f>IF(COUNTIF(工作表1!A:A, $C497)&gt;0, "預購款", "非預購款")</f>
        <v>非預購款</v>
      </c>
    </row>
    <row r="498" spans="1:60" x14ac:dyDescent="0.25">
      <c r="A498" t="s">
        <v>1812</v>
      </c>
      <c r="B498" t="s">
        <v>315</v>
      </c>
      <c r="C498" t="s">
        <v>1813</v>
      </c>
      <c r="D498" t="s">
        <v>1814</v>
      </c>
      <c r="E498" t="s">
        <v>1815</v>
      </c>
      <c r="F498" t="s">
        <v>1310</v>
      </c>
      <c r="G498" t="s">
        <v>1816</v>
      </c>
      <c r="H498" t="s">
        <v>119</v>
      </c>
      <c r="I498" t="s">
        <v>1552</v>
      </c>
      <c r="J498" t="s">
        <v>1553</v>
      </c>
      <c r="K498" t="s">
        <v>69</v>
      </c>
      <c r="L498" t="s">
        <v>1817</v>
      </c>
      <c r="M498" t="s">
        <v>71</v>
      </c>
      <c r="N498" t="s">
        <v>100</v>
      </c>
      <c r="O498" t="s">
        <v>1648</v>
      </c>
      <c r="P498" t="s">
        <v>1649</v>
      </c>
      <c r="R498" t="s">
        <v>1650</v>
      </c>
      <c r="S498" t="s">
        <v>178</v>
      </c>
      <c r="T498" t="s">
        <v>258</v>
      </c>
      <c r="U498" t="s">
        <v>123</v>
      </c>
      <c r="V498" t="s">
        <v>124</v>
      </c>
      <c r="W498">
        <v>890</v>
      </c>
      <c r="X498">
        <v>39.99</v>
      </c>
      <c r="Y498">
        <v>115</v>
      </c>
      <c r="Z498">
        <v>639000</v>
      </c>
      <c r="AA498">
        <v>1150770</v>
      </c>
      <c r="AB498">
        <v>390</v>
      </c>
      <c r="AD498" t="s">
        <v>238</v>
      </c>
      <c r="AE498">
        <v>2</v>
      </c>
      <c r="AF498">
        <v>15</v>
      </c>
      <c r="AI498">
        <v>40</v>
      </c>
      <c r="AJ498">
        <v>180</v>
      </c>
      <c r="AK498">
        <v>235</v>
      </c>
      <c r="AL498">
        <v>1293</v>
      </c>
      <c r="AM498">
        <v>249</v>
      </c>
      <c r="AN498">
        <v>0</v>
      </c>
      <c r="AO498">
        <v>249</v>
      </c>
      <c r="AP498" t="s">
        <v>80</v>
      </c>
      <c r="AQ498" t="s">
        <v>179</v>
      </c>
      <c r="AR498" t="s">
        <v>86</v>
      </c>
      <c r="AS498" t="s">
        <v>86</v>
      </c>
      <c r="AT498" t="s">
        <v>86</v>
      </c>
      <c r="AU498" t="s">
        <v>86</v>
      </c>
      <c r="AV498" t="s">
        <v>1818</v>
      </c>
      <c r="AW498" t="s">
        <v>69</v>
      </c>
      <c r="AX498" t="s">
        <v>728</v>
      </c>
      <c r="AY498" t="s">
        <v>1819</v>
      </c>
      <c r="AZ498" t="s">
        <v>264</v>
      </c>
      <c r="BA498" t="s">
        <v>245</v>
      </c>
      <c r="BB498" t="s">
        <v>245</v>
      </c>
      <c r="BC498" t="s">
        <v>245</v>
      </c>
      <c r="BD498" t="s">
        <v>1824</v>
      </c>
      <c r="BE498" t="s">
        <v>1821</v>
      </c>
      <c r="BF498" t="s">
        <v>240</v>
      </c>
      <c r="BG498" t="s">
        <v>110</v>
      </c>
      <c r="BH498" t="str">
        <f>IF(COUNTIF(工作表1!A:A, $C498)&gt;0, "預購款", "非預購款")</f>
        <v>非預購款</v>
      </c>
    </row>
    <row r="499" spans="1:60" x14ac:dyDescent="0.25">
      <c r="A499" t="s">
        <v>1812</v>
      </c>
      <c r="B499" t="s">
        <v>315</v>
      </c>
      <c r="C499" t="s">
        <v>1813</v>
      </c>
      <c r="D499" t="s">
        <v>1814</v>
      </c>
      <c r="E499" t="s">
        <v>1815</v>
      </c>
      <c r="F499" t="s">
        <v>1310</v>
      </c>
      <c r="G499" t="s">
        <v>1816</v>
      </c>
      <c r="H499" t="s">
        <v>130</v>
      </c>
      <c r="I499" t="s">
        <v>1552</v>
      </c>
      <c r="J499" t="s">
        <v>1553</v>
      </c>
      <c r="K499" t="s">
        <v>69</v>
      </c>
      <c r="L499" t="s">
        <v>1817</v>
      </c>
      <c r="M499" t="s">
        <v>71</v>
      </c>
      <c r="N499" t="s">
        <v>100</v>
      </c>
      <c r="O499" t="s">
        <v>1648</v>
      </c>
      <c r="P499" t="s">
        <v>1649</v>
      </c>
      <c r="R499" t="s">
        <v>1650</v>
      </c>
      <c r="S499" t="s">
        <v>178</v>
      </c>
      <c r="T499" t="s">
        <v>258</v>
      </c>
      <c r="U499" t="s">
        <v>123</v>
      </c>
      <c r="V499" t="s">
        <v>124</v>
      </c>
      <c r="W499">
        <v>890</v>
      </c>
      <c r="X499">
        <v>39.99</v>
      </c>
      <c r="Y499">
        <v>115</v>
      </c>
      <c r="Z499">
        <v>639000</v>
      </c>
      <c r="AA499">
        <v>1150770</v>
      </c>
      <c r="AB499">
        <v>390</v>
      </c>
      <c r="AD499" t="s">
        <v>238</v>
      </c>
      <c r="AE499">
        <v>2</v>
      </c>
      <c r="AF499">
        <v>10</v>
      </c>
      <c r="AI499">
        <v>30</v>
      </c>
      <c r="AJ499">
        <v>200</v>
      </c>
      <c r="AK499">
        <v>240</v>
      </c>
      <c r="AL499">
        <v>1293</v>
      </c>
      <c r="AM499">
        <v>246</v>
      </c>
      <c r="AN499">
        <v>0</v>
      </c>
      <c r="AO499">
        <v>246</v>
      </c>
      <c r="AP499" t="s">
        <v>80</v>
      </c>
      <c r="AQ499" t="s">
        <v>179</v>
      </c>
      <c r="AR499" t="s">
        <v>86</v>
      </c>
      <c r="AS499" t="s">
        <v>86</v>
      </c>
      <c r="AT499" t="s">
        <v>86</v>
      </c>
      <c r="AU499" t="s">
        <v>86</v>
      </c>
      <c r="AV499" t="s">
        <v>1818</v>
      </c>
      <c r="AW499" t="s">
        <v>69</v>
      </c>
      <c r="AX499" t="s">
        <v>728</v>
      </c>
      <c r="AY499" t="s">
        <v>1819</v>
      </c>
      <c r="AZ499" t="s">
        <v>264</v>
      </c>
      <c r="BA499" t="s">
        <v>245</v>
      </c>
      <c r="BB499" t="s">
        <v>245</v>
      </c>
      <c r="BC499" t="s">
        <v>245</v>
      </c>
      <c r="BD499" t="s">
        <v>1825</v>
      </c>
      <c r="BE499" t="s">
        <v>1821</v>
      </c>
      <c r="BF499" t="s">
        <v>240</v>
      </c>
      <c r="BG499" t="s">
        <v>110</v>
      </c>
      <c r="BH499" t="str">
        <f>IF(COUNTIF(工作表1!A:A, $C499)&gt;0, "預購款", "非預購款")</f>
        <v>非預購款</v>
      </c>
    </row>
    <row r="500" spans="1:60" x14ac:dyDescent="0.25">
      <c r="A500" t="s">
        <v>1812</v>
      </c>
      <c r="B500" t="s">
        <v>315</v>
      </c>
      <c r="C500" t="s">
        <v>1813</v>
      </c>
      <c r="D500" t="s">
        <v>1814</v>
      </c>
      <c r="E500" t="s">
        <v>1815</v>
      </c>
      <c r="F500" t="s">
        <v>1310</v>
      </c>
      <c r="G500" t="s">
        <v>1816</v>
      </c>
      <c r="H500" t="s">
        <v>132</v>
      </c>
      <c r="I500" t="s">
        <v>1552</v>
      </c>
      <c r="J500" t="s">
        <v>1553</v>
      </c>
      <c r="K500" t="s">
        <v>69</v>
      </c>
      <c r="L500" t="s">
        <v>1817</v>
      </c>
      <c r="M500" t="s">
        <v>71</v>
      </c>
      <c r="N500" t="s">
        <v>100</v>
      </c>
      <c r="O500" t="s">
        <v>1648</v>
      </c>
      <c r="P500" t="s">
        <v>1649</v>
      </c>
      <c r="R500" t="s">
        <v>1650</v>
      </c>
      <c r="S500" t="s">
        <v>178</v>
      </c>
      <c r="T500" t="s">
        <v>258</v>
      </c>
      <c r="U500" t="s">
        <v>123</v>
      </c>
      <c r="V500" t="s">
        <v>124</v>
      </c>
      <c r="W500">
        <v>890</v>
      </c>
      <c r="X500">
        <v>39.99</v>
      </c>
      <c r="Y500">
        <v>115</v>
      </c>
      <c r="Z500">
        <v>639000</v>
      </c>
      <c r="AA500">
        <v>1150770</v>
      </c>
      <c r="AB500">
        <v>390</v>
      </c>
      <c r="AD500" t="s">
        <v>238</v>
      </c>
      <c r="AE500">
        <v>2</v>
      </c>
      <c r="AF500">
        <v>0</v>
      </c>
      <c r="AI500">
        <v>15</v>
      </c>
      <c r="AJ500">
        <v>100</v>
      </c>
      <c r="AK500">
        <v>115</v>
      </c>
      <c r="AL500">
        <v>1293</v>
      </c>
      <c r="AM500">
        <v>130</v>
      </c>
      <c r="AN500">
        <v>0</v>
      </c>
      <c r="AO500">
        <v>130</v>
      </c>
      <c r="AP500" t="s">
        <v>80</v>
      </c>
      <c r="AQ500" t="s">
        <v>179</v>
      </c>
      <c r="AR500" t="s">
        <v>86</v>
      </c>
      <c r="AS500" t="s">
        <v>86</v>
      </c>
      <c r="AT500" t="s">
        <v>86</v>
      </c>
      <c r="AU500" t="s">
        <v>86</v>
      </c>
      <c r="AV500" t="s">
        <v>1818</v>
      </c>
      <c r="AW500" t="s">
        <v>69</v>
      </c>
      <c r="AX500" t="s">
        <v>728</v>
      </c>
      <c r="AY500" t="s">
        <v>1819</v>
      </c>
      <c r="AZ500" t="s">
        <v>264</v>
      </c>
      <c r="BA500" t="s">
        <v>245</v>
      </c>
      <c r="BB500" t="s">
        <v>245</v>
      </c>
      <c r="BC500" t="s">
        <v>245</v>
      </c>
      <c r="BD500" t="s">
        <v>1826</v>
      </c>
      <c r="BE500" t="s">
        <v>1821</v>
      </c>
      <c r="BF500" t="s">
        <v>240</v>
      </c>
      <c r="BG500" t="s">
        <v>110</v>
      </c>
      <c r="BH500" t="str">
        <f>IF(COUNTIF(工作表1!A:A, $C500)&gt;0, "預購款", "非預購款")</f>
        <v>非預購款</v>
      </c>
    </row>
    <row r="501" spans="1:60" x14ac:dyDescent="0.25">
      <c r="A501" t="s">
        <v>1830</v>
      </c>
      <c r="B501" t="s">
        <v>315</v>
      </c>
      <c r="C501" t="s">
        <v>1831</v>
      </c>
      <c r="D501" t="s">
        <v>1832</v>
      </c>
      <c r="E501" t="s">
        <v>1833</v>
      </c>
      <c r="F501" t="s">
        <v>1310</v>
      </c>
      <c r="G501" t="s">
        <v>1834</v>
      </c>
      <c r="H501" t="s">
        <v>119</v>
      </c>
      <c r="I501" t="s">
        <v>422</v>
      </c>
      <c r="J501" t="s">
        <v>423</v>
      </c>
      <c r="K501" t="s">
        <v>69</v>
      </c>
      <c r="L501" t="s">
        <v>1835</v>
      </c>
      <c r="M501" t="s">
        <v>71</v>
      </c>
      <c r="N501" t="s">
        <v>100</v>
      </c>
      <c r="O501" t="s">
        <v>1648</v>
      </c>
      <c r="P501" t="s">
        <v>1649</v>
      </c>
      <c r="R501" t="s">
        <v>1650</v>
      </c>
      <c r="S501" t="s">
        <v>178</v>
      </c>
      <c r="T501" t="s">
        <v>76</v>
      </c>
      <c r="U501" t="s">
        <v>383</v>
      </c>
      <c r="V501" t="s">
        <v>384</v>
      </c>
      <c r="W501">
        <v>1080</v>
      </c>
      <c r="X501">
        <v>44.99</v>
      </c>
      <c r="Y501">
        <v>139</v>
      </c>
      <c r="Z501">
        <v>779000</v>
      </c>
      <c r="AA501">
        <v>637200</v>
      </c>
      <c r="AB501">
        <v>578</v>
      </c>
      <c r="AD501" t="s">
        <v>238</v>
      </c>
      <c r="AE501">
        <v>1</v>
      </c>
      <c r="AF501">
        <v>0</v>
      </c>
      <c r="AI501">
        <v>30</v>
      </c>
      <c r="AJ501">
        <v>250</v>
      </c>
      <c r="AK501">
        <v>280</v>
      </c>
      <c r="AL501">
        <v>590</v>
      </c>
      <c r="AM501">
        <v>290</v>
      </c>
      <c r="AN501">
        <v>0</v>
      </c>
      <c r="AO501">
        <v>290</v>
      </c>
      <c r="AP501" t="s">
        <v>80</v>
      </c>
      <c r="AQ501" t="s">
        <v>187</v>
      </c>
      <c r="AT501" t="s">
        <v>86</v>
      </c>
      <c r="AU501" t="s">
        <v>261</v>
      </c>
      <c r="AV501" t="s">
        <v>81</v>
      </c>
      <c r="AW501" t="s">
        <v>69</v>
      </c>
      <c r="AX501" t="s">
        <v>1836</v>
      </c>
      <c r="AY501" t="s">
        <v>1837</v>
      </c>
      <c r="AZ501" t="s">
        <v>264</v>
      </c>
      <c r="BA501" t="s">
        <v>245</v>
      </c>
      <c r="BB501" t="s">
        <v>243</v>
      </c>
      <c r="BC501" t="s">
        <v>245</v>
      </c>
      <c r="BD501" t="s">
        <v>1838</v>
      </c>
      <c r="BE501" t="s">
        <v>1839</v>
      </c>
      <c r="BF501" t="s">
        <v>86</v>
      </c>
      <c r="BG501" t="s">
        <v>110</v>
      </c>
      <c r="BH501" t="str">
        <f>IF(COUNTIF(工作表1!A:A, $C501)&gt;0, "預購款", "非預購款")</f>
        <v>非預購款</v>
      </c>
    </row>
    <row r="502" spans="1:60" x14ac:dyDescent="0.25">
      <c r="A502" t="s">
        <v>1830</v>
      </c>
      <c r="B502" t="s">
        <v>315</v>
      </c>
      <c r="C502" t="s">
        <v>1831</v>
      </c>
      <c r="D502" t="s">
        <v>1832</v>
      </c>
      <c r="E502" t="s">
        <v>1833</v>
      </c>
      <c r="F502" t="s">
        <v>1310</v>
      </c>
      <c r="G502" t="s">
        <v>1834</v>
      </c>
      <c r="H502" t="s">
        <v>130</v>
      </c>
      <c r="I502" t="s">
        <v>422</v>
      </c>
      <c r="J502" t="s">
        <v>423</v>
      </c>
      <c r="K502" t="s">
        <v>69</v>
      </c>
      <c r="L502" t="s">
        <v>1835</v>
      </c>
      <c r="M502" t="s">
        <v>71</v>
      </c>
      <c r="N502" t="s">
        <v>100</v>
      </c>
      <c r="O502" t="s">
        <v>1648</v>
      </c>
      <c r="P502" t="s">
        <v>1649</v>
      </c>
      <c r="R502" t="s">
        <v>1650</v>
      </c>
      <c r="S502" t="s">
        <v>178</v>
      </c>
      <c r="T502" t="s">
        <v>76</v>
      </c>
      <c r="U502" t="s">
        <v>383</v>
      </c>
      <c r="V502" t="s">
        <v>384</v>
      </c>
      <c r="W502">
        <v>1080</v>
      </c>
      <c r="X502">
        <v>44.99</v>
      </c>
      <c r="Y502">
        <v>139</v>
      </c>
      <c r="Z502">
        <v>779000</v>
      </c>
      <c r="AA502">
        <v>637200</v>
      </c>
      <c r="AB502">
        <v>578</v>
      </c>
      <c r="AD502" t="s">
        <v>238</v>
      </c>
      <c r="AE502">
        <v>1</v>
      </c>
      <c r="AF502">
        <v>0</v>
      </c>
      <c r="AI502">
        <v>20</v>
      </c>
      <c r="AJ502">
        <v>190</v>
      </c>
      <c r="AK502">
        <v>210</v>
      </c>
      <c r="AL502">
        <v>590</v>
      </c>
      <c r="AM502">
        <v>220</v>
      </c>
      <c r="AN502">
        <v>0</v>
      </c>
      <c r="AO502">
        <v>220</v>
      </c>
      <c r="AP502" t="s">
        <v>80</v>
      </c>
      <c r="AQ502" t="s">
        <v>187</v>
      </c>
      <c r="AT502" t="s">
        <v>86</v>
      </c>
      <c r="AU502" t="s">
        <v>261</v>
      </c>
      <c r="AV502" t="s">
        <v>81</v>
      </c>
      <c r="AW502" t="s">
        <v>69</v>
      </c>
      <c r="AX502" t="s">
        <v>1836</v>
      </c>
      <c r="AY502" t="s">
        <v>1837</v>
      </c>
      <c r="AZ502" t="s">
        <v>264</v>
      </c>
      <c r="BA502" t="s">
        <v>245</v>
      </c>
      <c r="BB502" t="s">
        <v>243</v>
      </c>
      <c r="BC502" t="s">
        <v>245</v>
      </c>
      <c r="BD502" t="s">
        <v>1840</v>
      </c>
      <c r="BE502" t="s">
        <v>1839</v>
      </c>
      <c r="BF502" t="s">
        <v>86</v>
      </c>
      <c r="BG502" t="s">
        <v>110</v>
      </c>
      <c r="BH502" t="str">
        <f>IF(COUNTIF(工作表1!A:A, $C502)&gt;0, "預購款", "非預購款")</f>
        <v>非預購款</v>
      </c>
    </row>
    <row r="503" spans="1:60" x14ac:dyDescent="0.25">
      <c r="A503" t="s">
        <v>1830</v>
      </c>
      <c r="B503" t="s">
        <v>315</v>
      </c>
      <c r="C503" t="s">
        <v>1831</v>
      </c>
      <c r="D503" t="s">
        <v>1832</v>
      </c>
      <c r="E503" t="s">
        <v>1833</v>
      </c>
      <c r="F503" t="s">
        <v>1310</v>
      </c>
      <c r="G503" t="s">
        <v>1834</v>
      </c>
      <c r="H503" t="s">
        <v>132</v>
      </c>
      <c r="I503" t="s">
        <v>422</v>
      </c>
      <c r="J503" t="s">
        <v>423</v>
      </c>
      <c r="K503" t="s">
        <v>69</v>
      </c>
      <c r="L503" t="s">
        <v>1835</v>
      </c>
      <c r="M503" t="s">
        <v>71</v>
      </c>
      <c r="N503" t="s">
        <v>100</v>
      </c>
      <c r="O503" t="s">
        <v>1648</v>
      </c>
      <c r="P503" t="s">
        <v>1649</v>
      </c>
      <c r="R503" t="s">
        <v>1650</v>
      </c>
      <c r="S503" t="s">
        <v>178</v>
      </c>
      <c r="T503" t="s">
        <v>76</v>
      </c>
      <c r="U503" t="s">
        <v>383</v>
      </c>
      <c r="V503" t="s">
        <v>384</v>
      </c>
      <c r="W503">
        <v>1080</v>
      </c>
      <c r="X503">
        <v>44.99</v>
      </c>
      <c r="Y503">
        <v>139</v>
      </c>
      <c r="Z503">
        <v>779000</v>
      </c>
      <c r="AA503">
        <v>637200</v>
      </c>
      <c r="AB503">
        <v>578</v>
      </c>
      <c r="AD503" t="s">
        <v>238</v>
      </c>
      <c r="AE503">
        <v>1</v>
      </c>
      <c r="AF503">
        <v>0</v>
      </c>
      <c r="AI503">
        <v>20</v>
      </c>
      <c r="AJ503">
        <v>80</v>
      </c>
      <c r="AK503">
        <v>100</v>
      </c>
      <c r="AL503">
        <v>590</v>
      </c>
      <c r="AM503">
        <v>105</v>
      </c>
      <c r="AN503">
        <v>0</v>
      </c>
      <c r="AO503">
        <v>105</v>
      </c>
      <c r="AP503" t="s">
        <v>80</v>
      </c>
      <c r="AQ503" t="s">
        <v>187</v>
      </c>
      <c r="AT503" t="s">
        <v>86</v>
      </c>
      <c r="AU503" t="s">
        <v>261</v>
      </c>
      <c r="AV503" t="s">
        <v>81</v>
      </c>
      <c r="AW503" t="s">
        <v>69</v>
      </c>
      <c r="AX503" t="s">
        <v>1836</v>
      </c>
      <c r="AY503" t="s">
        <v>1837</v>
      </c>
      <c r="AZ503" t="s">
        <v>264</v>
      </c>
      <c r="BA503" t="s">
        <v>245</v>
      </c>
      <c r="BB503" t="s">
        <v>243</v>
      </c>
      <c r="BC503" t="s">
        <v>245</v>
      </c>
      <c r="BD503" t="s">
        <v>1841</v>
      </c>
      <c r="BE503" t="s">
        <v>1839</v>
      </c>
      <c r="BF503" t="s">
        <v>86</v>
      </c>
      <c r="BG503" t="s">
        <v>110</v>
      </c>
      <c r="BH503" t="str">
        <f>IF(COUNTIF(工作表1!A:A, $C503)&gt;0, "預購款", "非預購款")</f>
        <v>非預購款</v>
      </c>
    </row>
    <row r="504" spans="1:60" x14ac:dyDescent="0.25">
      <c r="A504" t="s">
        <v>1842</v>
      </c>
      <c r="B504" t="s">
        <v>315</v>
      </c>
      <c r="C504" t="s">
        <v>1843</v>
      </c>
      <c r="D504" t="s">
        <v>1844</v>
      </c>
      <c r="E504" t="s">
        <v>1845</v>
      </c>
      <c r="F504" t="s">
        <v>1310</v>
      </c>
      <c r="G504" t="s">
        <v>1846</v>
      </c>
      <c r="H504" t="s">
        <v>119</v>
      </c>
      <c r="I504" t="s">
        <v>97</v>
      </c>
      <c r="J504" t="s">
        <v>98</v>
      </c>
      <c r="K504" t="s">
        <v>69</v>
      </c>
      <c r="L504" t="s">
        <v>1847</v>
      </c>
      <c r="M504" t="s">
        <v>71</v>
      </c>
      <c r="N504" t="s">
        <v>100</v>
      </c>
      <c r="O504" t="s">
        <v>1648</v>
      </c>
      <c r="P504" t="s">
        <v>1649</v>
      </c>
      <c r="R504" t="s">
        <v>1650</v>
      </c>
      <c r="S504" t="s">
        <v>178</v>
      </c>
      <c r="T504" t="s">
        <v>76</v>
      </c>
      <c r="U504" t="s">
        <v>104</v>
      </c>
      <c r="V504" t="s">
        <v>1848</v>
      </c>
      <c r="W504">
        <v>490</v>
      </c>
      <c r="X504">
        <v>22.99</v>
      </c>
      <c r="Y504">
        <v>60</v>
      </c>
      <c r="Z504">
        <v>355000</v>
      </c>
      <c r="AA504">
        <v>279300</v>
      </c>
      <c r="AB504">
        <v>162</v>
      </c>
      <c r="AD504" t="s">
        <v>238</v>
      </c>
      <c r="AE504">
        <v>1</v>
      </c>
      <c r="AF504">
        <v>10</v>
      </c>
      <c r="AI504">
        <v>35</v>
      </c>
      <c r="AJ504">
        <v>150</v>
      </c>
      <c r="AK504">
        <v>195</v>
      </c>
      <c r="AL504">
        <v>570</v>
      </c>
      <c r="AM504">
        <v>205</v>
      </c>
      <c r="AN504">
        <v>0</v>
      </c>
      <c r="AO504">
        <v>205</v>
      </c>
      <c r="AP504" t="s">
        <v>80</v>
      </c>
      <c r="AQ504" t="s">
        <v>954</v>
      </c>
      <c r="AR504" t="s">
        <v>86</v>
      </c>
      <c r="AS504" t="s">
        <v>86</v>
      </c>
      <c r="AT504" t="s">
        <v>264</v>
      </c>
      <c r="AU504" t="s">
        <v>86</v>
      </c>
      <c r="AV504" t="s">
        <v>81</v>
      </c>
      <c r="AW504" t="s">
        <v>69</v>
      </c>
      <c r="AX504" t="s">
        <v>126</v>
      </c>
      <c r="AY504" t="s">
        <v>1715</v>
      </c>
      <c r="AZ504" t="s">
        <v>243</v>
      </c>
      <c r="BA504" t="s">
        <v>244</v>
      </c>
      <c r="BB504" t="s">
        <v>244</v>
      </c>
      <c r="BC504" t="s">
        <v>244</v>
      </c>
      <c r="BD504" t="s">
        <v>1849</v>
      </c>
      <c r="BE504" t="s">
        <v>1850</v>
      </c>
      <c r="BF504" t="s">
        <v>86</v>
      </c>
      <c r="BG504" t="s">
        <v>150</v>
      </c>
      <c r="BH504" t="str">
        <f>IF(COUNTIF(工作表1!A:A, $C504)&gt;0, "預購款", "非預購款")</f>
        <v>非預購款</v>
      </c>
    </row>
    <row r="505" spans="1:60" x14ac:dyDescent="0.25">
      <c r="A505" t="s">
        <v>1842</v>
      </c>
      <c r="B505" t="s">
        <v>315</v>
      </c>
      <c r="C505" t="s">
        <v>1843</v>
      </c>
      <c r="D505" t="s">
        <v>1844</v>
      </c>
      <c r="E505" t="s">
        <v>1845</v>
      </c>
      <c r="F505" t="s">
        <v>1310</v>
      </c>
      <c r="G505" t="s">
        <v>1846</v>
      </c>
      <c r="H505" t="s">
        <v>130</v>
      </c>
      <c r="I505" t="s">
        <v>97</v>
      </c>
      <c r="J505" t="s">
        <v>98</v>
      </c>
      <c r="K505" t="s">
        <v>69</v>
      </c>
      <c r="L505" t="s">
        <v>1847</v>
      </c>
      <c r="M505" t="s">
        <v>71</v>
      </c>
      <c r="N505" t="s">
        <v>100</v>
      </c>
      <c r="O505" t="s">
        <v>1648</v>
      </c>
      <c r="P505" t="s">
        <v>1649</v>
      </c>
      <c r="R505" t="s">
        <v>1650</v>
      </c>
      <c r="S505" t="s">
        <v>178</v>
      </c>
      <c r="T505" t="s">
        <v>76</v>
      </c>
      <c r="U505" t="s">
        <v>104</v>
      </c>
      <c r="V505" t="s">
        <v>1848</v>
      </c>
      <c r="W505">
        <v>490</v>
      </c>
      <c r="X505">
        <v>22.99</v>
      </c>
      <c r="Y505">
        <v>60</v>
      </c>
      <c r="Z505">
        <v>355000</v>
      </c>
      <c r="AA505">
        <v>279300</v>
      </c>
      <c r="AB505">
        <v>162</v>
      </c>
      <c r="AD505" t="s">
        <v>238</v>
      </c>
      <c r="AE505">
        <v>1</v>
      </c>
      <c r="AF505">
        <v>5</v>
      </c>
      <c r="AI505">
        <v>35</v>
      </c>
      <c r="AJ505">
        <v>150</v>
      </c>
      <c r="AK505">
        <v>190</v>
      </c>
      <c r="AL505">
        <v>570</v>
      </c>
      <c r="AM505">
        <v>198</v>
      </c>
      <c r="AN505">
        <v>0</v>
      </c>
      <c r="AO505">
        <v>198</v>
      </c>
      <c r="AP505" t="s">
        <v>80</v>
      </c>
      <c r="AQ505" t="s">
        <v>954</v>
      </c>
      <c r="AR505" t="s">
        <v>86</v>
      </c>
      <c r="AS505" t="s">
        <v>86</v>
      </c>
      <c r="AT505" t="s">
        <v>264</v>
      </c>
      <c r="AU505" t="s">
        <v>86</v>
      </c>
      <c r="AV505" t="s">
        <v>81</v>
      </c>
      <c r="AW505" t="s">
        <v>69</v>
      </c>
      <c r="AX505" t="s">
        <v>126</v>
      </c>
      <c r="AY505" t="s">
        <v>1715</v>
      </c>
      <c r="AZ505" t="s">
        <v>243</v>
      </c>
      <c r="BA505" t="s">
        <v>244</v>
      </c>
      <c r="BB505" t="s">
        <v>244</v>
      </c>
      <c r="BC505" t="s">
        <v>244</v>
      </c>
      <c r="BD505" t="s">
        <v>1851</v>
      </c>
      <c r="BE505" t="s">
        <v>1850</v>
      </c>
      <c r="BF505" t="s">
        <v>86</v>
      </c>
      <c r="BG505" t="s">
        <v>150</v>
      </c>
      <c r="BH505" t="str">
        <f>IF(COUNTIF(工作表1!A:A, $C505)&gt;0, "預購款", "非預購款")</f>
        <v>非預購款</v>
      </c>
    </row>
    <row r="506" spans="1:60" x14ac:dyDescent="0.25">
      <c r="A506" t="s">
        <v>1842</v>
      </c>
      <c r="B506" t="s">
        <v>315</v>
      </c>
      <c r="C506" t="s">
        <v>1843</v>
      </c>
      <c r="D506" t="s">
        <v>1844</v>
      </c>
      <c r="E506" t="s">
        <v>1845</v>
      </c>
      <c r="F506" t="s">
        <v>1310</v>
      </c>
      <c r="G506" t="s">
        <v>1846</v>
      </c>
      <c r="H506" t="s">
        <v>132</v>
      </c>
      <c r="I506" t="s">
        <v>97</v>
      </c>
      <c r="J506" t="s">
        <v>98</v>
      </c>
      <c r="K506" t="s">
        <v>69</v>
      </c>
      <c r="L506" t="s">
        <v>1847</v>
      </c>
      <c r="M506" t="s">
        <v>71</v>
      </c>
      <c r="N506" t="s">
        <v>100</v>
      </c>
      <c r="O506" t="s">
        <v>1648</v>
      </c>
      <c r="P506" t="s">
        <v>1649</v>
      </c>
      <c r="R506" t="s">
        <v>1650</v>
      </c>
      <c r="S506" t="s">
        <v>178</v>
      </c>
      <c r="T506" t="s">
        <v>76</v>
      </c>
      <c r="U506" t="s">
        <v>104</v>
      </c>
      <c r="V506" t="s">
        <v>1848</v>
      </c>
      <c r="W506">
        <v>490</v>
      </c>
      <c r="X506">
        <v>22.99</v>
      </c>
      <c r="Y506">
        <v>60</v>
      </c>
      <c r="Z506">
        <v>355000</v>
      </c>
      <c r="AA506">
        <v>279300</v>
      </c>
      <c r="AB506">
        <v>162</v>
      </c>
      <c r="AD506" t="s">
        <v>238</v>
      </c>
      <c r="AE506">
        <v>1</v>
      </c>
      <c r="AF506">
        <v>0</v>
      </c>
      <c r="AI506">
        <v>35</v>
      </c>
      <c r="AJ506">
        <v>150</v>
      </c>
      <c r="AK506">
        <v>185</v>
      </c>
      <c r="AL506">
        <v>570</v>
      </c>
      <c r="AM506">
        <v>196</v>
      </c>
      <c r="AN506">
        <v>0</v>
      </c>
      <c r="AO506">
        <v>196</v>
      </c>
      <c r="AP506" t="s">
        <v>80</v>
      </c>
      <c r="AQ506" t="s">
        <v>954</v>
      </c>
      <c r="AR506" t="s">
        <v>86</v>
      </c>
      <c r="AS506" t="s">
        <v>86</v>
      </c>
      <c r="AT506" t="s">
        <v>264</v>
      </c>
      <c r="AU506" t="s">
        <v>86</v>
      </c>
      <c r="AV506" t="s">
        <v>81</v>
      </c>
      <c r="AW506" t="s">
        <v>69</v>
      </c>
      <c r="AX506" t="s">
        <v>126</v>
      </c>
      <c r="AY506" t="s">
        <v>1715</v>
      </c>
      <c r="AZ506" t="s">
        <v>243</v>
      </c>
      <c r="BA506" t="s">
        <v>244</v>
      </c>
      <c r="BB506" t="s">
        <v>244</v>
      </c>
      <c r="BC506" t="s">
        <v>244</v>
      </c>
      <c r="BD506" t="s">
        <v>1852</v>
      </c>
      <c r="BE506" t="s">
        <v>1850</v>
      </c>
      <c r="BF506" t="s">
        <v>86</v>
      </c>
      <c r="BG506" t="s">
        <v>150</v>
      </c>
      <c r="BH506" t="str">
        <f>IF(COUNTIF(工作表1!A:A, $C506)&gt;0, "預購款", "非預購款")</f>
        <v>非預購款</v>
      </c>
    </row>
    <row r="507" spans="1:60" x14ac:dyDescent="0.25">
      <c r="A507" t="s">
        <v>1853</v>
      </c>
      <c r="B507" t="s">
        <v>678</v>
      </c>
      <c r="C507" t="s">
        <v>1854</v>
      </c>
      <c r="D507" t="s">
        <v>1855</v>
      </c>
      <c r="E507" t="s">
        <v>1856</v>
      </c>
      <c r="F507" t="s">
        <v>1310</v>
      </c>
      <c r="G507" t="s">
        <v>1857</v>
      </c>
      <c r="H507" t="s">
        <v>119</v>
      </c>
      <c r="I507" t="s">
        <v>97</v>
      </c>
      <c r="J507" t="s">
        <v>98</v>
      </c>
      <c r="K507" t="s">
        <v>69</v>
      </c>
      <c r="L507" t="s">
        <v>1858</v>
      </c>
      <c r="M507" t="s">
        <v>71</v>
      </c>
      <c r="N507" t="s">
        <v>100</v>
      </c>
      <c r="O507" t="s">
        <v>1648</v>
      </c>
      <c r="P507" t="s">
        <v>1649</v>
      </c>
      <c r="R507" t="s">
        <v>1650</v>
      </c>
      <c r="S507" t="s">
        <v>178</v>
      </c>
      <c r="T507" t="s">
        <v>258</v>
      </c>
      <c r="U507" t="s">
        <v>684</v>
      </c>
      <c r="V507" t="s">
        <v>685</v>
      </c>
      <c r="W507">
        <v>790</v>
      </c>
      <c r="X507">
        <v>34.99</v>
      </c>
      <c r="Y507">
        <v>99</v>
      </c>
      <c r="Z507">
        <v>569000</v>
      </c>
      <c r="AA507">
        <v>169850</v>
      </c>
      <c r="AB507">
        <v>140</v>
      </c>
      <c r="AD507" t="s">
        <v>238</v>
      </c>
      <c r="AE507">
        <v>1</v>
      </c>
      <c r="AF507">
        <v>0</v>
      </c>
      <c r="AI507">
        <v>20</v>
      </c>
      <c r="AJ507">
        <v>70</v>
      </c>
      <c r="AK507">
        <v>90</v>
      </c>
      <c r="AL507">
        <v>215</v>
      </c>
      <c r="AM507">
        <v>85</v>
      </c>
      <c r="AN507">
        <v>0</v>
      </c>
      <c r="AO507">
        <v>85</v>
      </c>
      <c r="AP507" t="s">
        <v>80</v>
      </c>
      <c r="AQ507" t="s">
        <v>179</v>
      </c>
      <c r="AR507" t="s">
        <v>86</v>
      </c>
      <c r="AS507" t="s">
        <v>86</v>
      </c>
      <c r="AT507" t="s">
        <v>240</v>
      </c>
      <c r="AU507" t="s">
        <v>240</v>
      </c>
      <c r="AV507" t="s">
        <v>1752</v>
      </c>
      <c r="AW507" t="s">
        <v>69</v>
      </c>
      <c r="AX507" t="s">
        <v>262</v>
      </c>
      <c r="AY507" t="s">
        <v>1859</v>
      </c>
      <c r="AZ507" t="s">
        <v>243</v>
      </c>
      <c r="BA507" t="s">
        <v>244</v>
      </c>
      <c r="BB507" t="s">
        <v>245</v>
      </c>
      <c r="BC507" t="s">
        <v>244</v>
      </c>
      <c r="BD507" t="s">
        <v>1860</v>
      </c>
      <c r="BE507" t="s">
        <v>1861</v>
      </c>
      <c r="BF507" t="s">
        <v>240</v>
      </c>
      <c r="BG507" t="s">
        <v>150</v>
      </c>
      <c r="BH507" t="str">
        <f>IF(COUNTIF(工作表1!A:A, $C507)&gt;0, "預購款", "非預購款")</f>
        <v>非預購款</v>
      </c>
    </row>
    <row r="508" spans="1:60" x14ac:dyDescent="0.25">
      <c r="A508" t="s">
        <v>1853</v>
      </c>
      <c r="B508" t="s">
        <v>678</v>
      </c>
      <c r="C508" t="s">
        <v>1854</v>
      </c>
      <c r="D508" t="s">
        <v>1855</v>
      </c>
      <c r="E508" t="s">
        <v>1856</v>
      </c>
      <c r="F508" t="s">
        <v>1310</v>
      </c>
      <c r="G508" t="s">
        <v>1857</v>
      </c>
      <c r="H508" t="s">
        <v>130</v>
      </c>
      <c r="I508" t="s">
        <v>97</v>
      </c>
      <c r="J508" t="s">
        <v>98</v>
      </c>
      <c r="K508" t="s">
        <v>69</v>
      </c>
      <c r="L508" t="s">
        <v>1858</v>
      </c>
      <c r="M508" t="s">
        <v>71</v>
      </c>
      <c r="N508" t="s">
        <v>100</v>
      </c>
      <c r="O508" t="s">
        <v>1648</v>
      </c>
      <c r="P508" t="s">
        <v>1649</v>
      </c>
      <c r="R508" t="s">
        <v>1650</v>
      </c>
      <c r="S508" t="s">
        <v>178</v>
      </c>
      <c r="T508" t="s">
        <v>258</v>
      </c>
      <c r="U508" t="s">
        <v>684</v>
      </c>
      <c r="V508" t="s">
        <v>685</v>
      </c>
      <c r="W508">
        <v>790</v>
      </c>
      <c r="X508">
        <v>34.99</v>
      </c>
      <c r="Y508">
        <v>99</v>
      </c>
      <c r="Z508">
        <v>569000</v>
      </c>
      <c r="AA508">
        <v>169850</v>
      </c>
      <c r="AB508">
        <v>140</v>
      </c>
      <c r="AD508" t="s">
        <v>238</v>
      </c>
      <c r="AE508">
        <v>1</v>
      </c>
      <c r="AF508">
        <v>0</v>
      </c>
      <c r="AI508">
        <v>20</v>
      </c>
      <c r="AJ508">
        <v>70</v>
      </c>
      <c r="AK508">
        <v>90</v>
      </c>
      <c r="AL508">
        <v>215</v>
      </c>
      <c r="AM508">
        <v>91</v>
      </c>
      <c r="AN508">
        <v>0</v>
      </c>
      <c r="AO508">
        <v>91</v>
      </c>
      <c r="AP508" t="s">
        <v>80</v>
      </c>
      <c r="AQ508" t="s">
        <v>179</v>
      </c>
      <c r="AR508" t="s">
        <v>86</v>
      </c>
      <c r="AS508" t="s">
        <v>86</v>
      </c>
      <c r="AT508" t="s">
        <v>240</v>
      </c>
      <c r="AU508" t="s">
        <v>240</v>
      </c>
      <c r="AV508" t="s">
        <v>1752</v>
      </c>
      <c r="AW508" t="s">
        <v>69</v>
      </c>
      <c r="AX508" t="s">
        <v>262</v>
      </c>
      <c r="AY508" t="s">
        <v>1859</v>
      </c>
      <c r="AZ508" t="s">
        <v>243</v>
      </c>
      <c r="BA508" t="s">
        <v>244</v>
      </c>
      <c r="BB508" t="s">
        <v>245</v>
      </c>
      <c r="BC508" t="s">
        <v>244</v>
      </c>
      <c r="BD508" t="s">
        <v>1862</v>
      </c>
      <c r="BE508" t="s">
        <v>1861</v>
      </c>
      <c r="BF508" t="s">
        <v>240</v>
      </c>
      <c r="BG508" t="s">
        <v>150</v>
      </c>
      <c r="BH508" t="str">
        <f>IF(COUNTIF(工作表1!A:A, $C508)&gt;0, "預購款", "非預購款")</f>
        <v>非預購款</v>
      </c>
    </row>
    <row r="509" spans="1:60" x14ac:dyDescent="0.25">
      <c r="A509" t="s">
        <v>1853</v>
      </c>
      <c r="B509" t="s">
        <v>678</v>
      </c>
      <c r="C509" t="s">
        <v>1854</v>
      </c>
      <c r="D509" t="s">
        <v>1855</v>
      </c>
      <c r="E509" t="s">
        <v>1856</v>
      </c>
      <c r="F509" t="s">
        <v>1310</v>
      </c>
      <c r="G509" t="s">
        <v>1857</v>
      </c>
      <c r="H509" t="s">
        <v>132</v>
      </c>
      <c r="I509" t="s">
        <v>97</v>
      </c>
      <c r="J509" t="s">
        <v>98</v>
      </c>
      <c r="K509" t="s">
        <v>69</v>
      </c>
      <c r="L509" t="s">
        <v>1858</v>
      </c>
      <c r="M509" t="s">
        <v>71</v>
      </c>
      <c r="N509" t="s">
        <v>100</v>
      </c>
      <c r="O509" t="s">
        <v>1648</v>
      </c>
      <c r="P509" t="s">
        <v>1649</v>
      </c>
      <c r="R509" t="s">
        <v>1650</v>
      </c>
      <c r="S509" t="s">
        <v>178</v>
      </c>
      <c r="T509" t="s">
        <v>258</v>
      </c>
      <c r="U509" t="s">
        <v>684</v>
      </c>
      <c r="V509" t="s">
        <v>685</v>
      </c>
      <c r="W509">
        <v>790</v>
      </c>
      <c r="X509">
        <v>34.99</v>
      </c>
      <c r="Y509">
        <v>99</v>
      </c>
      <c r="Z509">
        <v>569000</v>
      </c>
      <c r="AA509">
        <v>169850</v>
      </c>
      <c r="AB509">
        <v>140</v>
      </c>
      <c r="AD509" t="s">
        <v>238</v>
      </c>
      <c r="AE509">
        <v>1</v>
      </c>
      <c r="AF509">
        <v>0</v>
      </c>
      <c r="AI509">
        <v>10</v>
      </c>
      <c r="AJ509">
        <v>25</v>
      </c>
      <c r="AK509">
        <v>35</v>
      </c>
      <c r="AL509">
        <v>215</v>
      </c>
      <c r="AM509">
        <v>36</v>
      </c>
      <c r="AN509">
        <v>0</v>
      </c>
      <c r="AO509">
        <v>36</v>
      </c>
      <c r="AP509" t="s">
        <v>80</v>
      </c>
      <c r="AQ509" t="s">
        <v>179</v>
      </c>
      <c r="AR509" t="s">
        <v>86</v>
      </c>
      <c r="AS509" t="s">
        <v>86</v>
      </c>
      <c r="AT509" t="s">
        <v>240</v>
      </c>
      <c r="AU509" t="s">
        <v>240</v>
      </c>
      <c r="AV509" t="s">
        <v>1752</v>
      </c>
      <c r="AW509" t="s">
        <v>69</v>
      </c>
      <c r="AX509" t="s">
        <v>262</v>
      </c>
      <c r="AY509" t="s">
        <v>1859</v>
      </c>
      <c r="AZ509" t="s">
        <v>243</v>
      </c>
      <c r="BA509" t="s">
        <v>244</v>
      </c>
      <c r="BB509" t="s">
        <v>245</v>
      </c>
      <c r="BC509" t="s">
        <v>244</v>
      </c>
      <c r="BD509" t="s">
        <v>1863</v>
      </c>
      <c r="BE509" t="s">
        <v>1861</v>
      </c>
      <c r="BF509" t="s">
        <v>240</v>
      </c>
      <c r="BG509" t="s">
        <v>150</v>
      </c>
      <c r="BH509" t="str">
        <f>IF(COUNTIF(工作表1!A:A, $C509)&gt;0, "預購款", "非預購款")</f>
        <v>非預購款</v>
      </c>
    </row>
    <row r="510" spans="1:60" x14ac:dyDescent="0.25">
      <c r="A510" t="s">
        <v>1878</v>
      </c>
      <c r="B510" t="s">
        <v>776</v>
      </c>
      <c r="C510" t="s">
        <v>1879</v>
      </c>
      <c r="D510" t="s">
        <v>1880</v>
      </c>
      <c r="E510" t="s">
        <v>1881</v>
      </c>
      <c r="F510" t="s">
        <v>1310</v>
      </c>
      <c r="G510" t="s">
        <v>1882</v>
      </c>
      <c r="H510" t="s">
        <v>119</v>
      </c>
      <c r="I510" t="s">
        <v>214</v>
      </c>
      <c r="J510" t="s">
        <v>215</v>
      </c>
      <c r="K510" t="s">
        <v>69</v>
      </c>
      <c r="L510" t="s">
        <v>1883</v>
      </c>
      <c r="M510" t="s">
        <v>71</v>
      </c>
      <c r="N510" t="s">
        <v>100</v>
      </c>
      <c r="O510" t="s">
        <v>1648</v>
      </c>
      <c r="P510" t="s">
        <v>1649</v>
      </c>
      <c r="R510" t="s">
        <v>1650</v>
      </c>
      <c r="S510" t="s">
        <v>178</v>
      </c>
      <c r="T510" t="s">
        <v>291</v>
      </c>
      <c r="U510" t="s">
        <v>104</v>
      </c>
      <c r="V510" t="s">
        <v>653</v>
      </c>
      <c r="W510">
        <v>590</v>
      </c>
      <c r="X510">
        <v>29.99</v>
      </c>
      <c r="Y510">
        <v>75</v>
      </c>
      <c r="Z510">
        <v>429000</v>
      </c>
      <c r="AA510">
        <v>236000</v>
      </c>
      <c r="AB510">
        <v>200</v>
      </c>
      <c r="AD510" t="s">
        <v>238</v>
      </c>
      <c r="AE510">
        <v>2</v>
      </c>
      <c r="AF510">
        <v>0</v>
      </c>
      <c r="AI510">
        <v>20</v>
      </c>
      <c r="AJ510">
        <v>115</v>
      </c>
      <c r="AK510">
        <v>135</v>
      </c>
      <c r="AL510">
        <v>400</v>
      </c>
      <c r="AM510">
        <v>150</v>
      </c>
      <c r="AN510">
        <v>0</v>
      </c>
      <c r="AO510">
        <v>150</v>
      </c>
      <c r="AP510" t="s">
        <v>80</v>
      </c>
      <c r="AQ510" t="s">
        <v>179</v>
      </c>
      <c r="AT510" t="s">
        <v>240</v>
      </c>
      <c r="AU510" t="s">
        <v>86</v>
      </c>
      <c r="AV510" t="s">
        <v>1884</v>
      </c>
      <c r="AW510" t="s">
        <v>69</v>
      </c>
      <c r="AX510" t="s">
        <v>218</v>
      </c>
      <c r="AY510" t="s">
        <v>1885</v>
      </c>
      <c r="AZ510" t="s">
        <v>310</v>
      </c>
      <c r="BA510" t="s">
        <v>245</v>
      </c>
      <c r="BB510" t="s">
        <v>244</v>
      </c>
      <c r="BC510" t="s">
        <v>264</v>
      </c>
      <c r="BD510" t="s">
        <v>1886</v>
      </c>
      <c r="BE510" t="s">
        <v>1887</v>
      </c>
      <c r="BF510" t="s">
        <v>971</v>
      </c>
      <c r="BG510" t="s">
        <v>150</v>
      </c>
      <c r="BH510" t="str">
        <f>IF(COUNTIF(工作表1!A:A, $C510)&gt;0, "預購款", "非預購款")</f>
        <v>非預購款</v>
      </c>
    </row>
    <row r="511" spans="1:60" x14ac:dyDescent="0.25">
      <c r="A511" t="s">
        <v>1878</v>
      </c>
      <c r="B511" t="s">
        <v>776</v>
      </c>
      <c r="C511" t="s">
        <v>1879</v>
      </c>
      <c r="D511" t="s">
        <v>1880</v>
      </c>
      <c r="E511" t="s">
        <v>1881</v>
      </c>
      <c r="F511" t="s">
        <v>1310</v>
      </c>
      <c r="G511" t="s">
        <v>1882</v>
      </c>
      <c r="H511" t="s">
        <v>130</v>
      </c>
      <c r="I511" t="s">
        <v>214</v>
      </c>
      <c r="J511" t="s">
        <v>215</v>
      </c>
      <c r="K511" t="s">
        <v>69</v>
      </c>
      <c r="L511" t="s">
        <v>1883</v>
      </c>
      <c r="M511" t="s">
        <v>71</v>
      </c>
      <c r="N511" t="s">
        <v>100</v>
      </c>
      <c r="O511" t="s">
        <v>1648</v>
      </c>
      <c r="P511" t="s">
        <v>1649</v>
      </c>
      <c r="R511" t="s">
        <v>1650</v>
      </c>
      <c r="S511" t="s">
        <v>178</v>
      </c>
      <c r="T511" t="s">
        <v>291</v>
      </c>
      <c r="U511" t="s">
        <v>104</v>
      </c>
      <c r="V511" t="s">
        <v>653</v>
      </c>
      <c r="W511">
        <v>590</v>
      </c>
      <c r="X511">
        <v>29.99</v>
      </c>
      <c r="Y511">
        <v>75</v>
      </c>
      <c r="Z511">
        <v>429000</v>
      </c>
      <c r="AA511">
        <v>236000</v>
      </c>
      <c r="AB511">
        <v>200</v>
      </c>
      <c r="AD511" t="s">
        <v>238</v>
      </c>
      <c r="AE511">
        <v>2</v>
      </c>
      <c r="AF511">
        <v>0</v>
      </c>
      <c r="AI511">
        <v>15</v>
      </c>
      <c r="AJ511">
        <v>60</v>
      </c>
      <c r="AK511">
        <v>75</v>
      </c>
      <c r="AL511">
        <v>400</v>
      </c>
      <c r="AM511">
        <v>83</v>
      </c>
      <c r="AN511">
        <v>0</v>
      </c>
      <c r="AO511">
        <v>83</v>
      </c>
      <c r="AP511" t="s">
        <v>80</v>
      </c>
      <c r="AQ511" t="s">
        <v>179</v>
      </c>
      <c r="AT511" t="s">
        <v>240</v>
      </c>
      <c r="AU511" t="s">
        <v>86</v>
      </c>
      <c r="AV511" t="s">
        <v>1884</v>
      </c>
      <c r="AW511" t="s">
        <v>69</v>
      </c>
      <c r="AX511" t="s">
        <v>218</v>
      </c>
      <c r="AY511" t="s">
        <v>1885</v>
      </c>
      <c r="AZ511" t="s">
        <v>310</v>
      </c>
      <c r="BA511" t="s">
        <v>245</v>
      </c>
      <c r="BB511" t="s">
        <v>244</v>
      </c>
      <c r="BC511" t="s">
        <v>264</v>
      </c>
      <c r="BD511" t="s">
        <v>1888</v>
      </c>
      <c r="BE511" t="s">
        <v>1887</v>
      </c>
      <c r="BF511" t="s">
        <v>971</v>
      </c>
      <c r="BG511" t="s">
        <v>150</v>
      </c>
      <c r="BH511" t="str">
        <f>IF(COUNTIF(工作表1!A:A, $C511)&gt;0, "預購款", "非預購款")</f>
        <v>非預購款</v>
      </c>
    </row>
    <row r="512" spans="1:60" x14ac:dyDescent="0.25">
      <c r="A512" t="s">
        <v>1878</v>
      </c>
      <c r="B512" t="s">
        <v>776</v>
      </c>
      <c r="C512" t="s">
        <v>1879</v>
      </c>
      <c r="D512" t="s">
        <v>1880</v>
      </c>
      <c r="E512" t="s">
        <v>1881</v>
      </c>
      <c r="F512" t="s">
        <v>1310</v>
      </c>
      <c r="G512" t="s">
        <v>1882</v>
      </c>
      <c r="H512" t="s">
        <v>132</v>
      </c>
      <c r="I512" t="s">
        <v>214</v>
      </c>
      <c r="J512" t="s">
        <v>215</v>
      </c>
      <c r="K512" t="s">
        <v>69</v>
      </c>
      <c r="L512" t="s">
        <v>1883</v>
      </c>
      <c r="M512" t="s">
        <v>71</v>
      </c>
      <c r="N512" t="s">
        <v>100</v>
      </c>
      <c r="O512" t="s">
        <v>1648</v>
      </c>
      <c r="P512" t="s">
        <v>1649</v>
      </c>
      <c r="R512" t="s">
        <v>1650</v>
      </c>
      <c r="S512" t="s">
        <v>178</v>
      </c>
      <c r="T512" t="s">
        <v>291</v>
      </c>
      <c r="U512" t="s">
        <v>104</v>
      </c>
      <c r="V512" t="s">
        <v>653</v>
      </c>
      <c r="W512">
        <v>590</v>
      </c>
      <c r="X512">
        <v>29.99</v>
      </c>
      <c r="Y512">
        <v>75</v>
      </c>
      <c r="Z512">
        <v>429000</v>
      </c>
      <c r="AA512">
        <v>236000</v>
      </c>
      <c r="AB512">
        <v>200</v>
      </c>
      <c r="AD512" t="s">
        <v>238</v>
      </c>
      <c r="AE512">
        <v>2</v>
      </c>
      <c r="AF512">
        <v>0</v>
      </c>
      <c r="AI512">
        <v>15</v>
      </c>
      <c r="AJ512">
        <v>15</v>
      </c>
      <c r="AK512">
        <v>30</v>
      </c>
      <c r="AL512">
        <v>400</v>
      </c>
      <c r="AM512">
        <v>40</v>
      </c>
      <c r="AN512">
        <v>0</v>
      </c>
      <c r="AO512">
        <v>40</v>
      </c>
      <c r="AP512" t="s">
        <v>80</v>
      </c>
      <c r="AQ512" t="s">
        <v>179</v>
      </c>
      <c r="AT512" t="s">
        <v>240</v>
      </c>
      <c r="AU512" t="s">
        <v>86</v>
      </c>
      <c r="AV512" t="s">
        <v>1884</v>
      </c>
      <c r="AW512" t="s">
        <v>69</v>
      </c>
      <c r="AX512" t="s">
        <v>218</v>
      </c>
      <c r="AY512" t="s">
        <v>1885</v>
      </c>
      <c r="AZ512" t="s">
        <v>310</v>
      </c>
      <c r="BA512" t="s">
        <v>245</v>
      </c>
      <c r="BB512" t="s">
        <v>244</v>
      </c>
      <c r="BC512" t="s">
        <v>264</v>
      </c>
      <c r="BD512" t="s">
        <v>1889</v>
      </c>
      <c r="BE512" t="s">
        <v>1887</v>
      </c>
      <c r="BF512" t="s">
        <v>971</v>
      </c>
      <c r="BG512" t="s">
        <v>150</v>
      </c>
      <c r="BH512" t="str">
        <f>IF(COUNTIF(工作表1!A:A, $C512)&gt;0, "預購款", "非預購款")</f>
        <v>非預購款</v>
      </c>
    </row>
    <row r="513" spans="1:60" x14ac:dyDescent="0.25">
      <c r="A513" t="s">
        <v>1878</v>
      </c>
      <c r="B513" t="s">
        <v>776</v>
      </c>
      <c r="C513" t="s">
        <v>1879</v>
      </c>
      <c r="D513" t="s">
        <v>1880</v>
      </c>
      <c r="E513" t="s">
        <v>1881</v>
      </c>
      <c r="F513" t="s">
        <v>1310</v>
      </c>
      <c r="G513" t="s">
        <v>1882</v>
      </c>
      <c r="H513" t="s">
        <v>119</v>
      </c>
      <c r="I513" t="s">
        <v>171</v>
      </c>
      <c r="J513" t="s">
        <v>172</v>
      </c>
      <c r="K513" t="s">
        <v>80</v>
      </c>
      <c r="L513" t="s">
        <v>1883</v>
      </c>
      <c r="M513" t="s">
        <v>71</v>
      </c>
      <c r="N513" t="s">
        <v>100</v>
      </c>
      <c r="O513" t="s">
        <v>1648</v>
      </c>
      <c r="P513" t="s">
        <v>1649</v>
      </c>
      <c r="R513" t="s">
        <v>1650</v>
      </c>
      <c r="S513" t="s">
        <v>178</v>
      </c>
      <c r="T513" t="s">
        <v>291</v>
      </c>
      <c r="U513" t="s">
        <v>104</v>
      </c>
      <c r="V513" t="s">
        <v>653</v>
      </c>
      <c r="W513">
        <v>590</v>
      </c>
      <c r="X513">
        <v>29.99</v>
      </c>
      <c r="Y513">
        <v>75</v>
      </c>
      <c r="Z513">
        <v>429000</v>
      </c>
      <c r="AA513">
        <v>236000</v>
      </c>
      <c r="AB513">
        <v>200</v>
      </c>
      <c r="AD513" t="s">
        <v>238</v>
      </c>
      <c r="AE513">
        <v>2</v>
      </c>
      <c r="AF513">
        <v>0</v>
      </c>
      <c r="AI513">
        <v>0</v>
      </c>
      <c r="AJ513">
        <v>75</v>
      </c>
      <c r="AK513">
        <v>75</v>
      </c>
      <c r="AL513">
        <v>400</v>
      </c>
      <c r="AM513">
        <v>84</v>
      </c>
      <c r="AN513">
        <v>0</v>
      </c>
      <c r="AO513">
        <v>84</v>
      </c>
      <c r="AP513" t="s">
        <v>80</v>
      </c>
      <c r="AQ513" t="s">
        <v>179</v>
      </c>
      <c r="AT513" t="s">
        <v>240</v>
      </c>
      <c r="AU513" t="s">
        <v>86</v>
      </c>
      <c r="AV513" t="s">
        <v>1884</v>
      </c>
      <c r="AW513" t="s">
        <v>69</v>
      </c>
      <c r="AX513" t="s">
        <v>218</v>
      </c>
      <c r="AY513" t="s">
        <v>1885</v>
      </c>
      <c r="AZ513" t="s">
        <v>310</v>
      </c>
      <c r="BA513" t="s">
        <v>245</v>
      </c>
      <c r="BB513" t="s">
        <v>244</v>
      </c>
      <c r="BC513" t="s">
        <v>264</v>
      </c>
      <c r="BD513" t="s">
        <v>1890</v>
      </c>
      <c r="BE513" t="s">
        <v>1887</v>
      </c>
      <c r="BF513" t="s">
        <v>971</v>
      </c>
      <c r="BG513" t="s">
        <v>150</v>
      </c>
      <c r="BH513" t="str">
        <f>IF(COUNTIF(工作表1!A:A, $C513)&gt;0, "預購款", "非預購款")</f>
        <v>非預購款</v>
      </c>
    </row>
    <row r="514" spans="1:60" x14ac:dyDescent="0.25">
      <c r="A514" t="s">
        <v>1878</v>
      </c>
      <c r="B514" t="s">
        <v>776</v>
      </c>
      <c r="C514" t="s">
        <v>1879</v>
      </c>
      <c r="D514" t="s">
        <v>1880</v>
      </c>
      <c r="E514" t="s">
        <v>1881</v>
      </c>
      <c r="F514" t="s">
        <v>1310</v>
      </c>
      <c r="G514" t="s">
        <v>1882</v>
      </c>
      <c r="H514" t="s">
        <v>130</v>
      </c>
      <c r="I514" t="s">
        <v>171</v>
      </c>
      <c r="J514" t="s">
        <v>172</v>
      </c>
      <c r="K514" t="s">
        <v>80</v>
      </c>
      <c r="L514" t="s">
        <v>1883</v>
      </c>
      <c r="M514" t="s">
        <v>71</v>
      </c>
      <c r="N514" t="s">
        <v>100</v>
      </c>
      <c r="O514" t="s">
        <v>1648</v>
      </c>
      <c r="P514" t="s">
        <v>1649</v>
      </c>
      <c r="R514" t="s">
        <v>1650</v>
      </c>
      <c r="S514" t="s">
        <v>178</v>
      </c>
      <c r="T514" t="s">
        <v>291</v>
      </c>
      <c r="U514" t="s">
        <v>104</v>
      </c>
      <c r="V514" t="s">
        <v>653</v>
      </c>
      <c r="W514">
        <v>590</v>
      </c>
      <c r="X514">
        <v>29.99</v>
      </c>
      <c r="Y514">
        <v>75</v>
      </c>
      <c r="Z514">
        <v>429000</v>
      </c>
      <c r="AA514">
        <v>236000</v>
      </c>
      <c r="AB514">
        <v>200</v>
      </c>
      <c r="AD514" t="s">
        <v>238</v>
      </c>
      <c r="AE514">
        <v>2</v>
      </c>
      <c r="AF514">
        <v>0</v>
      </c>
      <c r="AI514">
        <v>0</v>
      </c>
      <c r="AJ514">
        <v>50</v>
      </c>
      <c r="AK514">
        <v>50</v>
      </c>
      <c r="AL514">
        <v>400</v>
      </c>
      <c r="AM514">
        <v>60</v>
      </c>
      <c r="AN514">
        <v>0</v>
      </c>
      <c r="AO514">
        <v>60</v>
      </c>
      <c r="AP514" t="s">
        <v>80</v>
      </c>
      <c r="AQ514" t="s">
        <v>179</v>
      </c>
      <c r="AT514" t="s">
        <v>240</v>
      </c>
      <c r="AU514" t="s">
        <v>86</v>
      </c>
      <c r="AV514" t="s">
        <v>1884</v>
      </c>
      <c r="AW514" t="s">
        <v>69</v>
      </c>
      <c r="AX514" t="s">
        <v>218</v>
      </c>
      <c r="AY514" t="s">
        <v>1885</v>
      </c>
      <c r="AZ514" t="s">
        <v>310</v>
      </c>
      <c r="BA514" t="s">
        <v>245</v>
      </c>
      <c r="BB514" t="s">
        <v>244</v>
      </c>
      <c r="BC514" t="s">
        <v>264</v>
      </c>
      <c r="BD514" t="s">
        <v>1891</v>
      </c>
      <c r="BE514" t="s">
        <v>1887</v>
      </c>
      <c r="BF514" t="s">
        <v>971</v>
      </c>
      <c r="BG514" t="s">
        <v>150</v>
      </c>
      <c r="BH514" t="str">
        <f>IF(COUNTIF(工作表1!A:A, $C514)&gt;0, "預購款", "非預購款")</f>
        <v>非預購款</v>
      </c>
    </row>
    <row r="515" spans="1:60" x14ac:dyDescent="0.25">
      <c r="A515" t="s">
        <v>1878</v>
      </c>
      <c r="B515" t="s">
        <v>776</v>
      </c>
      <c r="C515" t="s">
        <v>1879</v>
      </c>
      <c r="D515" t="s">
        <v>1880</v>
      </c>
      <c r="E515" t="s">
        <v>1881</v>
      </c>
      <c r="F515" t="s">
        <v>1310</v>
      </c>
      <c r="G515" t="s">
        <v>1882</v>
      </c>
      <c r="H515" t="s">
        <v>132</v>
      </c>
      <c r="I515" t="s">
        <v>171</v>
      </c>
      <c r="J515" t="s">
        <v>172</v>
      </c>
      <c r="K515" t="s">
        <v>80</v>
      </c>
      <c r="L515" t="s">
        <v>1883</v>
      </c>
      <c r="M515" t="s">
        <v>71</v>
      </c>
      <c r="N515" t="s">
        <v>100</v>
      </c>
      <c r="O515" t="s">
        <v>1648</v>
      </c>
      <c r="P515" t="s">
        <v>1649</v>
      </c>
      <c r="R515" t="s">
        <v>1650</v>
      </c>
      <c r="S515" t="s">
        <v>178</v>
      </c>
      <c r="T515" t="s">
        <v>291</v>
      </c>
      <c r="U515" t="s">
        <v>104</v>
      </c>
      <c r="V515" t="s">
        <v>653</v>
      </c>
      <c r="W515">
        <v>590</v>
      </c>
      <c r="X515">
        <v>29.99</v>
      </c>
      <c r="Y515">
        <v>75</v>
      </c>
      <c r="Z515">
        <v>429000</v>
      </c>
      <c r="AA515">
        <v>236000</v>
      </c>
      <c r="AB515">
        <v>200</v>
      </c>
      <c r="AD515" t="s">
        <v>238</v>
      </c>
      <c r="AE515">
        <v>2</v>
      </c>
      <c r="AF515">
        <v>0</v>
      </c>
      <c r="AI515">
        <v>10</v>
      </c>
      <c r="AJ515">
        <v>25</v>
      </c>
      <c r="AK515">
        <v>35</v>
      </c>
      <c r="AL515">
        <v>400</v>
      </c>
      <c r="AM515">
        <v>44</v>
      </c>
      <c r="AN515">
        <v>0</v>
      </c>
      <c r="AO515">
        <v>44</v>
      </c>
      <c r="AP515" t="s">
        <v>80</v>
      </c>
      <c r="AQ515" t="s">
        <v>179</v>
      </c>
      <c r="AT515" t="s">
        <v>240</v>
      </c>
      <c r="AU515" t="s">
        <v>86</v>
      </c>
      <c r="AV515" t="s">
        <v>1884</v>
      </c>
      <c r="AW515" t="s">
        <v>69</v>
      </c>
      <c r="AX515" t="s">
        <v>218</v>
      </c>
      <c r="AY515" t="s">
        <v>1885</v>
      </c>
      <c r="AZ515" t="s">
        <v>310</v>
      </c>
      <c r="BA515" t="s">
        <v>245</v>
      </c>
      <c r="BB515" t="s">
        <v>244</v>
      </c>
      <c r="BC515" t="s">
        <v>264</v>
      </c>
      <c r="BD515" t="s">
        <v>1892</v>
      </c>
      <c r="BE515" t="s">
        <v>1887</v>
      </c>
      <c r="BF515" t="s">
        <v>971</v>
      </c>
      <c r="BG515" t="s">
        <v>150</v>
      </c>
      <c r="BH515" t="str">
        <f>IF(COUNTIF(工作表1!A:A, $C515)&gt;0, "預購款", "非預購款")</f>
        <v>非預購款</v>
      </c>
    </row>
    <row r="516" spans="1:60" x14ac:dyDescent="0.25">
      <c r="A516" t="s">
        <v>1894</v>
      </c>
      <c r="B516" t="s">
        <v>488</v>
      </c>
      <c r="C516" t="s">
        <v>1895</v>
      </c>
      <c r="D516" t="s">
        <v>1896</v>
      </c>
      <c r="E516" t="s">
        <v>1897</v>
      </c>
      <c r="F516" t="s">
        <v>1631</v>
      </c>
      <c r="G516" t="s">
        <v>1898</v>
      </c>
      <c r="H516" t="s">
        <v>119</v>
      </c>
      <c r="I516" t="s">
        <v>67</v>
      </c>
      <c r="J516" t="s">
        <v>68</v>
      </c>
      <c r="K516" t="s">
        <v>69</v>
      </c>
      <c r="L516" t="s">
        <v>1899</v>
      </c>
      <c r="M516" t="s">
        <v>71</v>
      </c>
      <c r="N516" t="s">
        <v>100</v>
      </c>
      <c r="O516" t="s">
        <v>1900</v>
      </c>
      <c r="P516" t="s">
        <v>1901</v>
      </c>
      <c r="R516" t="s">
        <v>1902</v>
      </c>
      <c r="S516" t="s">
        <v>1893</v>
      </c>
      <c r="T516" t="s">
        <v>258</v>
      </c>
      <c r="U516" t="s">
        <v>146</v>
      </c>
      <c r="V516" t="s">
        <v>144</v>
      </c>
      <c r="W516">
        <v>890</v>
      </c>
      <c r="X516">
        <v>39.99</v>
      </c>
      <c r="Y516">
        <v>115</v>
      </c>
      <c r="Z516">
        <v>639000</v>
      </c>
      <c r="AA516">
        <v>583840</v>
      </c>
      <c r="AB516">
        <v>430</v>
      </c>
      <c r="AD516" t="s">
        <v>238</v>
      </c>
      <c r="AE516">
        <v>1</v>
      </c>
      <c r="AF516">
        <v>10</v>
      </c>
      <c r="AI516">
        <v>20</v>
      </c>
      <c r="AJ516">
        <v>230</v>
      </c>
      <c r="AK516">
        <v>260</v>
      </c>
      <c r="AL516">
        <v>656</v>
      </c>
      <c r="AM516">
        <v>266</v>
      </c>
      <c r="AN516">
        <v>0</v>
      </c>
      <c r="AO516">
        <v>266</v>
      </c>
      <c r="AP516" t="s">
        <v>80</v>
      </c>
      <c r="AQ516" t="s">
        <v>176</v>
      </c>
      <c r="AR516" t="s">
        <v>86</v>
      </c>
      <c r="AS516" t="s">
        <v>86</v>
      </c>
      <c r="AT516" t="s">
        <v>86</v>
      </c>
      <c r="AU516" t="s">
        <v>86</v>
      </c>
      <c r="AV516" t="s">
        <v>1903</v>
      </c>
      <c r="AW516" t="s">
        <v>69</v>
      </c>
      <c r="AX516" t="s">
        <v>262</v>
      </c>
      <c r="AY516" t="s">
        <v>1904</v>
      </c>
      <c r="AZ516" t="s">
        <v>243</v>
      </c>
      <c r="BA516" t="s">
        <v>245</v>
      </c>
      <c r="BB516" t="s">
        <v>244</v>
      </c>
      <c r="BC516" t="s">
        <v>245</v>
      </c>
      <c r="BD516" t="s">
        <v>1905</v>
      </c>
      <c r="BE516" t="s">
        <v>1906</v>
      </c>
      <c r="BF516" t="s">
        <v>240</v>
      </c>
      <c r="BG516" t="s">
        <v>150</v>
      </c>
      <c r="BH516" t="str">
        <f>IF(COUNTIF(工作表1!A:A, $C516)&gt;0, "預購款", "非預購款")</f>
        <v>非預購款</v>
      </c>
    </row>
    <row r="517" spans="1:60" x14ac:dyDescent="0.25">
      <c r="A517" t="s">
        <v>1894</v>
      </c>
      <c r="B517" t="s">
        <v>488</v>
      </c>
      <c r="C517" t="s">
        <v>1895</v>
      </c>
      <c r="D517" t="s">
        <v>1896</v>
      </c>
      <c r="E517" t="s">
        <v>1897</v>
      </c>
      <c r="F517" t="s">
        <v>1631</v>
      </c>
      <c r="G517" t="s">
        <v>1898</v>
      </c>
      <c r="H517" t="s">
        <v>130</v>
      </c>
      <c r="I517" t="s">
        <v>67</v>
      </c>
      <c r="J517" t="s">
        <v>68</v>
      </c>
      <c r="K517" t="s">
        <v>69</v>
      </c>
      <c r="L517" t="s">
        <v>1899</v>
      </c>
      <c r="M517" t="s">
        <v>71</v>
      </c>
      <c r="N517" t="s">
        <v>100</v>
      </c>
      <c r="O517" t="s">
        <v>1900</v>
      </c>
      <c r="P517" t="s">
        <v>1901</v>
      </c>
      <c r="R517" t="s">
        <v>1902</v>
      </c>
      <c r="S517" t="s">
        <v>1893</v>
      </c>
      <c r="T517" t="s">
        <v>258</v>
      </c>
      <c r="U517" t="s">
        <v>146</v>
      </c>
      <c r="V517" t="s">
        <v>144</v>
      </c>
      <c r="W517">
        <v>890</v>
      </c>
      <c r="X517">
        <v>39.99</v>
      </c>
      <c r="Y517">
        <v>115</v>
      </c>
      <c r="Z517">
        <v>639000</v>
      </c>
      <c r="AA517">
        <v>583840</v>
      </c>
      <c r="AB517">
        <v>430</v>
      </c>
      <c r="AD517" t="s">
        <v>238</v>
      </c>
      <c r="AE517">
        <v>1</v>
      </c>
      <c r="AF517">
        <v>6</v>
      </c>
      <c r="AI517">
        <v>0</v>
      </c>
      <c r="AJ517">
        <v>290</v>
      </c>
      <c r="AK517">
        <v>296</v>
      </c>
      <c r="AL517">
        <v>656</v>
      </c>
      <c r="AM517">
        <v>293</v>
      </c>
      <c r="AN517">
        <v>1</v>
      </c>
      <c r="AO517">
        <v>294</v>
      </c>
      <c r="AP517" t="s">
        <v>80</v>
      </c>
      <c r="AQ517" t="s">
        <v>176</v>
      </c>
      <c r="AR517" t="s">
        <v>86</v>
      </c>
      <c r="AS517" t="s">
        <v>86</v>
      </c>
      <c r="AT517" t="s">
        <v>86</v>
      </c>
      <c r="AU517" t="s">
        <v>86</v>
      </c>
      <c r="AV517" t="s">
        <v>1903</v>
      </c>
      <c r="AW517" t="s">
        <v>69</v>
      </c>
      <c r="AX517" t="s">
        <v>262</v>
      </c>
      <c r="AY517" t="s">
        <v>1904</v>
      </c>
      <c r="AZ517" t="s">
        <v>243</v>
      </c>
      <c r="BA517" t="s">
        <v>245</v>
      </c>
      <c r="BB517" t="s">
        <v>244</v>
      </c>
      <c r="BC517" t="s">
        <v>245</v>
      </c>
      <c r="BD517" t="s">
        <v>1907</v>
      </c>
      <c r="BE517" t="s">
        <v>1906</v>
      </c>
      <c r="BF517" t="s">
        <v>240</v>
      </c>
      <c r="BG517" t="s">
        <v>150</v>
      </c>
      <c r="BH517" t="str">
        <f>IF(COUNTIF(工作表1!A:A, $C517)&gt;0, "預購款", "非預購款")</f>
        <v>非預購款</v>
      </c>
    </row>
    <row r="518" spans="1:60" x14ac:dyDescent="0.25">
      <c r="A518" t="s">
        <v>1894</v>
      </c>
      <c r="B518" t="s">
        <v>488</v>
      </c>
      <c r="C518" t="s">
        <v>1895</v>
      </c>
      <c r="D518" t="s">
        <v>1896</v>
      </c>
      <c r="E518" t="s">
        <v>1897</v>
      </c>
      <c r="F518" t="s">
        <v>1631</v>
      </c>
      <c r="G518" t="s">
        <v>1898</v>
      </c>
      <c r="H518" t="s">
        <v>132</v>
      </c>
      <c r="I518" t="s">
        <v>67</v>
      </c>
      <c r="J518" t="s">
        <v>68</v>
      </c>
      <c r="K518" t="s">
        <v>69</v>
      </c>
      <c r="L518" t="s">
        <v>1899</v>
      </c>
      <c r="M518" t="s">
        <v>71</v>
      </c>
      <c r="N518" t="s">
        <v>100</v>
      </c>
      <c r="O518" t="s">
        <v>1900</v>
      </c>
      <c r="P518" t="s">
        <v>1901</v>
      </c>
      <c r="R518" t="s">
        <v>1902</v>
      </c>
      <c r="S518" t="s">
        <v>1893</v>
      </c>
      <c r="T518" t="s">
        <v>258</v>
      </c>
      <c r="U518" t="s">
        <v>146</v>
      </c>
      <c r="V518" t="s">
        <v>144</v>
      </c>
      <c r="W518">
        <v>890</v>
      </c>
      <c r="X518">
        <v>39.99</v>
      </c>
      <c r="Y518">
        <v>115</v>
      </c>
      <c r="Z518">
        <v>639000</v>
      </c>
      <c r="AA518">
        <v>583840</v>
      </c>
      <c r="AB518">
        <v>430</v>
      </c>
      <c r="AD518" t="s">
        <v>238</v>
      </c>
      <c r="AE518">
        <v>1</v>
      </c>
      <c r="AF518">
        <v>0</v>
      </c>
      <c r="AI518">
        <v>10</v>
      </c>
      <c r="AJ518">
        <v>90</v>
      </c>
      <c r="AK518">
        <v>100</v>
      </c>
      <c r="AL518">
        <v>656</v>
      </c>
      <c r="AM518">
        <v>104</v>
      </c>
      <c r="AN518">
        <v>0</v>
      </c>
      <c r="AO518">
        <v>104</v>
      </c>
      <c r="AP518" t="s">
        <v>80</v>
      </c>
      <c r="AQ518" t="s">
        <v>176</v>
      </c>
      <c r="AR518" t="s">
        <v>86</v>
      </c>
      <c r="AS518" t="s">
        <v>86</v>
      </c>
      <c r="AT518" t="s">
        <v>86</v>
      </c>
      <c r="AU518" t="s">
        <v>86</v>
      </c>
      <c r="AV518" t="s">
        <v>1903</v>
      </c>
      <c r="AW518" t="s">
        <v>69</v>
      </c>
      <c r="AX518" t="s">
        <v>262</v>
      </c>
      <c r="AY518" t="s">
        <v>1904</v>
      </c>
      <c r="AZ518" t="s">
        <v>243</v>
      </c>
      <c r="BA518" t="s">
        <v>245</v>
      </c>
      <c r="BB518" t="s">
        <v>244</v>
      </c>
      <c r="BC518" t="s">
        <v>245</v>
      </c>
      <c r="BD518" t="s">
        <v>1908</v>
      </c>
      <c r="BE518" t="s">
        <v>1906</v>
      </c>
      <c r="BF518" t="s">
        <v>240</v>
      </c>
      <c r="BG518" t="s">
        <v>150</v>
      </c>
      <c r="BH518" t="str">
        <f>IF(COUNTIF(工作表1!A:A, $C518)&gt;0, "預購款", "非預購款")</f>
        <v>非預購款</v>
      </c>
    </row>
    <row r="519" spans="1:60" x14ac:dyDescent="0.25">
      <c r="A519" t="s">
        <v>1909</v>
      </c>
      <c r="B519" t="s">
        <v>488</v>
      </c>
      <c r="C519" t="s">
        <v>1910</v>
      </c>
      <c r="D519" t="s">
        <v>1911</v>
      </c>
      <c r="E519" t="s">
        <v>1912</v>
      </c>
      <c r="F519" t="s">
        <v>1631</v>
      </c>
      <c r="G519" t="s">
        <v>1913</v>
      </c>
      <c r="H519" t="s">
        <v>119</v>
      </c>
      <c r="I519" t="s">
        <v>67</v>
      </c>
      <c r="J519" t="s">
        <v>68</v>
      </c>
      <c r="K519" t="s">
        <v>69</v>
      </c>
      <c r="L519" t="s">
        <v>1914</v>
      </c>
      <c r="M519" t="s">
        <v>71</v>
      </c>
      <c r="N519" t="s">
        <v>100</v>
      </c>
      <c r="O519" t="s">
        <v>1900</v>
      </c>
      <c r="P519" t="s">
        <v>1901</v>
      </c>
      <c r="R519" t="s">
        <v>1902</v>
      </c>
      <c r="S519" t="s">
        <v>1893</v>
      </c>
      <c r="T519" t="s">
        <v>258</v>
      </c>
      <c r="U519" t="s">
        <v>104</v>
      </c>
      <c r="V519" t="s">
        <v>965</v>
      </c>
      <c r="W519">
        <v>690</v>
      </c>
      <c r="X519">
        <v>29.99</v>
      </c>
      <c r="Y519">
        <v>89</v>
      </c>
      <c r="Z519">
        <v>499000</v>
      </c>
      <c r="AA519">
        <v>701040</v>
      </c>
      <c r="AB519">
        <v>215</v>
      </c>
      <c r="AD519" t="s">
        <v>238</v>
      </c>
      <c r="AE519">
        <v>1</v>
      </c>
      <c r="AF519">
        <v>10</v>
      </c>
      <c r="AI519">
        <v>60</v>
      </c>
      <c r="AJ519">
        <v>480</v>
      </c>
      <c r="AK519">
        <v>550</v>
      </c>
      <c r="AL519">
        <v>1016</v>
      </c>
      <c r="AM519">
        <v>535</v>
      </c>
      <c r="AN519">
        <v>0</v>
      </c>
      <c r="AO519">
        <v>535</v>
      </c>
      <c r="AP519" t="s">
        <v>80</v>
      </c>
      <c r="AQ519" t="s">
        <v>187</v>
      </c>
      <c r="AR519" t="s">
        <v>86</v>
      </c>
      <c r="AS519" t="s">
        <v>86</v>
      </c>
      <c r="AT519" t="s">
        <v>240</v>
      </c>
      <c r="AU519" t="s">
        <v>86</v>
      </c>
      <c r="AV519" t="s">
        <v>1915</v>
      </c>
      <c r="AW519" t="s">
        <v>69</v>
      </c>
      <c r="AX519" t="s">
        <v>737</v>
      </c>
      <c r="AY519" t="s">
        <v>1916</v>
      </c>
      <c r="AZ519" t="s">
        <v>243</v>
      </c>
      <c r="BA519" t="s">
        <v>245</v>
      </c>
      <c r="BB519" t="s">
        <v>244</v>
      </c>
      <c r="BC519" t="s">
        <v>245</v>
      </c>
      <c r="BD519" t="s">
        <v>1917</v>
      </c>
      <c r="BE519" t="s">
        <v>1918</v>
      </c>
      <c r="BF519" t="s">
        <v>240</v>
      </c>
      <c r="BG519" t="s">
        <v>150</v>
      </c>
      <c r="BH519" t="str">
        <f>IF(COUNTIF(工作表1!A:A, $C519)&gt;0, "預購款", "非預購款")</f>
        <v>非預購款</v>
      </c>
    </row>
    <row r="520" spans="1:60" x14ac:dyDescent="0.25">
      <c r="A520" t="s">
        <v>1909</v>
      </c>
      <c r="B520" t="s">
        <v>488</v>
      </c>
      <c r="C520" t="s">
        <v>1910</v>
      </c>
      <c r="D520" t="s">
        <v>1911</v>
      </c>
      <c r="E520" t="s">
        <v>1912</v>
      </c>
      <c r="F520" t="s">
        <v>1631</v>
      </c>
      <c r="G520" t="s">
        <v>1913</v>
      </c>
      <c r="H520" t="s">
        <v>130</v>
      </c>
      <c r="I520" t="s">
        <v>67</v>
      </c>
      <c r="J520" t="s">
        <v>68</v>
      </c>
      <c r="K520" t="s">
        <v>69</v>
      </c>
      <c r="L520" t="s">
        <v>1914</v>
      </c>
      <c r="M520" t="s">
        <v>71</v>
      </c>
      <c r="N520" t="s">
        <v>100</v>
      </c>
      <c r="O520" t="s">
        <v>1900</v>
      </c>
      <c r="P520" t="s">
        <v>1901</v>
      </c>
      <c r="R520" t="s">
        <v>1902</v>
      </c>
      <c r="S520" t="s">
        <v>1893</v>
      </c>
      <c r="T520" t="s">
        <v>258</v>
      </c>
      <c r="U520" t="s">
        <v>104</v>
      </c>
      <c r="V520" t="s">
        <v>965</v>
      </c>
      <c r="W520">
        <v>690</v>
      </c>
      <c r="X520">
        <v>29.99</v>
      </c>
      <c r="Y520">
        <v>89</v>
      </c>
      <c r="Z520">
        <v>499000</v>
      </c>
      <c r="AA520">
        <v>701040</v>
      </c>
      <c r="AB520">
        <v>215</v>
      </c>
      <c r="AD520" t="s">
        <v>238</v>
      </c>
      <c r="AE520">
        <v>1</v>
      </c>
      <c r="AF520">
        <v>6</v>
      </c>
      <c r="AI520">
        <v>20</v>
      </c>
      <c r="AJ520">
        <v>320</v>
      </c>
      <c r="AK520">
        <v>346</v>
      </c>
      <c r="AL520">
        <v>1016</v>
      </c>
      <c r="AM520">
        <v>342</v>
      </c>
      <c r="AN520">
        <v>0</v>
      </c>
      <c r="AO520">
        <v>342</v>
      </c>
      <c r="AP520" t="s">
        <v>80</v>
      </c>
      <c r="AQ520" t="s">
        <v>187</v>
      </c>
      <c r="AR520" t="s">
        <v>86</v>
      </c>
      <c r="AS520" t="s">
        <v>86</v>
      </c>
      <c r="AT520" t="s">
        <v>240</v>
      </c>
      <c r="AU520" t="s">
        <v>86</v>
      </c>
      <c r="AV520" t="s">
        <v>1915</v>
      </c>
      <c r="AW520" t="s">
        <v>69</v>
      </c>
      <c r="AX520" t="s">
        <v>737</v>
      </c>
      <c r="AY520" t="s">
        <v>1916</v>
      </c>
      <c r="AZ520" t="s">
        <v>243</v>
      </c>
      <c r="BA520" t="s">
        <v>245</v>
      </c>
      <c r="BB520" t="s">
        <v>244</v>
      </c>
      <c r="BC520" t="s">
        <v>245</v>
      </c>
      <c r="BD520" t="s">
        <v>1919</v>
      </c>
      <c r="BE520" t="s">
        <v>1918</v>
      </c>
      <c r="BF520" t="s">
        <v>240</v>
      </c>
      <c r="BG520" t="s">
        <v>150</v>
      </c>
      <c r="BH520" t="str">
        <f>IF(COUNTIF(工作表1!A:A, $C520)&gt;0, "預購款", "非預購款")</f>
        <v>非預購款</v>
      </c>
    </row>
    <row r="521" spans="1:60" x14ac:dyDescent="0.25">
      <c r="A521" t="s">
        <v>1909</v>
      </c>
      <c r="B521" t="s">
        <v>488</v>
      </c>
      <c r="C521" t="s">
        <v>1910</v>
      </c>
      <c r="D521" t="s">
        <v>1911</v>
      </c>
      <c r="E521" t="s">
        <v>1912</v>
      </c>
      <c r="F521" t="s">
        <v>1631</v>
      </c>
      <c r="G521" t="s">
        <v>1913</v>
      </c>
      <c r="H521" t="s">
        <v>132</v>
      </c>
      <c r="I521" t="s">
        <v>67</v>
      </c>
      <c r="J521" t="s">
        <v>68</v>
      </c>
      <c r="K521" t="s">
        <v>69</v>
      </c>
      <c r="L521" t="s">
        <v>1914</v>
      </c>
      <c r="M521" t="s">
        <v>71</v>
      </c>
      <c r="N521" t="s">
        <v>100</v>
      </c>
      <c r="O521" t="s">
        <v>1900</v>
      </c>
      <c r="P521" t="s">
        <v>1901</v>
      </c>
      <c r="R521" t="s">
        <v>1902</v>
      </c>
      <c r="S521" t="s">
        <v>1893</v>
      </c>
      <c r="T521" t="s">
        <v>258</v>
      </c>
      <c r="U521" t="s">
        <v>104</v>
      </c>
      <c r="V521" t="s">
        <v>965</v>
      </c>
      <c r="W521">
        <v>690</v>
      </c>
      <c r="X521">
        <v>29.99</v>
      </c>
      <c r="Y521">
        <v>89</v>
      </c>
      <c r="Z521">
        <v>499000</v>
      </c>
      <c r="AA521">
        <v>701040</v>
      </c>
      <c r="AB521">
        <v>215</v>
      </c>
      <c r="AD521" t="s">
        <v>238</v>
      </c>
      <c r="AE521">
        <v>1</v>
      </c>
      <c r="AF521">
        <v>0</v>
      </c>
      <c r="AI521">
        <v>20</v>
      </c>
      <c r="AJ521">
        <v>100</v>
      </c>
      <c r="AK521">
        <v>120</v>
      </c>
      <c r="AL521">
        <v>1016</v>
      </c>
      <c r="AM521">
        <v>119</v>
      </c>
      <c r="AN521">
        <v>0</v>
      </c>
      <c r="AO521">
        <v>119</v>
      </c>
      <c r="AP521" t="s">
        <v>80</v>
      </c>
      <c r="AQ521" t="s">
        <v>187</v>
      </c>
      <c r="AR521" t="s">
        <v>86</v>
      </c>
      <c r="AS521" t="s">
        <v>86</v>
      </c>
      <c r="AT521" t="s">
        <v>240</v>
      </c>
      <c r="AU521" t="s">
        <v>86</v>
      </c>
      <c r="AV521" t="s">
        <v>1915</v>
      </c>
      <c r="AW521" t="s">
        <v>69</v>
      </c>
      <c r="AX521" t="s">
        <v>737</v>
      </c>
      <c r="AY521" t="s">
        <v>1916</v>
      </c>
      <c r="AZ521" t="s">
        <v>243</v>
      </c>
      <c r="BA521" t="s">
        <v>245</v>
      </c>
      <c r="BB521" t="s">
        <v>244</v>
      </c>
      <c r="BC521" t="s">
        <v>245</v>
      </c>
      <c r="BD521" t="s">
        <v>1920</v>
      </c>
      <c r="BE521" t="s">
        <v>1918</v>
      </c>
      <c r="BF521" t="s">
        <v>240</v>
      </c>
      <c r="BG521" t="s">
        <v>150</v>
      </c>
      <c r="BH521" t="str">
        <f>IF(COUNTIF(工作表1!A:A, $C521)&gt;0, "預購款", "非預購款")</f>
        <v>非預購款</v>
      </c>
    </row>
    <row r="522" spans="1:60" x14ac:dyDescent="0.25">
      <c r="A522" t="s">
        <v>1921</v>
      </c>
      <c r="B522" t="s">
        <v>488</v>
      </c>
      <c r="C522" t="s">
        <v>1922</v>
      </c>
      <c r="D522" t="s">
        <v>1923</v>
      </c>
      <c r="E522" t="s">
        <v>1924</v>
      </c>
      <c r="F522" t="s">
        <v>1631</v>
      </c>
      <c r="G522" t="s">
        <v>1925</v>
      </c>
      <c r="H522" t="s">
        <v>119</v>
      </c>
      <c r="I522" t="s">
        <v>111</v>
      </c>
      <c r="J522" t="s">
        <v>112</v>
      </c>
      <c r="K522" t="s">
        <v>69</v>
      </c>
      <c r="L522" t="s">
        <v>1926</v>
      </c>
      <c r="M522" t="s">
        <v>71</v>
      </c>
      <c r="N522" t="s">
        <v>100</v>
      </c>
      <c r="O522" t="s">
        <v>1900</v>
      </c>
      <c r="P522" t="s">
        <v>1901</v>
      </c>
      <c r="R522" t="s">
        <v>1902</v>
      </c>
      <c r="S522" t="s">
        <v>1893</v>
      </c>
      <c r="T522" t="s">
        <v>258</v>
      </c>
      <c r="U522" t="s">
        <v>383</v>
      </c>
      <c r="V522" t="s">
        <v>124</v>
      </c>
      <c r="W522">
        <v>690</v>
      </c>
      <c r="X522">
        <v>29.99</v>
      </c>
      <c r="Y522">
        <v>89</v>
      </c>
      <c r="Z522">
        <v>499000</v>
      </c>
      <c r="AA522">
        <v>617550</v>
      </c>
      <c r="AB522">
        <v>290</v>
      </c>
      <c r="AD522" t="s">
        <v>238</v>
      </c>
      <c r="AE522">
        <v>2</v>
      </c>
      <c r="AF522">
        <v>20</v>
      </c>
      <c r="AI522">
        <v>0</v>
      </c>
      <c r="AJ522">
        <v>120</v>
      </c>
      <c r="AK522">
        <v>140</v>
      </c>
      <c r="AL522">
        <v>895</v>
      </c>
      <c r="AM522">
        <v>131</v>
      </c>
      <c r="AN522">
        <v>0</v>
      </c>
      <c r="AO522">
        <v>131</v>
      </c>
      <c r="AP522" t="s">
        <v>80</v>
      </c>
      <c r="AQ522" t="s">
        <v>176</v>
      </c>
      <c r="AR522" t="s">
        <v>86</v>
      </c>
      <c r="AS522" t="s">
        <v>86</v>
      </c>
      <c r="AT522" t="s">
        <v>86</v>
      </c>
      <c r="AU522" t="s">
        <v>86</v>
      </c>
      <c r="AV522" t="s">
        <v>799</v>
      </c>
      <c r="AW522" t="s">
        <v>69</v>
      </c>
      <c r="AX522" t="s">
        <v>1927</v>
      </c>
      <c r="AY522" t="s">
        <v>1928</v>
      </c>
      <c r="AZ522" t="s">
        <v>264</v>
      </c>
      <c r="BA522" t="s">
        <v>245</v>
      </c>
      <c r="BB522" t="s">
        <v>245</v>
      </c>
      <c r="BC522" t="s">
        <v>245</v>
      </c>
      <c r="BD522" t="s">
        <v>1929</v>
      </c>
      <c r="BE522" t="s">
        <v>1930</v>
      </c>
      <c r="BF522" t="s">
        <v>240</v>
      </c>
      <c r="BG522" t="s">
        <v>110</v>
      </c>
      <c r="BH522" t="str">
        <f>IF(COUNTIF(工作表1!A:A, $C522)&gt;0, "預購款", "非預購款")</f>
        <v>非預購款</v>
      </c>
    </row>
    <row r="523" spans="1:60" x14ac:dyDescent="0.25">
      <c r="A523" t="s">
        <v>1921</v>
      </c>
      <c r="B523" t="s">
        <v>488</v>
      </c>
      <c r="C523" t="s">
        <v>1922</v>
      </c>
      <c r="D523" t="s">
        <v>1923</v>
      </c>
      <c r="E523" t="s">
        <v>1924</v>
      </c>
      <c r="F523" t="s">
        <v>1631</v>
      </c>
      <c r="G523" t="s">
        <v>1925</v>
      </c>
      <c r="H523" t="s">
        <v>130</v>
      </c>
      <c r="I523" t="s">
        <v>111</v>
      </c>
      <c r="J523" t="s">
        <v>112</v>
      </c>
      <c r="K523" t="s">
        <v>69</v>
      </c>
      <c r="L523" t="s">
        <v>1926</v>
      </c>
      <c r="M523" t="s">
        <v>71</v>
      </c>
      <c r="N523" t="s">
        <v>100</v>
      </c>
      <c r="O523" t="s">
        <v>1900</v>
      </c>
      <c r="P523" t="s">
        <v>1901</v>
      </c>
      <c r="R523" t="s">
        <v>1902</v>
      </c>
      <c r="S523" t="s">
        <v>1893</v>
      </c>
      <c r="T523" t="s">
        <v>258</v>
      </c>
      <c r="U523" t="s">
        <v>383</v>
      </c>
      <c r="V523" t="s">
        <v>124</v>
      </c>
      <c r="W523">
        <v>690</v>
      </c>
      <c r="X523">
        <v>29.99</v>
      </c>
      <c r="Y523">
        <v>89</v>
      </c>
      <c r="Z523">
        <v>499000</v>
      </c>
      <c r="AA523">
        <v>617550</v>
      </c>
      <c r="AB523">
        <v>290</v>
      </c>
      <c r="AD523" t="s">
        <v>238</v>
      </c>
      <c r="AE523">
        <v>2</v>
      </c>
      <c r="AF523">
        <v>15</v>
      </c>
      <c r="AI523">
        <v>0</v>
      </c>
      <c r="AJ523">
        <v>120</v>
      </c>
      <c r="AK523">
        <v>135</v>
      </c>
      <c r="AL523">
        <v>895</v>
      </c>
      <c r="AM523">
        <v>133</v>
      </c>
      <c r="AN523">
        <v>0</v>
      </c>
      <c r="AO523">
        <v>133</v>
      </c>
      <c r="AP523" t="s">
        <v>80</v>
      </c>
      <c r="AQ523" t="s">
        <v>176</v>
      </c>
      <c r="AR523" t="s">
        <v>86</v>
      </c>
      <c r="AS523" t="s">
        <v>86</v>
      </c>
      <c r="AT523" t="s">
        <v>86</v>
      </c>
      <c r="AU523" t="s">
        <v>86</v>
      </c>
      <c r="AV523" t="s">
        <v>799</v>
      </c>
      <c r="AW523" t="s">
        <v>69</v>
      </c>
      <c r="AX523" t="s">
        <v>1927</v>
      </c>
      <c r="AY523" t="s">
        <v>1928</v>
      </c>
      <c r="AZ523" t="s">
        <v>264</v>
      </c>
      <c r="BA523" t="s">
        <v>245</v>
      </c>
      <c r="BB523" t="s">
        <v>245</v>
      </c>
      <c r="BC523" t="s">
        <v>245</v>
      </c>
      <c r="BD523" t="s">
        <v>1931</v>
      </c>
      <c r="BE523" t="s">
        <v>1930</v>
      </c>
      <c r="BF523" t="s">
        <v>240</v>
      </c>
      <c r="BG523" t="s">
        <v>110</v>
      </c>
      <c r="BH523" t="str">
        <f>IF(COUNTIF(工作表1!A:A, $C523)&gt;0, "預購款", "非預購款")</f>
        <v>非預購款</v>
      </c>
    </row>
    <row r="524" spans="1:60" x14ac:dyDescent="0.25">
      <c r="A524" t="s">
        <v>1921</v>
      </c>
      <c r="B524" t="s">
        <v>488</v>
      </c>
      <c r="C524" t="s">
        <v>1922</v>
      </c>
      <c r="D524" t="s">
        <v>1923</v>
      </c>
      <c r="E524" t="s">
        <v>1924</v>
      </c>
      <c r="F524" t="s">
        <v>1631</v>
      </c>
      <c r="G524" t="s">
        <v>1925</v>
      </c>
      <c r="H524" t="s">
        <v>132</v>
      </c>
      <c r="I524" t="s">
        <v>111</v>
      </c>
      <c r="J524" t="s">
        <v>112</v>
      </c>
      <c r="K524" t="s">
        <v>69</v>
      </c>
      <c r="L524" t="s">
        <v>1926</v>
      </c>
      <c r="M524" t="s">
        <v>71</v>
      </c>
      <c r="N524" t="s">
        <v>100</v>
      </c>
      <c r="O524" t="s">
        <v>1900</v>
      </c>
      <c r="P524" t="s">
        <v>1901</v>
      </c>
      <c r="R524" t="s">
        <v>1902</v>
      </c>
      <c r="S524" t="s">
        <v>1893</v>
      </c>
      <c r="T524" t="s">
        <v>258</v>
      </c>
      <c r="U524" t="s">
        <v>383</v>
      </c>
      <c r="V524" t="s">
        <v>124</v>
      </c>
      <c r="W524">
        <v>690</v>
      </c>
      <c r="X524">
        <v>29.99</v>
      </c>
      <c r="Y524">
        <v>89</v>
      </c>
      <c r="Z524">
        <v>499000</v>
      </c>
      <c r="AA524">
        <v>617550</v>
      </c>
      <c r="AB524">
        <v>290</v>
      </c>
      <c r="AD524" t="s">
        <v>238</v>
      </c>
      <c r="AE524">
        <v>2</v>
      </c>
      <c r="AF524">
        <v>5</v>
      </c>
      <c r="AI524">
        <v>0</v>
      </c>
      <c r="AJ524">
        <v>80</v>
      </c>
      <c r="AK524">
        <v>85</v>
      </c>
      <c r="AL524">
        <v>895</v>
      </c>
      <c r="AM524">
        <v>88</v>
      </c>
      <c r="AN524">
        <v>0</v>
      </c>
      <c r="AO524">
        <v>88</v>
      </c>
      <c r="AP524" t="s">
        <v>80</v>
      </c>
      <c r="AQ524" t="s">
        <v>176</v>
      </c>
      <c r="AR524" t="s">
        <v>86</v>
      </c>
      <c r="AS524" t="s">
        <v>86</v>
      </c>
      <c r="AT524" t="s">
        <v>86</v>
      </c>
      <c r="AU524" t="s">
        <v>86</v>
      </c>
      <c r="AV524" t="s">
        <v>799</v>
      </c>
      <c r="AW524" t="s">
        <v>69</v>
      </c>
      <c r="AX524" t="s">
        <v>1927</v>
      </c>
      <c r="AY524" t="s">
        <v>1928</v>
      </c>
      <c r="AZ524" t="s">
        <v>264</v>
      </c>
      <c r="BA524" t="s">
        <v>245</v>
      </c>
      <c r="BB524" t="s">
        <v>245</v>
      </c>
      <c r="BC524" t="s">
        <v>245</v>
      </c>
      <c r="BD524" t="s">
        <v>1932</v>
      </c>
      <c r="BE524" t="s">
        <v>1930</v>
      </c>
      <c r="BF524" t="s">
        <v>240</v>
      </c>
      <c r="BG524" t="s">
        <v>110</v>
      </c>
      <c r="BH524" t="str">
        <f>IF(COUNTIF(工作表1!A:A, $C524)&gt;0, "預購款", "非預購款")</f>
        <v>非預購款</v>
      </c>
    </row>
    <row r="525" spans="1:60" x14ac:dyDescent="0.25">
      <c r="A525" t="s">
        <v>1921</v>
      </c>
      <c r="B525" t="s">
        <v>488</v>
      </c>
      <c r="C525" t="s">
        <v>1922</v>
      </c>
      <c r="D525" t="s">
        <v>1923</v>
      </c>
      <c r="E525" t="s">
        <v>1924</v>
      </c>
      <c r="F525" t="s">
        <v>1631</v>
      </c>
      <c r="G525" t="s">
        <v>1925</v>
      </c>
      <c r="H525" t="s">
        <v>119</v>
      </c>
      <c r="I525" t="s">
        <v>88</v>
      </c>
      <c r="J525" t="s">
        <v>89</v>
      </c>
      <c r="K525" t="s">
        <v>69</v>
      </c>
      <c r="L525" t="s">
        <v>1926</v>
      </c>
      <c r="M525" t="s">
        <v>71</v>
      </c>
      <c r="N525" t="s">
        <v>100</v>
      </c>
      <c r="O525" t="s">
        <v>1900</v>
      </c>
      <c r="P525" t="s">
        <v>1901</v>
      </c>
      <c r="R525" t="s">
        <v>1902</v>
      </c>
      <c r="S525" t="s">
        <v>1893</v>
      </c>
      <c r="T525" t="s">
        <v>258</v>
      </c>
      <c r="U525" t="s">
        <v>383</v>
      </c>
      <c r="V525" t="s">
        <v>124</v>
      </c>
      <c r="W525">
        <v>690</v>
      </c>
      <c r="X525">
        <v>29.99</v>
      </c>
      <c r="Y525">
        <v>89</v>
      </c>
      <c r="Z525">
        <v>499000</v>
      </c>
      <c r="AA525">
        <v>617550</v>
      </c>
      <c r="AB525">
        <v>290</v>
      </c>
      <c r="AD525" t="s">
        <v>238</v>
      </c>
      <c r="AE525">
        <v>2</v>
      </c>
      <c r="AF525">
        <v>20</v>
      </c>
      <c r="AI525">
        <v>0</v>
      </c>
      <c r="AJ525">
        <v>230</v>
      </c>
      <c r="AK525">
        <v>250</v>
      </c>
      <c r="AL525">
        <v>895</v>
      </c>
      <c r="AM525">
        <v>253</v>
      </c>
      <c r="AN525">
        <v>0</v>
      </c>
      <c r="AO525">
        <v>253</v>
      </c>
      <c r="AP525" t="s">
        <v>80</v>
      </c>
      <c r="AQ525" t="s">
        <v>176</v>
      </c>
      <c r="AR525" t="s">
        <v>86</v>
      </c>
      <c r="AS525" t="s">
        <v>86</v>
      </c>
      <c r="AT525" t="s">
        <v>86</v>
      </c>
      <c r="AU525" t="s">
        <v>86</v>
      </c>
      <c r="AV525" t="s">
        <v>799</v>
      </c>
      <c r="AW525" t="s">
        <v>69</v>
      </c>
      <c r="AX525" t="s">
        <v>1927</v>
      </c>
      <c r="AY525" t="s">
        <v>1928</v>
      </c>
      <c r="AZ525" t="s">
        <v>264</v>
      </c>
      <c r="BA525" t="s">
        <v>245</v>
      </c>
      <c r="BB525" t="s">
        <v>245</v>
      </c>
      <c r="BC525" t="s">
        <v>245</v>
      </c>
      <c r="BD525" t="s">
        <v>1933</v>
      </c>
      <c r="BE525" t="s">
        <v>1930</v>
      </c>
      <c r="BF525" t="s">
        <v>240</v>
      </c>
      <c r="BG525" t="s">
        <v>110</v>
      </c>
      <c r="BH525" t="str">
        <f>IF(COUNTIF(工作表1!A:A, $C525)&gt;0, "預購款", "非預購款")</f>
        <v>非預購款</v>
      </c>
    </row>
    <row r="526" spans="1:60" x14ac:dyDescent="0.25">
      <c r="A526" t="s">
        <v>1921</v>
      </c>
      <c r="B526" t="s">
        <v>488</v>
      </c>
      <c r="C526" t="s">
        <v>1922</v>
      </c>
      <c r="D526" t="s">
        <v>1923</v>
      </c>
      <c r="E526" t="s">
        <v>1924</v>
      </c>
      <c r="F526" t="s">
        <v>1631</v>
      </c>
      <c r="G526" t="s">
        <v>1925</v>
      </c>
      <c r="H526" t="s">
        <v>130</v>
      </c>
      <c r="I526" t="s">
        <v>88</v>
      </c>
      <c r="J526" t="s">
        <v>89</v>
      </c>
      <c r="K526" t="s">
        <v>69</v>
      </c>
      <c r="L526" t="s">
        <v>1926</v>
      </c>
      <c r="M526" t="s">
        <v>71</v>
      </c>
      <c r="N526" t="s">
        <v>100</v>
      </c>
      <c r="O526" t="s">
        <v>1900</v>
      </c>
      <c r="P526" t="s">
        <v>1901</v>
      </c>
      <c r="R526" t="s">
        <v>1902</v>
      </c>
      <c r="S526" t="s">
        <v>1893</v>
      </c>
      <c r="T526" t="s">
        <v>258</v>
      </c>
      <c r="U526" t="s">
        <v>383</v>
      </c>
      <c r="V526" t="s">
        <v>124</v>
      </c>
      <c r="W526">
        <v>690</v>
      </c>
      <c r="X526">
        <v>29.99</v>
      </c>
      <c r="Y526">
        <v>89</v>
      </c>
      <c r="Z526">
        <v>499000</v>
      </c>
      <c r="AA526">
        <v>617550</v>
      </c>
      <c r="AB526">
        <v>290</v>
      </c>
      <c r="AD526" t="s">
        <v>238</v>
      </c>
      <c r="AE526">
        <v>2</v>
      </c>
      <c r="AF526">
        <v>15</v>
      </c>
      <c r="AI526">
        <v>0</v>
      </c>
      <c r="AJ526">
        <v>185</v>
      </c>
      <c r="AK526">
        <v>200</v>
      </c>
      <c r="AL526">
        <v>895</v>
      </c>
      <c r="AM526">
        <v>200</v>
      </c>
      <c r="AN526">
        <v>0</v>
      </c>
      <c r="AO526">
        <v>200</v>
      </c>
      <c r="AP526" t="s">
        <v>80</v>
      </c>
      <c r="AQ526" t="s">
        <v>176</v>
      </c>
      <c r="AR526" t="s">
        <v>86</v>
      </c>
      <c r="AS526" t="s">
        <v>86</v>
      </c>
      <c r="AT526" t="s">
        <v>86</v>
      </c>
      <c r="AU526" t="s">
        <v>86</v>
      </c>
      <c r="AV526" t="s">
        <v>799</v>
      </c>
      <c r="AW526" t="s">
        <v>69</v>
      </c>
      <c r="AX526" t="s">
        <v>1927</v>
      </c>
      <c r="AY526" t="s">
        <v>1928</v>
      </c>
      <c r="AZ526" t="s">
        <v>264</v>
      </c>
      <c r="BA526" t="s">
        <v>245</v>
      </c>
      <c r="BB526" t="s">
        <v>245</v>
      </c>
      <c r="BC526" t="s">
        <v>245</v>
      </c>
      <c r="BD526" t="s">
        <v>1934</v>
      </c>
      <c r="BE526" t="s">
        <v>1930</v>
      </c>
      <c r="BF526" t="s">
        <v>240</v>
      </c>
      <c r="BG526" t="s">
        <v>110</v>
      </c>
      <c r="BH526" t="str">
        <f>IF(COUNTIF(工作表1!A:A, $C526)&gt;0, "預購款", "非預購款")</f>
        <v>非預購款</v>
      </c>
    </row>
    <row r="527" spans="1:60" x14ac:dyDescent="0.25">
      <c r="A527" t="s">
        <v>1921</v>
      </c>
      <c r="B527" t="s">
        <v>488</v>
      </c>
      <c r="C527" t="s">
        <v>1922</v>
      </c>
      <c r="D527" t="s">
        <v>1923</v>
      </c>
      <c r="E527" t="s">
        <v>1924</v>
      </c>
      <c r="F527" t="s">
        <v>1631</v>
      </c>
      <c r="G527" t="s">
        <v>1925</v>
      </c>
      <c r="H527" t="s">
        <v>132</v>
      </c>
      <c r="I527" t="s">
        <v>88</v>
      </c>
      <c r="J527" t="s">
        <v>89</v>
      </c>
      <c r="K527" t="s">
        <v>69</v>
      </c>
      <c r="L527" t="s">
        <v>1926</v>
      </c>
      <c r="M527" t="s">
        <v>71</v>
      </c>
      <c r="N527" t="s">
        <v>100</v>
      </c>
      <c r="O527" t="s">
        <v>1900</v>
      </c>
      <c r="P527" t="s">
        <v>1901</v>
      </c>
      <c r="R527" t="s">
        <v>1902</v>
      </c>
      <c r="S527" t="s">
        <v>1893</v>
      </c>
      <c r="T527" t="s">
        <v>258</v>
      </c>
      <c r="U527" t="s">
        <v>383</v>
      </c>
      <c r="V527" t="s">
        <v>124</v>
      </c>
      <c r="W527">
        <v>690</v>
      </c>
      <c r="X527">
        <v>29.99</v>
      </c>
      <c r="Y527">
        <v>89</v>
      </c>
      <c r="Z527">
        <v>499000</v>
      </c>
      <c r="AA527">
        <v>617550</v>
      </c>
      <c r="AB527">
        <v>290</v>
      </c>
      <c r="AD527" t="s">
        <v>238</v>
      </c>
      <c r="AE527">
        <v>2</v>
      </c>
      <c r="AF527">
        <v>5</v>
      </c>
      <c r="AI527">
        <v>0</v>
      </c>
      <c r="AJ527">
        <v>80</v>
      </c>
      <c r="AK527">
        <v>85</v>
      </c>
      <c r="AL527">
        <v>895</v>
      </c>
      <c r="AM527">
        <v>88</v>
      </c>
      <c r="AN527">
        <v>0</v>
      </c>
      <c r="AO527">
        <v>88</v>
      </c>
      <c r="AP527" t="s">
        <v>80</v>
      </c>
      <c r="AQ527" t="s">
        <v>176</v>
      </c>
      <c r="AR527" t="s">
        <v>86</v>
      </c>
      <c r="AS527" t="s">
        <v>86</v>
      </c>
      <c r="AT527" t="s">
        <v>86</v>
      </c>
      <c r="AU527" t="s">
        <v>86</v>
      </c>
      <c r="AV527" t="s">
        <v>799</v>
      </c>
      <c r="AW527" t="s">
        <v>69</v>
      </c>
      <c r="AX527" t="s">
        <v>1927</v>
      </c>
      <c r="AY527" t="s">
        <v>1928</v>
      </c>
      <c r="AZ527" t="s">
        <v>264</v>
      </c>
      <c r="BA527" t="s">
        <v>245</v>
      </c>
      <c r="BB527" t="s">
        <v>245</v>
      </c>
      <c r="BC527" t="s">
        <v>245</v>
      </c>
      <c r="BD527" t="s">
        <v>1935</v>
      </c>
      <c r="BE527" t="s">
        <v>1930</v>
      </c>
      <c r="BF527" t="s">
        <v>240</v>
      </c>
      <c r="BG527" t="s">
        <v>110</v>
      </c>
      <c r="BH527" t="str">
        <f>IF(COUNTIF(工作表1!A:A, $C527)&gt;0, "預購款", "非預購款")</f>
        <v>非預購款</v>
      </c>
    </row>
    <row r="528" spans="1:60" x14ac:dyDescent="0.25">
      <c r="A528" t="s">
        <v>1937</v>
      </c>
      <c r="B528" t="s">
        <v>488</v>
      </c>
      <c r="C528" t="s">
        <v>1938</v>
      </c>
      <c r="D528" t="s">
        <v>1939</v>
      </c>
      <c r="E528" t="s">
        <v>1940</v>
      </c>
      <c r="F528" t="s">
        <v>1631</v>
      </c>
      <c r="G528" t="s">
        <v>1941</v>
      </c>
      <c r="H528" t="s">
        <v>273</v>
      </c>
      <c r="I528" t="s">
        <v>97</v>
      </c>
      <c r="J528" t="s">
        <v>98</v>
      </c>
      <c r="K528" t="s">
        <v>69</v>
      </c>
      <c r="L528" t="s">
        <v>744</v>
      </c>
      <c r="M528" t="s">
        <v>71</v>
      </c>
      <c r="N528" t="s">
        <v>100</v>
      </c>
      <c r="O528" t="s">
        <v>1900</v>
      </c>
      <c r="P528" t="s">
        <v>1901</v>
      </c>
      <c r="R528" t="s">
        <v>1902</v>
      </c>
      <c r="S528" t="s">
        <v>1893</v>
      </c>
      <c r="T528" t="s">
        <v>274</v>
      </c>
      <c r="U528" t="s">
        <v>104</v>
      </c>
      <c r="V528" t="s">
        <v>237</v>
      </c>
      <c r="W528">
        <v>490</v>
      </c>
      <c r="X528">
        <v>22.99</v>
      </c>
      <c r="Y528">
        <v>60</v>
      </c>
      <c r="Z528">
        <v>355000</v>
      </c>
      <c r="AA528">
        <v>98000</v>
      </c>
      <c r="AB528">
        <v>158</v>
      </c>
      <c r="AD528" t="s">
        <v>238</v>
      </c>
      <c r="AE528">
        <v>1</v>
      </c>
      <c r="AF528">
        <v>0</v>
      </c>
      <c r="AI528">
        <v>0</v>
      </c>
      <c r="AJ528">
        <v>80</v>
      </c>
      <c r="AK528">
        <v>80</v>
      </c>
      <c r="AL528">
        <v>200</v>
      </c>
      <c r="AM528">
        <v>84</v>
      </c>
      <c r="AN528">
        <v>2</v>
      </c>
      <c r="AO528">
        <v>86</v>
      </c>
      <c r="AP528" t="s">
        <v>80</v>
      </c>
      <c r="AQ528" t="s">
        <v>179</v>
      </c>
      <c r="AT528" t="s">
        <v>240</v>
      </c>
      <c r="AU528" t="s">
        <v>86</v>
      </c>
      <c r="AV528" t="s">
        <v>1942</v>
      </c>
      <c r="AW528" t="s">
        <v>69</v>
      </c>
      <c r="AX528" t="s">
        <v>1652</v>
      </c>
      <c r="AY528" t="s">
        <v>1943</v>
      </c>
      <c r="AZ528" t="s">
        <v>243</v>
      </c>
      <c r="BA528" t="s">
        <v>244</v>
      </c>
      <c r="BB528" t="s">
        <v>264</v>
      </c>
      <c r="BC528" t="s">
        <v>244</v>
      </c>
      <c r="BD528" t="s">
        <v>1944</v>
      </c>
      <c r="BE528" t="s">
        <v>1945</v>
      </c>
      <c r="BF528" t="s">
        <v>279</v>
      </c>
      <c r="BG528" t="s">
        <v>150</v>
      </c>
      <c r="BH528" t="str">
        <f>IF(COUNTIF(工作表1!A:A, $C528)&gt;0, "預購款", "非預購款")</f>
        <v>非預購款</v>
      </c>
    </row>
    <row r="529" spans="1:60" x14ac:dyDescent="0.25">
      <c r="A529" t="s">
        <v>1937</v>
      </c>
      <c r="B529" t="s">
        <v>488</v>
      </c>
      <c r="C529" t="s">
        <v>1938</v>
      </c>
      <c r="D529" t="s">
        <v>1939</v>
      </c>
      <c r="E529" t="s">
        <v>1940</v>
      </c>
      <c r="F529" t="s">
        <v>1631</v>
      </c>
      <c r="G529" t="s">
        <v>1941</v>
      </c>
      <c r="H529" t="s">
        <v>501</v>
      </c>
      <c r="I529" t="s">
        <v>97</v>
      </c>
      <c r="J529" t="s">
        <v>98</v>
      </c>
      <c r="K529" t="s">
        <v>69</v>
      </c>
      <c r="L529" t="s">
        <v>744</v>
      </c>
      <c r="M529" t="s">
        <v>71</v>
      </c>
      <c r="N529" t="s">
        <v>100</v>
      </c>
      <c r="O529" t="s">
        <v>1900</v>
      </c>
      <c r="P529" t="s">
        <v>1901</v>
      </c>
      <c r="R529" t="s">
        <v>1902</v>
      </c>
      <c r="S529" t="s">
        <v>1893</v>
      </c>
      <c r="T529" t="s">
        <v>274</v>
      </c>
      <c r="U529" t="s">
        <v>104</v>
      </c>
      <c r="V529" t="s">
        <v>237</v>
      </c>
      <c r="W529">
        <v>490</v>
      </c>
      <c r="X529">
        <v>22.99</v>
      </c>
      <c r="Y529">
        <v>60</v>
      </c>
      <c r="Z529">
        <v>355000</v>
      </c>
      <c r="AA529">
        <v>98000</v>
      </c>
      <c r="AB529">
        <v>158</v>
      </c>
      <c r="AD529" t="s">
        <v>238</v>
      </c>
      <c r="AE529">
        <v>1</v>
      </c>
      <c r="AF529">
        <v>0</v>
      </c>
      <c r="AI529">
        <v>0</v>
      </c>
      <c r="AJ529">
        <v>50</v>
      </c>
      <c r="AK529">
        <v>50</v>
      </c>
      <c r="AL529">
        <v>200</v>
      </c>
      <c r="AM529">
        <v>54</v>
      </c>
      <c r="AN529">
        <v>0</v>
      </c>
      <c r="AO529">
        <v>54</v>
      </c>
      <c r="AP529" t="s">
        <v>80</v>
      </c>
      <c r="AQ529" t="s">
        <v>179</v>
      </c>
      <c r="AT529" t="s">
        <v>240</v>
      </c>
      <c r="AU529" t="s">
        <v>86</v>
      </c>
      <c r="AV529" t="s">
        <v>1942</v>
      </c>
      <c r="AW529" t="s">
        <v>69</v>
      </c>
      <c r="AX529" t="s">
        <v>1652</v>
      </c>
      <c r="AY529" t="s">
        <v>1943</v>
      </c>
      <c r="AZ529" t="s">
        <v>243</v>
      </c>
      <c r="BA529" t="s">
        <v>244</v>
      </c>
      <c r="BB529" t="s">
        <v>264</v>
      </c>
      <c r="BC529" t="s">
        <v>244</v>
      </c>
      <c r="BD529" t="s">
        <v>1946</v>
      </c>
      <c r="BE529" t="s">
        <v>1945</v>
      </c>
      <c r="BF529" t="s">
        <v>279</v>
      </c>
      <c r="BG529" t="s">
        <v>150</v>
      </c>
      <c r="BH529" t="str">
        <f>IF(COUNTIF(工作表1!A:A, $C529)&gt;0, "預購款", "非預購款")</f>
        <v>非預購款</v>
      </c>
    </row>
    <row r="530" spans="1:60" x14ac:dyDescent="0.25">
      <c r="A530" t="s">
        <v>1937</v>
      </c>
      <c r="B530" t="s">
        <v>488</v>
      </c>
      <c r="C530" t="s">
        <v>1938</v>
      </c>
      <c r="D530" t="s">
        <v>1939</v>
      </c>
      <c r="E530" t="s">
        <v>1940</v>
      </c>
      <c r="F530" t="s">
        <v>1631</v>
      </c>
      <c r="G530" t="s">
        <v>1941</v>
      </c>
      <c r="H530" t="s">
        <v>280</v>
      </c>
      <c r="I530" t="s">
        <v>97</v>
      </c>
      <c r="J530" t="s">
        <v>98</v>
      </c>
      <c r="K530" t="s">
        <v>69</v>
      </c>
      <c r="L530" t="s">
        <v>744</v>
      </c>
      <c r="M530" t="s">
        <v>71</v>
      </c>
      <c r="N530" t="s">
        <v>100</v>
      </c>
      <c r="O530" t="s">
        <v>1900</v>
      </c>
      <c r="P530" t="s">
        <v>1901</v>
      </c>
      <c r="R530" t="s">
        <v>1902</v>
      </c>
      <c r="S530" t="s">
        <v>1893</v>
      </c>
      <c r="T530" t="s">
        <v>274</v>
      </c>
      <c r="U530" t="s">
        <v>104</v>
      </c>
      <c r="V530" t="s">
        <v>237</v>
      </c>
      <c r="W530">
        <v>490</v>
      </c>
      <c r="X530">
        <v>22.99</v>
      </c>
      <c r="Y530">
        <v>60</v>
      </c>
      <c r="Z530">
        <v>355000</v>
      </c>
      <c r="AA530">
        <v>98000</v>
      </c>
      <c r="AB530">
        <v>158</v>
      </c>
      <c r="AD530" t="s">
        <v>238</v>
      </c>
      <c r="AE530">
        <v>1</v>
      </c>
      <c r="AF530">
        <v>0</v>
      </c>
      <c r="AI530">
        <v>0</v>
      </c>
      <c r="AJ530">
        <v>70</v>
      </c>
      <c r="AK530">
        <v>70</v>
      </c>
      <c r="AL530">
        <v>200</v>
      </c>
      <c r="AM530">
        <v>77</v>
      </c>
      <c r="AN530">
        <v>0</v>
      </c>
      <c r="AO530">
        <v>77</v>
      </c>
      <c r="AP530" t="s">
        <v>80</v>
      </c>
      <c r="AQ530" t="s">
        <v>179</v>
      </c>
      <c r="AT530" t="s">
        <v>240</v>
      </c>
      <c r="AU530" t="s">
        <v>86</v>
      </c>
      <c r="AV530" t="s">
        <v>1942</v>
      </c>
      <c r="AW530" t="s">
        <v>69</v>
      </c>
      <c r="AX530" t="s">
        <v>1652</v>
      </c>
      <c r="AY530" t="s">
        <v>1943</v>
      </c>
      <c r="AZ530" t="s">
        <v>243</v>
      </c>
      <c r="BA530" t="s">
        <v>244</v>
      </c>
      <c r="BB530" t="s">
        <v>264</v>
      </c>
      <c r="BC530" t="s">
        <v>244</v>
      </c>
      <c r="BD530" t="s">
        <v>1947</v>
      </c>
      <c r="BE530" t="s">
        <v>1945</v>
      </c>
      <c r="BF530" t="s">
        <v>279</v>
      </c>
      <c r="BG530" t="s">
        <v>150</v>
      </c>
      <c r="BH530" t="str">
        <f>IF(COUNTIF(工作表1!A:A, $C530)&gt;0, "預購款", "非預購款")</f>
        <v>非預購款</v>
      </c>
    </row>
    <row r="531" spans="1:60" x14ac:dyDescent="0.25">
      <c r="A531" t="s">
        <v>396</v>
      </c>
      <c r="B531" t="s">
        <v>226</v>
      </c>
      <c r="C531" t="s">
        <v>397</v>
      </c>
      <c r="D531" t="s">
        <v>398</v>
      </c>
      <c r="E531" t="s">
        <v>399</v>
      </c>
      <c r="F531" t="s">
        <v>1631</v>
      </c>
      <c r="G531" t="s">
        <v>400</v>
      </c>
      <c r="H531" t="s">
        <v>119</v>
      </c>
      <c r="I531" t="s">
        <v>120</v>
      </c>
      <c r="J531" t="s">
        <v>121</v>
      </c>
      <c r="K531" t="s">
        <v>69</v>
      </c>
      <c r="L531" t="s">
        <v>401</v>
      </c>
      <c r="M531" t="s">
        <v>71</v>
      </c>
      <c r="N531" t="s">
        <v>72</v>
      </c>
      <c r="O531" t="s">
        <v>73</v>
      </c>
      <c r="P531" t="s">
        <v>74</v>
      </c>
      <c r="R531" t="s">
        <v>381</v>
      </c>
      <c r="S531" t="s">
        <v>1893</v>
      </c>
      <c r="T531" t="s">
        <v>76</v>
      </c>
      <c r="U531" t="s">
        <v>383</v>
      </c>
      <c r="V531" t="s">
        <v>384</v>
      </c>
      <c r="W531">
        <v>890</v>
      </c>
      <c r="X531">
        <v>39.99</v>
      </c>
      <c r="Y531">
        <v>115</v>
      </c>
      <c r="Z531">
        <v>639000</v>
      </c>
      <c r="AA531">
        <v>400500</v>
      </c>
      <c r="AB531">
        <v>528</v>
      </c>
      <c r="AD531" t="s">
        <v>238</v>
      </c>
      <c r="AE531">
        <v>2</v>
      </c>
      <c r="AF531">
        <v>0</v>
      </c>
      <c r="AI531">
        <v>0</v>
      </c>
      <c r="AJ531">
        <v>30</v>
      </c>
      <c r="AK531">
        <v>30</v>
      </c>
      <c r="AL531">
        <v>450</v>
      </c>
      <c r="AM531">
        <v>32</v>
      </c>
      <c r="AN531">
        <v>0</v>
      </c>
      <c r="AO531">
        <v>32</v>
      </c>
      <c r="AP531" t="s">
        <v>80</v>
      </c>
      <c r="AQ531" t="s">
        <v>1151</v>
      </c>
      <c r="AR531" t="s">
        <v>86</v>
      </c>
      <c r="AS531" t="s">
        <v>86</v>
      </c>
      <c r="AT531" t="s">
        <v>240</v>
      </c>
      <c r="AU531" t="s">
        <v>86</v>
      </c>
      <c r="AV531" t="s">
        <v>386</v>
      </c>
      <c r="AW531" t="s">
        <v>80</v>
      </c>
      <c r="AX531" t="s">
        <v>387</v>
      </c>
      <c r="AY531" t="s">
        <v>402</v>
      </c>
      <c r="AZ531" t="s">
        <v>243</v>
      </c>
      <c r="BA531" t="s">
        <v>243</v>
      </c>
      <c r="BB531" t="s">
        <v>245</v>
      </c>
      <c r="BC531" t="s">
        <v>244</v>
      </c>
      <c r="BD531" t="s">
        <v>405</v>
      </c>
      <c r="BE531" t="s">
        <v>1948</v>
      </c>
      <c r="BF531" t="s">
        <v>86</v>
      </c>
      <c r="BG531" t="s">
        <v>150</v>
      </c>
      <c r="BH531" t="str">
        <f>IF(COUNTIF(工作表1!A:A, $C531)&gt;0, "預購款", "非預購款")</f>
        <v>非預購款</v>
      </c>
    </row>
    <row r="532" spans="1:60" x14ac:dyDescent="0.25">
      <c r="A532" t="s">
        <v>396</v>
      </c>
      <c r="B532" t="s">
        <v>226</v>
      </c>
      <c r="C532" t="s">
        <v>397</v>
      </c>
      <c r="D532" t="s">
        <v>398</v>
      </c>
      <c r="E532" t="s">
        <v>399</v>
      </c>
      <c r="F532" t="s">
        <v>1631</v>
      </c>
      <c r="G532" t="s">
        <v>400</v>
      </c>
      <c r="H532" t="s">
        <v>130</v>
      </c>
      <c r="I532" t="s">
        <v>120</v>
      </c>
      <c r="J532" t="s">
        <v>121</v>
      </c>
      <c r="K532" t="s">
        <v>69</v>
      </c>
      <c r="L532" t="s">
        <v>401</v>
      </c>
      <c r="M532" t="s">
        <v>71</v>
      </c>
      <c r="N532" t="s">
        <v>72</v>
      </c>
      <c r="O532" t="s">
        <v>73</v>
      </c>
      <c r="P532" t="s">
        <v>74</v>
      </c>
      <c r="R532" t="s">
        <v>381</v>
      </c>
      <c r="S532" t="s">
        <v>1893</v>
      </c>
      <c r="T532" t="s">
        <v>76</v>
      </c>
      <c r="U532" t="s">
        <v>383</v>
      </c>
      <c r="V532" t="s">
        <v>384</v>
      </c>
      <c r="W532">
        <v>890</v>
      </c>
      <c r="X532">
        <v>39.99</v>
      </c>
      <c r="Y532">
        <v>115</v>
      </c>
      <c r="Z532">
        <v>639000</v>
      </c>
      <c r="AA532">
        <v>400500</v>
      </c>
      <c r="AB532">
        <v>528</v>
      </c>
      <c r="AD532" t="s">
        <v>238</v>
      </c>
      <c r="AE532">
        <v>2</v>
      </c>
      <c r="AF532">
        <v>0</v>
      </c>
      <c r="AI532">
        <v>80</v>
      </c>
      <c r="AJ532">
        <v>10</v>
      </c>
      <c r="AK532">
        <v>90</v>
      </c>
      <c r="AL532">
        <v>450</v>
      </c>
      <c r="AM532">
        <v>92</v>
      </c>
      <c r="AN532">
        <v>0</v>
      </c>
      <c r="AO532">
        <v>92</v>
      </c>
      <c r="AP532" t="s">
        <v>80</v>
      </c>
      <c r="AQ532" t="s">
        <v>1151</v>
      </c>
      <c r="AR532" t="s">
        <v>86</v>
      </c>
      <c r="AS532" t="s">
        <v>86</v>
      </c>
      <c r="AT532" t="s">
        <v>240</v>
      </c>
      <c r="AU532" t="s">
        <v>86</v>
      </c>
      <c r="AV532" t="s">
        <v>386</v>
      </c>
      <c r="AW532" t="s">
        <v>80</v>
      </c>
      <c r="AX532" t="s">
        <v>387</v>
      </c>
      <c r="AY532" t="s">
        <v>402</v>
      </c>
      <c r="AZ532" t="s">
        <v>243</v>
      </c>
      <c r="BA532" t="s">
        <v>243</v>
      </c>
      <c r="BB532" t="s">
        <v>245</v>
      </c>
      <c r="BC532" t="s">
        <v>244</v>
      </c>
      <c r="BD532" t="s">
        <v>407</v>
      </c>
      <c r="BE532" t="s">
        <v>1948</v>
      </c>
      <c r="BF532" t="s">
        <v>86</v>
      </c>
      <c r="BG532" t="s">
        <v>150</v>
      </c>
      <c r="BH532" t="str">
        <f>IF(COUNTIF(工作表1!A:A, $C532)&gt;0, "預購款", "非預購款")</f>
        <v>非預購款</v>
      </c>
    </row>
    <row r="533" spans="1:60" x14ac:dyDescent="0.25">
      <c r="A533" t="s">
        <v>396</v>
      </c>
      <c r="B533" t="s">
        <v>226</v>
      </c>
      <c r="C533" t="s">
        <v>397</v>
      </c>
      <c r="D533" t="s">
        <v>398</v>
      </c>
      <c r="E533" t="s">
        <v>399</v>
      </c>
      <c r="F533" t="s">
        <v>1631</v>
      </c>
      <c r="G533" t="s">
        <v>400</v>
      </c>
      <c r="H533" t="s">
        <v>132</v>
      </c>
      <c r="I533" t="s">
        <v>120</v>
      </c>
      <c r="J533" t="s">
        <v>121</v>
      </c>
      <c r="K533" t="s">
        <v>69</v>
      </c>
      <c r="L533" t="s">
        <v>401</v>
      </c>
      <c r="M533" t="s">
        <v>71</v>
      </c>
      <c r="N533" t="s">
        <v>72</v>
      </c>
      <c r="O533" t="s">
        <v>73</v>
      </c>
      <c r="P533" t="s">
        <v>74</v>
      </c>
      <c r="R533" t="s">
        <v>381</v>
      </c>
      <c r="S533" t="s">
        <v>1893</v>
      </c>
      <c r="T533" t="s">
        <v>76</v>
      </c>
      <c r="U533" t="s">
        <v>383</v>
      </c>
      <c r="V533" t="s">
        <v>384</v>
      </c>
      <c r="W533">
        <v>890</v>
      </c>
      <c r="X533">
        <v>39.99</v>
      </c>
      <c r="Y533">
        <v>115</v>
      </c>
      <c r="Z533">
        <v>639000</v>
      </c>
      <c r="AA533">
        <v>400500</v>
      </c>
      <c r="AB533">
        <v>528</v>
      </c>
      <c r="AD533" t="s">
        <v>238</v>
      </c>
      <c r="AE533">
        <v>2</v>
      </c>
      <c r="AF533">
        <v>0</v>
      </c>
      <c r="AI533">
        <v>20</v>
      </c>
      <c r="AJ533">
        <v>20</v>
      </c>
      <c r="AK533">
        <v>40</v>
      </c>
      <c r="AL533">
        <v>450</v>
      </c>
      <c r="AM533">
        <v>42</v>
      </c>
      <c r="AN533">
        <v>0</v>
      </c>
      <c r="AO533">
        <v>42</v>
      </c>
      <c r="AP533" t="s">
        <v>80</v>
      </c>
      <c r="AQ533" t="s">
        <v>1151</v>
      </c>
      <c r="AR533" t="s">
        <v>86</v>
      </c>
      <c r="AS533" t="s">
        <v>86</v>
      </c>
      <c r="AT533" t="s">
        <v>240</v>
      </c>
      <c r="AU533" t="s">
        <v>86</v>
      </c>
      <c r="AV533" t="s">
        <v>386</v>
      </c>
      <c r="AW533" t="s">
        <v>80</v>
      </c>
      <c r="AX533" t="s">
        <v>387</v>
      </c>
      <c r="AY533" t="s">
        <v>402</v>
      </c>
      <c r="AZ533" t="s">
        <v>243</v>
      </c>
      <c r="BA533" t="s">
        <v>243</v>
      </c>
      <c r="BB533" t="s">
        <v>245</v>
      </c>
      <c r="BC533" t="s">
        <v>244</v>
      </c>
      <c r="BD533" t="s">
        <v>408</v>
      </c>
      <c r="BE533" t="s">
        <v>1948</v>
      </c>
      <c r="BF533" t="s">
        <v>86</v>
      </c>
      <c r="BG533" t="s">
        <v>150</v>
      </c>
      <c r="BH533" t="str">
        <f>IF(COUNTIF(工作表1!A:A, $C533)&gt;0, "預購款", "非預購款")</f>
        <v>非預購款</v>
      </c>
    </row>
    <row r="534" spans="1:60" x14ac:dyDescent="0.25">
      <c r="A534" t="s">
        <v>396</v>
      </c>
      <c r="B534" t="s">
        <v>226</v>
      </c>
      <c r="C534" t="s">
        <v>397</v>
      </c>
      <c r="D534" t="s">
        <v>398</v>
      </c>
      <c r="E534" t="s">
        <v>399</v>
      </c>
      <c r="F534" t="s">
        <v>1631</v>
      </c>
      <c r="G534" t="s">
        <v>400</v>
      </c>
      <c r="H534" t="s">
        <v>379</v>
      </c>
      <c r="I534" t="s">
        <v>171</v>
      </c>
      <c r="J534" t="s">
        <v>172</v>
      </c>
      <c r="K534" t="s">
        <v>69</v>
      </c>
      <c r="L534" t="s">
        <v>401</v>
      </c>
      <c r="M534" t="s">
        <v>71</v>
      </c>
      <c r="N534" t="s">
        <v>72</v>
      </c>
      <c r="O534" t="s">
        <v>73</v>
      </c>
      <c r="P534" t="s">
        <v>74</v>
      </c>
      <c r="R534" t="s">
        <v>381</v>
      </c>
      <c r="S534" t="s">
        <v>1893</v>
      </c>
      <c r="T534" t="s">
        <v>76</v>
      </c>
      <c r="U534" t="s">
        <v>383</v>
      </c>
      <c r="V534" t="s">
        <v>384</v>
      </c>
      <c r="W534">
        <v>890</v>
      </c>
      <c r="X534">
        <v>39.99</v>
      </c>
      <c r="Y534">
        <v>115</v>
      </c>
      <c r="Z534">
        <v>639000</v>
      </c>
      <c r="AA534">
        <v>400500</v>
      </c>
      <c r="AB534">
        <v>528</v>
      </c>
      <c r="AD534" t="s">
        <v>238</v>
      </c>
      <c r="AE534">
        <v>2</v>
      </c>
      <c r="AF534">
        <v>0</v>
      </c>
      <c r="AI534">
        <v>10</v>
      </c>
      <c r="AJ534">
        <v>30</v>
      </c>
      <c r="AK534">
        <v>40</v>
      </c>
      <c r="AL534">
        <v>450</v>
      </c>
      <c r="AM534">
        <v>40</v>
      </c>
      <c r="AN534">
        <v>0</v>
      </c>
      <c r="AO534">
        <v>40</v>
      </c>
      <c r="AP534" t="s">
        <v>80</v>
      </c>
      <c r="AQ534" t="s">
        <v>1151</v>
      </c>
      <c r="AR534" t="s">
        <v>86</v>
      </c>
      <c r="AS534" t="s">
        <v>86</v>
      </c>
      <c r="AT534" t="s">
        <v>240</v>
      </c>
      <c r="AU534" t="s">
        <v>86</v>
      </c>
      <c r="AV534" t="s">
        <v>386</v>
      </c>
      <c r="AW534" t="s">
        <v>80</v>
      </c>
      <c r="AX534" t="s">
        <v>387</v>
      </c>
      <c r="AY534" t="s">
        <v>402</v>
      </c>
      <c r="AZ534" t="s">
        <v>243</v>
      </c>
      <c r="BA534" t="s">
        <v>243</v>
      </c>
      <c r="BB534" t="s">
        <v>245</v>
      </c>
      <c r="BC534" t="s">
        <v>244</v>
      </c>
      <c r="BD534" t="s">
        <v>506</v>
      </c>
      <c r="BE534" t="s">
        <v>1948</v>
      </c>
      <c r="BF534" t="s">
        <v>86</v>
      </c>
      <c r="BG534" t="s">
        <v>150</v>
      </c>
      <c r="BH534" t="str">
        <f>IF(COUNTIF(工作表1!A:A, $C534)&gt;0, "預購款", "非預購款")</f>
        <v>非預購款</v>
      </c>
    </row>
    <row r="535" spans="1:60" x14ac:dyDescent="0.25">
      <c r="A535" t="s">
        <v>396</v>
      </c>
      <c r="B535" t="s">
        <v>226</v>
      </c>
      <c r="C535" t="s">
        <v>397</v>
      </c>
      <c r="D535" t="s">
        <v>398</v>
      </c>
      <c r="E535" t="s">
        <v>399</v>
      </c>
      <c r="F535" t="s">
        <v>1631</v>
      </c>
      <c r="G535" t="s">
        <v>400</v>
      </c>
      <c r="H535" t="s">
        <v>119</v>
      </c>
      <c r="I535" t="s">
        <v>171</v>
      </c>
      <c r="J535" t="s">
        <v>172</v>
      </c>
      <c r="K535" t="s">
        <v>69</v>
      </c>
      <c r="L535" t="s">
        <v>401</v>
      </c>
      <c r="M535" t="s">
        <v>71</v>
      </c>
      <c r="N535" t="s">
        <v>72</v>
      </c>
      <c r="O535" t="s">
        <v>73</v>
      </c>
      <c r="P535" t="s">
        <v>74</v>
      </c>
      <c r="R535" t="s">
        <v>381</v>
      </c>
      <c r="S535" t="s">
        <v>1893</v>
      </c>
      <c r="T535" t="s">
        <v>76</v>
      </c>
      <c r="U535" t="s">
        <v>383</v>
      </c>
      <c r="V535" t="s">
        <v>384</v>
      </c>
      <c r="W535">
        <v>890</v>
      </c>
      <c r="X535">
        <v>39.99</v>
      </c>
      <c r="Y535">
        <v>115</v>
      </c>
      <c r="Z535">
        <v>639000</v>
      </c>
      <c r="AA535">
        <v>400500</v>
      </c>
      <c r="AB535">
        <v>528</v>
      </c>
      <c r="AD535" t="s">
        <v>238</v>
      </c>
      <c r="AE535">
        <v>2</v>
      </c>
      <c r="AF535">
        <v>0</v>
      </c>
      <c r="AI535">
        <v>0</v>
      </c>
      <c r="AJ535">
        <v>120</v>
      </c>
      <c r="AK535">
        <v>120</v>
      </c>
      <c r="AL535">
        <v>450</v>
      </c>
      <c r="AM535">
        <v>111</v>
      </c>
      <c r="AN535">
        <v>0</v>
      </c>
      <c r="AO535">
        <v>111</v>
      </c>
      <c r="AP535" t="s">
        <v>80</v>
      </c>
      <c r="AQ535" t="s">
        <v>1151</v>
      </c>
      <c r="AR535" t="s">
        <v>86</v>
      </c>
      <c r="AS535" t="s">
        <v>86</v>
      </c>
      <c r="AT535" t="s">
        <v>240</v>
      </c>
      <c r="AU535" t="s">
        <v>86</v>
      </c>
      <c r="AV535" t="s">
        <v>386</v>
      </c>
      <c r="AW535" t="s">
        <v>80</v>
      </c>
      <c r="AX535" t="s">
        <v>387</v>
      </c>
      <c r="AY535" t="s">
        <v>402</v>
      </c>
      <c r="AZ535" t="s">
        <v>243</v>
      </c>
      <c r="BA535" t="s">
        <v>243</v>
      </c>
      <c r="BB535" t="s">
        <v>245</v>
      </c>
      <c r="BC535" t="s">
        <v>244</v>
      </c>
      <c r="BD535" t="s">
        <v>507</v>
      </c>
      <c r="BE535" t="s">
        <v>1948</v>
      </c>
      <c r="BF535" t="s">
        <v>86</v>
      </c>
      <c r="BG535" t="s">
        <v>150</v>
      </c>
      <c r="BH535" t="str">
        <f>IF(COUNTIF(工作表1!A:A, $C535)&gt;0, "預購款", "非預購款")</f>
        <v>非預購款</v>
      </c>
    </row>
    <row r="536" spans="1:60" x14ac:dyDescent="0.25">
      <c r="A536" t="s">
        <v>396</v>
      </c>
      <c r="B536" t="s">
        <v>226</v>
      </c>
      <c r="C536" t="s">
        <v>397</v>
      </c>
      <c r="D536" t="s">
        <v>398</v>
      </c>
      <c r="E536" t="s">
        <v>399</v>
      </c>
      <c r="F536" t="s">
        <v>1631</v>
      </c>
      <c r="G536" t="s">
        <v>400</v>
      </c>
      <c r="H536" t="s">
        <v>392</v>
      </c>
      <c r="I536" t="s">
        <v>171</v>
      </c>
      <c r="J536" t="s">
        <v>172</v>
      </c>
      <c r="K536" t="s">
        <v>69</v>
      </c>
      <c r="L536" t="s">
        <v>401</v>
      </c>
      <c r="M536" t="s">
        <v>71</v>
      </c>
      <c r="N536" t="s">
        <v>72</v>
      </c>
      <c r="O536" t="s">
        <v>73</v>
      </c>
      <c r="P536" t="s">
        <v>74</v>
      </c>
      <c r="R536" t="s">
        <v>381</v>
      </c>
      <c r="S536" t="s">
        <v>1893</v>
      </c>
      <c r="T536" t="s">
        <v>76</v>
      </c>
      <c r="U536" t="s">
        <v>383</v>
      </c>
      <c r="V536" t="s">
        <v>384</v>
      </c>
      <c r="W536">
        <v>890</v>
      </c>
      <c r="X536">
        <v>39.99</v>
      </c>
      <c r="Y536">
        <v>115</v>
      </c>
      <c r="Z536">
        <v>639000</v>
      </c>
      <c r="AA536">
        <v>400500</v>
      </c>
      <c r="AB536">
        <v>528</v>
      </c>
      <c r="AD536" t="s">
        <v>238</v>
      </c>
      <c r="AE536">
        <v>2</v>
      </c>
      <c r="AF536">
        <v>0</v>
      </c>
      <c r="AI536">
        <v>30</v>
      </c>
      <c r="AJ536">
        <v>20</v>
      </c>
      <c r="AK536">
        <v>50</v>
      </c>
      <c r="AL536">
        <v>450</v>
      </c>
      <c r="AM536">
        <v>49</v>
      </c>
      <c r="AN536">
        <v>0</v>
      </c>
      <c r="AO536">
        <v>49</v>
      </c>
      <c r="AP536" t="s">
        <v>80</v>
      </c>
      <c r="AQ536" t="s">
        <v>1151</v>
      </c>
      <c r="AR536" t="s">
        <v>86</v>
      </c>
      <c r="AS536" t="s">
        <v>86</v>
      </c>
      <c r="AT536" t="s">
        <v>240</v>
      </c>
      <c r="AU536" t="s">
        <v>86</v>
      </c>
      <c r="AV536" t="s">
        <v>386</v>
      </c>
      <c r="AW536" t="s">
        <v>80</v>
      </c>
      <c r="AX536" t="s">
        <v>387</v>
      </c>
      <c r="AY536" t="s">
        <v>402</v>
      </c>
      <c r="AZ536" t="s">
        <v>243</v>
      </c>
      <c r="BA536" t="s">
        <v>243</v>
      </c>
      <c r="BB536" t="s">
        <v>245</v>
      </c>
      <c r="BC536" t="s">
        <v>244</v>
      </c>
      <c r="BD536" t="s">
        <v>508</v>
      </c>
      <c r="BE536" t="s">
        <v>1948</v>
      </c>
      <c r="BF536" t="s">
        <v>86</v>
      </c>
      <c r="BG536" t="s">
        <v>150</v>
      </c>
      <c r="BH536" t="str">
        <f>IF(COUNTIF(工作表1!A:A, $C536)&gt;0, "預購款", "非預購款")</f>
        <v>非預購款</v>
      </c>
    </row>
    <row r="537" spans="1:60" x14ac:dyDescent="0.25">
      <c r="A537" t="s">
        <v>396</v>
      </c>
      <c r="B537" t="s">
        <v>226</v>
      </c>
      <c r="C537" t="s">
        <v>397</v>
      </c>
      <c r="D537" t="s">
        <v>398</v>
      </c>
      <c r="E537" t="s">
        <v>399</v>
      </c>
      <c r="F537" t="s">
        <v>1631</v>
      </c>
      <c r="G537" t="s">
        <v>400</v>
      </c>
      <c r="H537" t="s">
        <v>130</v>
      </c>
      <c r="I537" t="s">
        <v>171</v>
      </c>
      <c r="J537" t="s">
        <v>172</v>
      </c>
      <c r="K537" t="s">
        <v>69</v>
      </c>
      <c r="L537" t="s">
        <v>401</v>
      </c>
      <c r="M537" t="s">
        <v>71</v>
      </c>
      <c r="N537" t="s">
        <v>72</v>
      </c>
      <c r="O537" t="s">
        <v>73</v>
      </c>
      <c r="P537" t="s">
        <v>74</v>
      </c>
      <c r="R537" t="s">
        <v>381</v>
      </c>
      <c r="S537" t="s">
        <v>1893</v>
      </c>
      <c r="T537" t="s">
        <v>76</v>
      </c>
      <c r="U537" t="s">
        <v>383</v>
      </c>
      <c r="V537" t="s">
        <v>384</v>
      </c>
      <c r="W537">
        <v>890</v>
      </c>
      <c r="X537">
        <v>39.99</v>
      </c>
      <c r="Y537">
        <v>115</v>
      </c>
      <c r="Z537">
        <v>639000</v>
      </c>
      <c r="AA537">
        <v>400500</v>
      </c>
      <c r="AB537">
        <v>528</v>
      </c>
      <c r="AD537" t="s">
        <v>238</v>
      </c>
      <c r="AE537">
        <v>2</v>
      </c>
      <c r="AF537">
        <v>0</v>
      </c>
      <c r="AI537">
        <v>0</v>
      </c>
      <c r="AJ537">
        <v>35</v>
      </c>
      <c r="AK537">
        <v>35</v>
      </c>
      <c r="AL537">
        <v>450</v>
      </c>
      <c r="AM537">
        <v>32</v>
      </c>
      <c r="AN537">
        <v>0</v>
      </c>
      <c r="AO537">
        <v>32</v>
      </c>
      <c r="AP537" t="s">
        <v>80</v>
      </c>
      <c r="AQ537" t="s">
        <v>1151</v>
      </c>
      <c r="AR537" t="s">
        <v>86</v>
      </c>
      <c r="AS537" t="s">
        <v>86</v>
      </c>
      <c r="AT537" t="s">
        <v>240</v>
      </c>
      <c r="AU537" t="s">
        <v>86</v>
      </c>
      <c r="AV537" t="s">
        <v>386</v>
      </c>
      <c r="AW537" t="s">
        <v>80</v>
      </c>
      <c r="AX537" t="s">
        <v>387</v>
      </c>
      <c r="AY537" t="s">
        <v>402</v>
      </c>
      <c r="AZ537" t="s">
        <v>243</v>
      </c>
      <c r="BA537" t="s">
        <v>243</v>
      </c>
      <c r="BB537" t="s">
        <v>245</v>
      </c>
      <c r="BC537" t="s">
        <v>244</v>
      </c>
      <c r="BD537" t="s">
        <v>509</v>
      </c>
      <c r="BE537" t="s">
        <v>1948</v>
      </c>
      <c r="BF537" t="s">
        <v>86</v>
      </c>
      <c r="BG537" t="s">
        <v>150</v>
      </c>
      <c r="BH537" t="str">
        <f>IF(COUNTIF(工作表1!A:A, $C537)&gt;0, "預購款", "非預購款")</f>
        <v>非預購款</v>
      </c>
    </row>
    <row r="538" spans="1:60" x14ac:dyDescent="0.25">
      <c r="A538" t="s">
        <v>396</v>
      </c>
      <c r="B538" t="s">
        <v>226</v>
      </c>
      <c r="C538" t="s">
        <v>397</v>
      </c>
      <c r="D538" t="s">
        <v>398</v>
      </c>
      <c r="E538" t="s">
        <v>399</v>
      </c>
      <c r="F538" t="s">
        <v>1631</v>
      </c>
      <c r="G538" t="s">
        <v>400</v>
      </c>
      <c r="H538" t="s">
        <v>132</v>
      </c>
      <c r="I538" t="s">
        <v>171</v>
      </c>
      <c r="J538" t="s">
        <v>172</v>
      </c>
      <c r="K538" t="s">
        <v>69</v>
      </c>
      <c r="L538" t="s">
        <v>401</v>
      </c>
      <c r="M538" t="s">
        <v>71</v>
      </c>
      <c r="N538" t="s">
        <v>72</v>
      </c>
      <c r="O538" t="s">
        <v>73</v>
      </c>
      <c r="P538" t="s">
        <v>74</v>
      </c>
      <c r="R538" t="s">
        <v>381</v>
      </c>
      <c r="S538" t="s">
        <v>1893</v>
      </c>
      <c r="T538" t="s">
        <v>76</v>
      </c>
      <c r="U538" t="s">
        <v>383</v>
      </c>
      <c r="V538" t="s">
        <v>384</v>
      </c>
      <c r="W538">
        <v>890</v>
      </c>
      <c r="X538">
        <v>39.99</v>
      </c>
      <c r="Y538">
        <v>115</v>
      </c>
      <c r="Z538">
        <v>639000</v>
      </c>
      <c r="AA538">
        <v>400500</v>
      </c>
      <c r="AB538">
        <v>528</v>
      </c>
      <c r="AD538" t="s">
        <v>238</v>
      </c>
      <c r="AE538">
        <v>2</v>
      </c>
      <c r="AF538">
        <v>0</v>
      </c>
      <c r="AI538">
        <v>0</v>
      </c>
      <c r="AJ538">
        <v>25</v>
      </c>
      <c r="AK538">
        <v>25</v>
      </c>
      <c r="AL538">
        <v>450</v>
      </c>
      <c r="AM538">
        <v>24</v>
      </c>
      <c r="AN538">
        <v>0</v>
      </c>
      <c r="AO538">
        <v>24</v>
      </c>
      <c r="AP538" t="s">
        <v>80</v>
      </c>
      <c r="AQ538" t="s">
        <v>1151</v>
      </c>
      <c r="AR538" t="s">
        <v>86</v>
      </c>
      <c r="AS538" t="s">
        <v>86</v>
      </c>
      <c r="AT538" t="s">
        <v>240</v>
      </c>
      <c r="AU538" t="s">
        <v>86</v>
      </c>
      <c r="AV538" t="s">
        <v>386</v>
      </c>
      <c r="AW538" t="s">
        <v>80</v>
      </c>
      <c r="AX538" t="s">
        <v>387</v>
      </c>
      <c r="AY538" t="s">
        <v>402</v>
      </c>
      <c r="AZ538" t="s">
        <v>243</v>
      </c>
      <c r="BA538" t="s">
        <v>243</v>
      </c>
      <c r="BB538" t="s">
        <v>245</v>
      </c>
      <c r="BC538" t="s">
        <v>244</v>
      </c>
      <c r="BD538" t="s">
        <v>510</v>
      </c>
      <c r="BE538" t="s">
        <v>1948</v>
      </c>
      <c r="BF538" t="s">
        <v>86</v>
      </c>
      <c r="BG538" t="s">
        <v>150</v>
      </c>
      <c r="BH538" t="str">
        <f>IF(COUNTIF(工作表1!A:A, $C538)&gt;0, "預購款", "非預購款")</f>
        <v>非預購款</v>
      </c>
    </row>
    <row r="539" spans="1:60" x14ac:dyDescent="0.25">
      <c r="A539" t="s">
        <v>1949</v>
      </c>
      <c r="B539" t="s">
        <v>226</v>
      </c>
      <c r="C539" t="s">
        <v>1950</v>
      </c>
      <c r="D539" t="s">
        <v>1951</v>
      </c>
      <c r="E539" t="s">
        <v>1952</v>
      </c>
      <c r="F539" t="s">
        <v>1631</v>
      </c>
      <c r="G539" t="s">
        <v>1953</v>
      </c>
      <c r="H539" t="s">
        <v>119</v>
      </c>
      <c r="I539" t="s">
        <v>120</v>
      </c>
      <c r="J539" t="s">
        <v>121</v>
      </c>
      <c r="K539" t="s">
        <v>69</v>
      </c>
      <c r="L539" t="s">
        <v>1954</v>
      </c>
      <c r="M539" t="s">
        <v>71</v>
      </c>
      <c r="N539" t="s">
        <v>100</v>
      </c>
      <c r="O539" t="s">
        <v>1900</v>
      </c>
      <c r="P539" t="s">
        <v>1901</v>
      </c>
      <c r="R539" t="s">
        <v>1902</v>
      </c>
      <c r="S539" t="s">
        <v>1893</v>
      </c>
      <c r="T539" t="s">
        <v>76</v>
      </c>
      <c r="U539" t="s">
        <v>104</v>
      </c>
      <c r="V539" t="s">
        <v>1936</v>
      </c>
      <c r="W539">
        <v>590</v>
      </c>
      <c r="X539">
        <v>29.99</v>
      </c>
      <c r="Y539">
        <v>75</v>
      </c>
      <c r="Z539">
        <v>429000</v>
      </c>
      <c r="AA539">
        <v>578200</v>
      </c>
      <c r="AB539">
        <v>206</v>
      </c>
      <c r="AD539" t="s">
        <v>238</v>
      </c>
      <c r="AE539">
        <v>2</v>
      </c>
      <c r="AF539">
        <v>15</v>
      </c>
      <c r="AI539">
        <v>20</v>
      </c>
      <c r="AJ539">
        <v>120</v>
      </c>
      <c r="AK539">
        <v>155</v>
      </c>
      <c r="AL539">
        <v>980</v>
      </c>
      <c r="AM539">
        <v>164</v>
      </c>
      <c r="AN539">
        <v>0</v>
      </c>
      <c r="AO539">
        <v>164</v>
      </c>
      <c r="AP539" t="s">
        <v>80</v>
      </c>
      <c r="AQ539" t="s">
        <v>187</v>
      </c>
      <c r="AR539" t="s">
        <v>86</v>
      </c>
      <c r="AS539" t="s">
        <v>86</v>
      </c>
      <c r="AT539" t="s">
        <v>240</v>
      </c>
      <c r="AU539" t="s">
        <v>240</v>
      </c>
      <c r="AV539" t="s">
        <v>1955</v>
      </c>
      <c r="AW539" t="s">
        <v>69</v>
      </c>
      <c r="AX539" t="s">
        <v>106</v>
      </c>
      <c r="AY539" t="s">
        <v>1956</v>
      </c>
      <c r="AZ539" t="s">
        <v>243</v>
      </c>
      <c r="BA539" t="s">
        <v>244</v>
      </c>
      <c r="BB539" t="s">
        <v>244</v>
      </c>
      <c r="BC539" t="s">
        <v>244</v>
      </c>
      <c r="BD539" t="s">
        <v>1957</v>
      </c>
      <c r="BE539" t="s">
        <v>1958</v>
      </c>
      <c r="BF539" t="s">
        <v>86</v>
      </c>
      <c r="BG539" t="s">
        <v>150</v>
      </c>
      <c r="BH539" t="str">
        <f>IF(COUNTIF(工作表1!A:A, $C539)&gt;0, "預購款", "非預購款")</f>
        <v>非預購款</v>
      </c>
    </row>
    <row r="540" spans="1:60" x14ac:dyDescent="0.25">
      <c r="A540" t="s">
        <v>1949</v>
      </c>
      <c r="B540" t="s">
        <v>226</v>
      </c>
      <c r="C540" t="s">
        <v>1950</v>
      </c>
      <c r="D540" t="s">
        <v>1951</v>
      </c>
      <c r="E540" t="s">
        <v>1952</v>
      </c>
      <c r="F540" t="s">
        <v>1631</v>
      </c>
      <c r="G540" t="s">
        <v>1953</v>
      </c>
      <c r="H540" t="s">
        <v>130</v>
      </c>
      <c r="I540" t="s">
        <v>120</v>
      </c>
      <c r="J540" t="s">
        <v>121</v>
      </c>
      <c r="K540" t="s">
        <v>69</v>
      </c>
      <c r="L540" t="s">
        <v>1954</v>
      </c>
      <c r="M540" t="s">
        <v>71</v>
      </c>
      <c r="N540" t="s">
        <v>100</v>
      </c>
      <c r="O540" t="s">
        <v>1900</v>
      </c>
      <c r="P540" t="s">
        <v>1901</v>
      </c>
      <c r="R540" t="s">
        <v>1902</v>
      </c>
      <c r="S540" t="s">
        <v>1893</v>
      </c>
      <c r="T540" t="s">
        <v>76</v>
      </c>
      <c r="U540" t="s">
        <v>104</v>
      </c>
      <c r="V540" t="s">
        <v>1936</v>
      </c>
      <c r="W540">
        <v>590</v>
      </c>
      <c r="X540">
        <v>29.99</v>
      </c>
      <c r="Y540">
        <v>75</v>
      </c>
      <c r="Z540">
        <v>429000</v>
      </c>
      <c r="AA540">
        <v>578200</v>
      </c>
      <c r="AB540">
        <v>206</v>
      </c>
      <c r="AD540" t="s">
        <v>238</v>
      </c>
      <c r="AE540">
        <v>2</v>
      </c>
      <c r="AF540">
        <v>10</v>
      </c>
      <c r="AI540">
        <v>30</v>
      </c>
      <c r="AJ540">
        <v>170</v>
      </c>
      <c r="AK540">
        <v>210</v>
      </c>
      <c r="AL540">
        <v>980</v>
      </c>
      <c r="AM540">
        <v>216</v>
      </c>
      <c r="AN540">
        <v>0</v>
      </c>
      <c r="AO540">
        <v>216</v>
      </c>
      <c r="AP540" t="s">
        <v>80</v>
      </c>
      <c r="AQ540" t="s">
        <v>187</v>
      </c>
      <c r="AR540" t="s">
        <v>86</v>
      </c>
      <c r="AS540" t="s">
        <v>86</v>
      </c>
      <c r="AT540" t="s">
        <v>240</v>
      </c>
      <c r="AU540" t="s">
        <v>240</v>
      </c>
      <c r="AV540" t="s">
        <v>1955</v>
      </c>
      <c r="AW540" t="s">
        <v>69</v>
      </c>
      <c r="AX540" t="s">
        <v>106</v>
      </c>
      <c r="AY540" t="s">
        <v>1956</v>
      </c>
      <c r="AZ540" t="s">
        <v>243</v>
      </c>
      <c r="BA540" t="s">
        <v>244</v>
      </c>
      <c r="BB540" t="s">
        <v>244</v>
      </c>
      <c r="BC540" t="s">
        <v>244</v>
      </c>
      <c r="BD540" t="s">
        <v>1959</v>
      </c>
      <c r="BE540" t="s">
        <v>1958</v>
      </c>
      <c r="BF540" t="s">
        <v>86</v>
      </c>
      <c r="BG540" t="s">
        <v>150</v>
      </c>
      <c r="BH540" t="str">
        <f>IF(COUNTIF(工作表1!A:A, $C540)&gt;0, "預購款", "非預購款")</f>
        <v>非預購款</v>
      </c>
    </row>
    <row r="541" spans="1:60" x14ac:dyDescent="0.25">
      <c r="A541" t="s">
        <v>1949</v>
      </c>
      <c r="B541" t="s">
        <v>226</v>
      </c>
      <c r="C541" t="s">
        <v>1950</v>
      </c>
      <c r="D541" t="s">
        <v>1951</v>
      </c>
      <c r="E541" t="s">
        <v>1952</v>
      </c>
      <c r="F541" t="s">
        <v>1631</v>
      </c>
      <c r="G541" t="s">
        <v>1953</v>
      </c>
      <c r="H541" t="s">
        <v>132</v>
      </c>
      <c r="I541" t="s">
        <v>120</v>
      </c>
      <c r="J541" t="s">
        <v>121</v>
      </c>
      <c r="K541" t="s">
        <v>69</v>
      </c>
      <c r="L541" t="s">
        <v>1954</v>
      </c>
      <c r="M541" t="s">
        <v>71</v>
      </c>
      <c r="N541" t="s">
        <v>100</v>
      </c>
      <c r="O541" t="s">
        <v>1900</v>
      </c>
      <c r="P541" t="s">
        <v>1901</v>
      </c>
      <c r="R541" t="s">
        <v>1902</v>
      </c>
      <c r="S541" t="s">
        <v>1893</v>
      </c>
      <c r="T541" t="s">
        <v>76</v>
      </c>
      <c r="U541" t="s">
        <v>104</v>
      </c>
      <c r="V541" t="s">
        <v>1936</v>
      </c>
      <c r="W541">
        <v>590</v>
      </c>
      <c r="X541">
        <v>29.99</v>
      </c>
      <c r="Y541">
        <v>75</v>
      </c>
      <c r="Z541">
        <v>429000</v>
      </c>
      <c r="AA541">
        <v>578200</v>
      </c>
      <c r="AB541">
        <v>206</v>
      </c>
      <c r="AD541" t="s">
        <v>238</v>
      </c>
      <c r="AE541">
        <v>2</v>
      </c>
      <c r="AF541">
        <v>5</v>
      </c>
      <c r="AI541">
        <v>10</v>
      </c>
      <c r="AJ541">
        <v>90</v>
      </c>
      <c r="AK541">
        <v>105</v>
      </c>
      <c r="AL541">
        <v>980</v>
      </c>
      <c r="AM541">
        <v>117</v>
      </c>
      <c r="AN541">
        <v>0</v>
      </c>
      <c r="AO541">
        <v>117</v>
      </c>
      <c r="AP541" t="s">
        <v>80</v>
      </c>
      <c r="AQ541" t="s">
        <v>187</v>
      </c>
      <c r="AR541" t="s">
        <v>86</v>
      </c>
      <c r="AS541" t="s">
        <v>86</v>
      </c>
      <c r="AT541" t="s">
        <v>240</v>
      </c>
      <c r="AU541" t="s">
        <v>240</v>
      </c>
      <c r="AV541" t="s">
        <v>1955</v>
      </c>
      <c r="AW541" t="s">
        <v>69</v>
      </c>
      <c r="AX541" t="s">
        <v>106</v>
      </c>
      <c r="AY541" t="s">
        <v>1956</v>
      </c>
      <c r="AZ541" t="s">
        <v>243</v>
      </c>
      <c r="BA541" t="s">
        <v>244</v>
      </c>
      <c r="BB541" t="s">
        <v>244</v>
      </c>
      <c r="BC541" t="s">
        <v>244</v>
      </c>
      <c r="BD541" t="s">
        <v>1960</v>
      </c>
      <c r="BE541" t="s">
        <v>1958</v>
      </c>
      <c r="BF541" t="s">
        <v>86</v>
      </c>
      <c r="BG541" t="s">
        <v>150</v>
      </c>
      <c r="BH541" t="str">
        <f>IF(COUNTIF(工作表1!A:A, $C541)&gt;0, "預購款", "非預購款")</f>
        <v>非預購款</v>
      </c>
    </row>
    <row r="542" spans="1:60" x14ac:dyDescent="0.25">
      <c r="A542" t="s">
        <v>1949</v>
      </c>
      <c r="B542" t="s">
        <v>226</v>
      </c>
      <c r="C542" t="s">
        <v>1950</v>
      </c>
      <c r="D542" t="s">
        <v>1951</v>
      </c>
      <c r="E542" t="s">
        <v>1952</v>
      </c>
      <c r="F542" t="s">
        <v>1631</v>
      </c>
      <c r="G542" t="s">
        <v>1953</v>
      </c>
      <c r="H542" t="s">
        <v>119</v>
      </c>
      <c r="I542" t="s">
        <v>97</v>
      </c>
      <c r="J542" t="s">
        <v>98</v>
      </c>
      <c r="K542" t="s">
        <v>69</v>
      </c>
      <c r="L542" t="s">
        <v>1954</v>
      </c>
      <c r="M542" t="s">
        <v>71</v>
      </c>
      <c r="N542" t="s">
        <v>100</v>
      </c>
      <c r="O542" t="s">
        <v>1900</v>
      </c>
      <c r="P542" t="s">
        <v>1901</v>
      </c>
      <c r="R542" t="s">
        <v>1902</v>
      </c>
      <c r="S542" t="s">
        <v>1893</v>
      </c>
      <c r="T542" t="s">
        <v>76</v>
      </c>
      <c r="U542" t="s">
        <v>104</v>
      </c>
      <c r="V542" t="s">
        <v>1936</v>
      </c>
      <c r="W542">
        <v>590</v>
      </c>
      <c r="X542">
        <v>29.99</v>
      </c>
      <c r="Y542">
        <v>75</v>
      </c>
      <c r="Z542">
        <v>429000</v>
      </c>
      <c r="AA542">
        <v>578200</v>
      </c>
      <c r="AB542">
        <v>206</v>
      </c>
      <c r="AD542" t="s">
        <v>238</v>
      </c>
      <c r="AE542">
        <v>2</v>
      </c>
      <c r="AF542">
        <v>15</v>
      </c>
      <c r="AI542">
        <v>70</v>
      </c>
      <c r="AJ542">
        <v>190</v>
      </c>
      <c r="AK542">
        <v>275</v>
      </c>
      <c r="AL542">
        <v>980</v>
      </c>
      <c r="AM542">
        <v>288</v>
      </c>
      <c r="AN542">
        <v>0</v>
      </c>
      <c r="AO542">
        <v>288</v>
      </c>
      <c r="AP542" t="s">
        <v>80</v>
      </c>
      <c r="AQ542" t="s">
        <v>187</v>
      </c>
      <c r="AR542" t="s">
        <v>86</v>
      </c>
      <c r="AS542" t="s">
        <v>86</v>
      </c>
      <c r="AT542" t="s">
        <v>240</v>
      </c>
      <c r="AU542" t="s">
        <v>240</v>
      </c>
      <c r="AV542" t="s">
        <v>1955</v>
      </c>
      <c r="AW542" t="s">
        <v>69</v>
      </c>
      <c r="AX542" t="s">
        <v>106</v>
      </c>
      <c r="AY542" t="s">
        <v>1956</v>
      </c>
      <c r="AZ542" t="s">
        <v>243</v>
      </c>
      <c r="BA542" t="s">
        <v>244</v>
      </c>
      <c r="BB542" t="s">
        <v>244</v>
      </c>
      <c r="BC542" t="s">
        <v>244</v>
      </c>
      <c r="BD542" t="s">
        <v>1961</v>
      </c>
      <c r="BE542" t="s">
        <v>1958</v>
      </c>
      <c r="BF542" t="s">
        <v>86</v>
      </c>
      <c r="BG542" t="s">
        <v>150</v>
      </c>
      <c r="BH542" t="str">
        <f>IF(COUNTIF(工作表1!A:A, $C542)&gt;0, "預購款", "非預購款")</f>
        <v>非預購款</v>
      </c>
    </row>
    <row r="543" spans="1:60" x14ac:dyDescent="0.25">
      <c r="A543" t="s">
        <v>1949</v>
      </c>
      <c r="B543" t="s">
        <v>226</v>
      </c>
      <c r="C543" t="s">
        <v>1950</v>
      </c>
      <c r="D543" t="s">
        <v>1951</v>
      </c>
      <c r="E543" t="s">
        <v>1952</v>
      </c>
      <c r="F543" t="s">
        <v>1631</v>
      </c>
      <c r="G543" t="s">
        <v>1953</v>
      </c>
      <c r="H543" t="s">
        <v>130</v>
      </c>
      <c r="I543" t="s">
        <v>97</v>
      </c>
      <c r="J543" t="s">
        <v>98</v>
      </c>
      <c r="K543" t="s">
        <v>69</v>
      </c>
      <c r="L543" t="s">
        <v>1954</v>
      </c>
      <c r="M543" t="s">
        <v>71</v>
      </c>
      <c r="N543" t="s">
        <v>100</v>
      </c>
      <c r="O543" t="s">
        <v>1900</v>
      </c>
      <c r="P543" t="s">
        <v>1901</v>
      </c>
      <c r="R543" t="s">
        <v>1902</v>
      </c>
      <c r="S543" t="s">
        <v>1893</v>
      </c>
      <c r="T543" t="s">
        <v>76</v>
      </c>
      <c r="U543" t="s">
        <v>104</v>
      </c>
      <c r="V543" t="s">
        <v>1936</v>
      </c>
      <c r="W543">
        <v>590</v>
      </c>
      <c r="X543">
        <v>29.99</v>
      </c>
      <c r="Y543">
        <v>75</v>
      </c>
      <c r="Z543">
        <v>429000</v>
      </c>
      <c r="AA543">
        <v>578200</v>
      </c>
      <c r="AB543">
        <v>206</v>
      </c>
      <c r="AD543" t="s">
        <v>238</v>
      </c>
      <c r="AE543">
        <v>2</v>
      </c>
      <c r="AF543">
        <v>10</v>
      </c>
      <c r="AI543">
        <v>30</v>
      </c>
      <c r="AJ543">
        <v>135</v>
      </c>
      <c r="AK543">
        <v>175</v>
      </c>
      <c r="AL543">
        <v>980</v>
      </c>
      <c r="AM543">
        <v>178</v>
      </c>
      <c r="AN543">
        <v>0</v>
      </c>
      <c r="AO543">
        <v>178</v>
      </c>
      <c r="AP543" t="s">
        <v>80</v>
      </c>
      <c r="AQ543" t="s">
        <v>187</v>
      </c>
      <c r="AR543" t="s">
        <v>86</v>
      </c>
      <c r="AS543" t="s">
        <v>86</v>
      </c>
      <c r="AT543" t="s">
        <v>240</v>
      </c>
      <c r="AU543" t="s">
        <v>240</v>
      </c>
      <c r="AV543" t="s">
        <v>1955</v>
      </c>
      <c r="AW543" t="s">
        <v>69</v>
      </c>
      <c r="AX543" t="s">
        <v>106</v>
      </c>
      <c r="AY543" t="s">
        <v>1956</v>
      </c>
      <c r="AZ543" t="s">
        <v>243</v>
      </c>
      <c r="BA543" t="s">
        <v>244</v>
      </c>
      <c r="BB543" t="s">
        <v>244</v>
      </c>
      <c r="BC543" t="s">
        <v>244</v>
      </c>
      <c r="BD543" t="s">
        <v>1962</v>
      </c>
      <c r="BE543" t="s">
        <v>1958</v>
      </c>
      <c r="BF543" t="s">
        <v>86</v>
      </c>
      <c r="BG543" t="s">
        <v>150</v>
      </c>
      <c r="BH543" t="str">
        <f>IF(COUNTIF(工作表1!A:A, $C543)&gt;0, "預購款", "非預購款")</f>
        <v>非預購款</v>
      </c>
    </row>
    <row r="544" spans="1:60" x14ac:dyDescent="0.25">
      <c r="A544" t="s">
        <v>1949</v>
      </c>
      <c r="B544" t="s">
        <v>226</v>
      </c>
      <c r="C544" t="s">
        <v>1950</v>
      </c>
      <c r="D544" t="s">
        <v>1951</v>
      </c>
      <c r="E544" t="s">
        <v>1952</v>
      </c>
      <c r="F544" t="s">
        <v>1631</v>
      </c>
      <c r="G544" t="s">
        <v>1953</v>
      </c>
      <c r="H544" t="s">
        <v>132</v>
      </c>
      <c r="I544" t="s">
        <v>97</v>
      </c>
      <c r="J544" t="s">
        <v>98</v>
      </c>
      <c r="K544" t="s">
        <v>69</v>
      </c>
      <c r="L544" t="s">
        <v>1954</v>
      </c>
      <c r="M544" t="s">
        <v>71</v>
      </c>
      <c r="N544" t="s">
        <v>100</v>
      </c>
      <c r="O544" t="s">
        <v>1900</v>
      </c>
      <c r="P544" t="s">
        <v>1901</v>
      </c>
      <c r="R544" t="s">
        <v>1902</v>
      </c>
      <c r="S544" t="s">
        <v>1893</v>
      </c>
      <c r="T544" t="s">
        <v>76</v>
      </c>
      <c r="U544" t="s">
        <v>104</v>
      </c>
      <c r="V544" t="s">
        <v>1936</v>
      </c>
      <c r="W544">
        <v>590</v>
      </c>
      <c r="X544">
        <v>29.99</v>
      </c>
      <c r="Y544">
        <v>75</v>
      </c>
      <c r="Z544">
        <v>429000</v>
      </c>
      <c r="AA544">
        <v>578200</v>
      </c>
      <c r="AB544">
        <v>206</v>
      </c>
      <c r="AD544" t="s">
        <v>238</v>
      </c>
      <c r="AE544">
        <v>2</v>
      </c>
      <c r="AF544">
        <v>5</v>
      </c>
      <c r="AI544">
        <v>10</v>
      </c>
      <c r="AJ544">
        <v>45</v>
      </c>
      <c r="AK544">
        <v>60</v>
      </c>
      <c r="AL544">
        <v>980</v>
      </c>
      <c r="AM544">
        <v>67</v>
      </c>
      <c r="AN544">
        <v>0</v>
      </c>
      <c r="AO544">
        <v>67</v>
      </c>
      <c r="AP544" t="s">
        <v>80</v>
      </c>
      <c r="AQ544" t="s">
        <v>187</v>
      </c>
      <c r="AR544" t="s">
        <v>86</v>
      </c>
      <c r="AS544" t="s">
        <v>86</v>
      </c>
      <c r="AT544" t="s">
        <v>240</v>
      </c>
      <c r="AU544" t="s">
        <v>240</v>
      </c>
      <c r="AV544" t="s">
        <v>1955</v>
      </c>
      <c r="AW544" t="s">
        <v>69</v>
      </c>
      <c r="AX544" t="s">
        <v>106</v>
      </c>
      <c r="AY544" t="s">
        <v>1956</v>
      </c>
      <c r="AZ544" t="s">
        <v>243</v>
      </c>
      <c r="BA544" t="s">
        <v>244</v>
      </c>
      <c r="BB544" t="s">
        <v>244</v>
      </c>
      <c r="BC544" t="s">
        <v>244</v>
      </c>
      <c r="BD544" t="s">
        <v>1963</v>
      </c>
      <c r="BE544" t="s">
        <v>1958</v>
      </c>
      <c r="BF544" t="s">
        <v>86</v>
      </c>
      <c r="BG544" t="s">
        <v>150</v>
      </c>
      <c r="BH544" t="str">
        <f>IF(COUNTIF(工作表1!A:A, $C544)&gt;0, "預購款", "非預購款")</f>
        <v>非預購款</v>
      </c>
    </row>
    <row r="545" spans="1:60" x14ac:dyDescent="0.25">
      <c r="A545" t="s">
        <v>1746</v>
      </c>
      <c r="B545" t="s">
        <v>226</v>
      </c>
      <c r="C545" t="s">
        <v>1747</v>
      </c>
      <c r="D545" t="s">
        <v>1748</v>
      </c>
      <c r="E545" t="s">
        <v>1749</v>
      </c>
      <c r="F545" t="s">
        <v>1631</v>
      </c>
      <c r="G545" t="s">
        <v>1750</v>
      </c>
      <c r="H545" t="s">
        <v>119</v>
      </c>
      <c r="I545" t="s">
        <v>111</v>
      </c>
      <c r="J545" t="s">
        <v>112</v>
      </c>
      <c r="K545" t="s">
        <v>69</v>
      </c>
      <c r="L545" t="s">
        <v>1751</v>
      </c>
      <c r="M545" t="s">
        <v>71</v>
      </c>
      <c r="N545" t="s">
        <v>100</v>
      </c>
      <c r="O545" t="s">
        <v>1648</v>
      </c>
      <c r="P545" t="s">
        <v>1649</v>
      </c>
      <c r="R545" t="s">
        <v>1650</v>
      </c>
      <c r="S545" t="s">
        <v>1893</v>
      </c>
      <c r="T545" t="s">
        <v>258</v>
      </c>
      <c r="U545" t="s">
        <v>383</v>
      </c>
      <c r="V545" t="s">
        <v>384</v>
      </c>
      <c r="W545">
        <v>1080</v>
      </c>
      <c r="X545">
        <v>44.99</v>
      </c>
      <c r="Y545">
        <v>139</v>
      </c>
      <c r="Z545">
        <v>779000</v>
      </c>
      <c r="AA545">
        <v>313200</v>
      </c>
      <c r="AB545">
        <v>770</v>
      </c>
      <c r="AD545" t="s">
        <v>238</v>
      </c>
      <c r="AE545">
        <v>2</v>
      </c>
      <c r="AF545">
        <v>0</v>
      </c>
      <c r="AI545">
        <v>15</v>
      </c>
      <c r="AJ545">
        <v>60</v>
      </c>
      <c r="AK545">
        <v>75</v>
      </c>
      <c r="AL545">
        <v>290</v>
      </c>
      <c r="AM545">
        <v>81</v>
      </c>
      <c r="AN545">
        <v>0</v>
      </c>
      <c r="AO545">
        <v>81</v>
      </c>
      <c r="AP545" t="s">
        <v>80</v>
      </c>
      <c r="AQ545" t="s">
        <v>179</v>
      </c>
      <c r="AR545" t="s">
        <v>86</v>
      </c>
      <c r="AS545" t="s">
        <v>240</v>
      </c>
      <c r="AT545" t="s">
        <v>240</v>
      </c>
      <c r="AU545" t="s">
        <v>86</v>
      </c>
      <c r="AV545" t="s">
        <v>1752</v>
      </c>
      <c r="AW545" t="s">
        <v>69</v>
      </c>
      <c r="AX545" t="s">
        <v>1753</v>
      </c>
      <c r="AY545" t="s">
        <v>1754</v>
      </c>
      <c r="AZ545" t="s">
        <v>264</v>
      </c>
      <c r="BA545" t="s">
        <v>245</v>
      </c>
      <c r="BB545" t="s">
        <v>243</v>
      </c>
      <c r="BC545" t="s">
        <v>243</v>
      </c>
      <c r="BD545" t="s">
        <v>1964</v>
      </c>
      <c r="BE545" t="s">
        <v>1965</v>
      </c>
      <c r="BF545" t="s">
        <v>240</v>
      </c>
      <c r="BG545" t="s">
        <v>110</v>
      </c>
      <c r="BH545" t="str">
        <f>IF(COUNTIF(工作表1!A:A, $C545)&gt;0, "預購款", "非預購款")</f>
        <v>非預購款</v>
      </c>
    </row>
    <row r="546" spans="1:60" x14ac:dyDescent="0.25">
      <c r="A546" t="s">
        <v>1746</v>
      </c>
      <c r="B546" t="s">
        <v>226</v>
      </c>
      <c r="C546" t="s">
        <v>1747</v>
      </c>
      <c r="D546" t="s">
        <v>1748</v>
      </c>
      <c r="E546" t="s">
        <v>1749</v>
      </c>
      <c r="F546" t="s">
        <v>1631</v>
      </c>
      <c r="G546" t="s">
        <v>1750</v>
      </c>
      <c r="H546" t="s">
        <v>130</v>
      </c>
      <c r="I546" t="s">
        <v>111</v>
      </c>
      <c r="J546" t="s">
        <v>112</v>
      </c>
      <c r="K546" t="s">
        <v>69</v>
      </c>
      <c r="L546" t="s">
        <v>1751</v>
      </c>
      <c r="M546" t="s">
        <v>71</v>
      </c>
      <c r="N546" t="s">
        <v>100</v>
      </c>
      <c r="O546" t="s">
        <v>1648</v>
      </c>
      <c r="P546" t="s">
        <v>1649</v>
      </c>
      <c r="R546" t="s">
        <v>1650</v>
      </c>
      <c r="S546" t="s">
        <v>1893</v>
      </c>
      <c r="T546" t="s">
        <v>258</v>
      </c>
      <c r="U546" t="s">
        <v>383</v>
      </c>
      <c r="V546" t="s">
        <v>384</v>
      </c>
      <c r="W546">
        <v>1080</v>
      </c>
      <c r="X546">
        <v>44.99</v>
      </c>
      <c r="Y546">
        <v>139</v>
      </c>
      <c r="Z546">
        <v>779000</v>
      </c>
      <c r="AA546">
        <v>313200</v>
      </c>
      <c r="AB546">
        <v>770</v>
      </c>
      <c r="AD546" t="s">
        <v>238</v>
      </c>
      <c r="AE546">
        <v>2</v>
      </c>
      <c r="AF546">
        <v>0</v>
      </c>
      <c r="AI546">
        <v>0</v>
      </c>
      <c r="AJ546">
        <v>40</v>
      </c>
      <c r="AK546">
        <v>40</v>
      </c>
      <c r="AL546">
        <v>290</v>
      </c>
      <c r="AM546">
        <v>44</v>
      </c>
      <c r="AN546">
        <v>0</v>
      </c>
      <c r="AO546">
        <v>44</v>
      </c>
      <c r="AP546" t="s">
        <v>80</v>
      </c>
      <c r="AQ546" t="s">
        <v>179</v>
      </c>
      <c r="AR546" t="s">
        <v>86</v>
      </c>
      <c r="AS546" t="s">
        <v>240</v>
      </c>
      <c r="AT546" t="s">
        <v>240</v>
      </c>
      <c r="AU546" t="s">
        <v>86</v>
      </c>
      <c r="AV546" t="s">
        <v>1752</v>
      </c>
      <c r="AW546" t="s">
        <v>69</v>
      </c>
      <c r="AX546" t="s">
        <v>1753</v>
      </c>
      <c r="AY546" t="s">
        <v>1754</v>
      </c>
      <c r="AZ546" t="s">
        <v>264</v>
      </c>
      <c r="BA546" t="s">
        <v>245</v>
      </c>
      <c r="BB546" t="s">
        <v>243</v>
      </c>
      <c r="BC546" t="s">
        <v>243</v>
      </c>
      <c r="BD546" t="s">
        <v>1966</v>
      </c>
      <c r="BE546" t="s">
        <v>1965</v>
      </c>
      <c r="BF546" t="s">
        <v>240</v>
      </c>
      <c r="BG546" t="s">
        <v>110</v>
      </c>
      <c r="BH546" t="str">
        <f>IF(COUNTIF(工作表1!A:A, $C546)&gt;0, "預購款", "非預購款")</f>
        <v>非預購款</v>
      </c>
    </row>
    <row r="547" spans="1:60" x14ac:dyDescent="0.25">
      <c r="A547" t="s">
        <v>1746</v>
      </c>
      <c r="B547" t="s">
        <v>226</v>
      </c>
      <c r="C547" t="s">
        <v>1747</v>
      </c>
      <c r="D547" t="s">
        <v>1748</v>
      </c>
      <c r="E547" t="s">
        <v>1749</v>
      </c>
      <c r="F547" t="s">
        <v>1631</v>
      </c>
      <c r="G547" t="s">
        <v>1750</v>
      </c>
      <c r="H547" t="s">
        <v>132</v>
      </c>
      <c r="I547" t="s">
        <v>111</v>
      </c>
      <c r="J547" t="s">
        <v>112</v>
      </c>
      <c r="K547" t="s">
        <v>69</v>
      </c>
      <c r="L547" t="s">
        <v>1751</v>
      </c>
      <c r="M547" t="s">
        <v>71</v>
      </c>
      <c r="N547" t="s">
        <v>100</v>
      </c>
      <c r="O547" t="s">
        <v>1648</v>
      </c>
      <c r="P547" t="s">
        <v>1649</v>
      </c>
      <c r="R547" t="s">
        <v>1650</v>
      </c>
      <c r="S547" t="s">
        <v>1893</v>
      </c>
      <c r="T547" t="s">
        <v>258</v>
      </c>
      <c r="U547" t="s">
        <v>383</v>
      </c>
      <c r="V547" t="s">
        <v>384</v>
      </c>
      <c r="W547">
        <v>1080</v>
      </c>
      <c r="X547">
        <v>44.99</v>
      </c>
      <c r="Y547">
        <v>139</v>
      </c>
      <c r="Z547">
        <v>779000</v>
      </c>
      <c r="AA547">
        <v>313200</v>
      </c>
      <c r="AB547">
        <v>770</v>
      </c>
      <c r="AD547" t="s">
        <v>238</v>
      </c>
      <c r="AE547">
        <v>2</v>
      </c>
      <c r="AF547">
        <v>0</v>
      </c>
      <c r="AI547">
        <v>10</v>
      </c>
      <c r="AJ547">
        <v>20</v>
      </c>
      <c r="AK547">
        <v>30</v>
      </c>
      <c r="AL547">
        <v>290</v>
      </c>
      <c r="AM547">
        <v>35</v>
      </c>
      <c r="AN547">
        <v>0</v>
      </c>
      <c r="AO547">
        <v>35</v>
      </c>
      <c r="AP547" t="s">
        <v>80</v>
      </c>
      <c r="AQ547" t="s">
        <v>179</v>
      </c>
      <c r="AR547" t="s">
        <v>86</v>
      </c>
      <c r="AS547" t="s">
        <v>240</v>
      </c>
      <c r="AT547" t="s">
        <v>240</v>
      </c>
      <c r="AU547" t="s">
        <v>86</v>
      </c>
      <c r="AV547" t="s">
        <v>1752</v>
      </c>
      <c r="AW547" t="s">
        <v>69</v>
      </c>
      <c r="AX547" t="s">
        <v>1753</v>
      </c>
      <c r="AY547" t="s">
        <v>1754</v>
      </c>
      <c r="AZ547" t="s">
        <v>264</v>
      </c>
      <c r="BA547" t="s">
        <v>245</v>
      </c>
      <c r="BB547" t="s">
        <v>243</v>
      </c>
      <c r="BC547" t="s">
        <v>243</v>
      </c>
      <c r="BD547" t="s">
        <v>1967</v>
      </c>
      <c r="BE547" t="s">
        <v>1965</v>
      </c>
      <c r="BF547" t="s">
        <v>240</v>
      </c>
      <c r="BG547" t="s">
        <v>110</v>
      </c>
      <c r="BH547" t="str">
        <f>IF(COUNTIF(工作表1!A:A, $C547)&gt;0, "預購款", "非預購款")</f>
        <v>非預購款</v>
      </c>
    </row>
    <row r="548" spans="1:60" x14ac:dyDescent="0.25">
      <c r="A548" t="s">
        <v>1746</v>
      </c>
      <c r="B548" t="s">
        <v>226</v>
      </c>
      <c r="C548" t="s">
        <v>1747</v>
      </c>
      <c r="D548" t="s">
        <v>1748</v>
      </c>
      <c r="E548" t="s">
        <v>1749</v>
      </c>
      <c r="F548" t="s">
        <v>1631</v>
      </c>
      <c r="G548" t="s">
        <v>1750</v>
      </c>
      <c r="H548" t="s">
        <v>119</v>
      </c>
      <c r="I548" t="s">
        <v>88</v>
      </c>
      <c r="J548" t="s">
        <v>89</v>
      </c>
      <c r="K548" t="s">
        <v>69</v>
      </c>
      <c r="L548" t="s">
        <v>1751</v>
      </c>
      <c r="M548" t="s">
        <v>71</v>
      </c>
      <c r="N548" t="s">
        <v>100</v>
      </c>
      <c r="O548" t="s">
        <v>1648</v>
      </c>
      <c r="P548" t="s">
        <v>1649</v>
      </c>
      <c r="R548" t="s">
        <v>1650</v>
      </c>
      <c r="S548" t="s">
        <v>1893</v>
      </c>
      <c r="T548" t="s">
        <v>258</v>
      </c>
      <c r="U548" t="s">
        <v>383</v>
      </c>
      <c r="V548" t="s">
        <v>384</v>
      </c>
      <c r="W548">
        <v>1080</v>
      </c>
      <c r="X548">
        <v>44.99</v>
      </c>
      <c r="Y548">
        <v>139</v>
      </c>
      <c r="Z548">
        <v>779000</v>
      </c>
      <c r="AA548">
        <v>313200</v>
      </c>
      <c r="AB548">
        <v>770</v>
      </c>
      <c r="AD548" t="s">
        <v>238</v>
      </c>
      <c r="AE548">
        <v>2</v>
      </c>
      <c r="AF548">
        <v>0</v>
      </c>
      <c r="AI548">
        <v>0</v>
      </c>
      <c r="AJ548">
        <v>90</v>
      </c>
      <c r="AK548">
        <v>90</v>
      </c>
      <c r="AL548">
        <v>290</v>
      </c>
      <c r="AM548">
        <v>95</v>
      </c>
      <c r="AN548">
        <v>0</v>
      </c>
      <c r="AO548">
        <v>95</v>
      </c>
      <c r="AP548" t="s">
        <v>80</v>
      </c>
      <c r="AQ548" t="s">
        <v>179</v>
      </c>
      <c r="AR548" t="s">
        <v>86</v>
      </c>
      <c r="AS548" t="s">
        <v>240</v>
      </c>
      <c r="AT548" t="s">
        <v>240</v>
      </c>
      <c r="AU548" t="s">
        <v>86</v>
      </c>
      <c r="AV548" t="s">
        <v>1752</v>
      </c>
      <c r="AW548" t="s">
        <v>69</v>
      </c>
      <c r="AX548" t="s">
        <v>1753</v>
      </c>
      <c r="AY548" t="s">
        <v>1754</v>
      </c>
      <c r="AZ548" t="s">
        <v>264</v>
      </c>
      <c r="BA548" t="s">
        <v>245</v>
      </c>
      <c r="BB548" t="s">
        <v>243</v>
      </c>
      <c r="BC548" t="s">
        <v>243</v>
      </c>
      <c r="BD548" t="s">
        <v>1755</v>
      </c>
      <c r="BE548" t="s">
        <v>1965</v>
      </c>
      <c r="BF548" t="s">
        <v>240</v>
      </c>
      <c r="BG548" t="s">
        <v>110</v>
      </c>
      <c r="BH548" t="str">
        <f>IF(COUNTIF(工作表1!A:A, $C548)&gt;0, "預購款", "非預購款")</f>
        <v>非預購款</v>
      </c>
    </row>
    <row r="549" spans="1:60" x14ac:dyDescent="0.25">
      <c r="A549" t="s">
        <v>1746</v>
      </c>
      <c r="B549" t="s">
        <v>226</v>
      </c>
      <c r="C549" t="s">
        <v>1747</v>
      </c>
      <c r="D549" t="s">
        <v>1748</v>
      </c>
      <c r="E549" t="s">
        <v>1749</v>
      </c>
      <c r="F549" t="s">
        <v>1631</v>
      </c>
      <c r="G549" t="s">
        <v>1750</v>
      </c>
      <c r="H549" t="s">
        <v>130</v>
      </c>
      <c r="I549" t="s">
        <v>88</v>
      </c>
      <c r="J549" t="s">
        <v>89</v>
      </c>
      <c r="K549" t="s">
        <v>69</v>
      </c>
      <c r="L549" t="s">
        <v>1751</v>
      </c>
      <c r="M549" t="s">
        <v>71</v>
      </c>
      <c r="N549" t="s">
        <v>100</v>
      </c>
      <c r="O549" t="s">
        <v>1648</v>
      </c>
      <c r="P549" t="s">
        <v>1649</v>
      </c>
      <c r="R549" t="s">
        <v>1650</v>
      </c>
      <c r="S549" t="s">
        <v>1893</v>
      </c>
      <c r="T549" t="s">
        <v>258</v>
      </c>
      <c r="U549" t="s">
        <v>383</v>
      </c>
      <c r="V549" t="s">
        <v>384</v>
      </c>
      <c r="W549">
        <v>1080</v>
      </c>
      <c r="X549">
        <v>44.99</v>
      </c>
      <c r="Y549">
        <v>139</v>
      </c>
      <c r="Z549">
        <v>779000</v>
      </c>
      <c r="AA549">
        <v>313200</v>
      </c>
      <c r="AB549">
        <v>770</v>
      </c>
      <c r="AD549" t="s">
        <v>238</v>
      </c>
      <c r="AE549">
        <v>2</v>
      </c>
      <c r="AF549">
        <v>0</v>
      </c>
      <c r="AI549">
        <v>0</v>
      </c>
      <c r="AJ549">
        <v>40</v>
      </c>
      <c r="AK549">
        <v>40</v>
      </c>
      <c r="AL549">
        <v>290</v>
      </c>
      <c r="AM549">
        <v>44</v>
      </c>
      <c r="AN549">
        <v>0</v>
      </c>
      <c r="AO549">
        <v>44</v>
      </c>
      <c r="AP549" t="s">
        <v>80</v>
      </c>
      <c r="AQ549" t="s">
        <v>179</v>
      </c>
      <c r="AR549" t="s">
        <v>86</v>
      </c>
      <c r="AS549" t="s">
        <v>240</v>
      </c>
      <c r="AT549" t="s">
        <v>240</v>
      </c>
      <c r="AU549" t="s">
        <v>86</v>
      </c>
      <c r="AV549" t="s">
        <v>1752</v>
      </c>
      <c r="AW549" t="s">
        <v>69</v>
      </c>
      <c r="AX549" t="s">
        <v>1753</v>
      </c>
      <c r="AY549" t="s">
        <v>1754</v>
      </c>
      <c r="AZ549" t="s">
        <v>264</v>
      </c>
      <c r="BA549" t="s">
        <v>245</v>
      </c>
      <c r="BB549" t="s">
        <v>243</v>
      </c>
      <c r="BC549" t="s">
        <v>243</v>
      </c>
      <c r="BD549" t="s">
        <v>1756</v>
      </c>
      <c r="BE549" t="s">
        <v>1965</v>
      </c>
      <c r="BF549" t="s">
        <v>240</v>
      </c>
      <c r="BG549" t="s">
        <v>110</v>
      </c>
      <c r="BH549" t="str">
        <f>IF(COUNTIF(工作表1!A:A, $C549)&gt;0, "預購款", "非預購款")</f>
        <v>非預購款</v>
      </c>
    </row>
    <row r="550" spans="1:60" x14ac:dyDescent="0.25">
      <c r="A550" t="s">
        <v>1746</v>
      </c>
      <c r="B550" t="s">
        <v>226</v>
      </c>
      <c r="C550" t="s">
        <v>1747</v>
      </c>
      <c r="D550" t="s">
        <v>1748</v>
      </c>
      <c r="E550" t="s">
        <v>1749</v>
      </c>
      <c r="F550" t="s">
        <v>1631</v>
      </c>
      <c r="G550" t="s">
        <v>1750</v>
      </c>
      <c r="H550" t="s">
        <v>132</v>
      </c>
      <c r="I550" t="s">
        <v>88</v>
      </c>
      <c r="J550" t="s">
        <v>89</v>
      </c>
      <c r="K550" t="s">
        <v>69</v>
      </c>
      <c r="L550" t="s">
        <v>1751</v>
      </c>
      <c r="M550" t="s">
        <v>71</v>
      </c>
      <c r="N550" t="s">
        <v>100</v>
      </c>
      <c r="O550" t="s">
        <v>1648</v>
      </c>
      <c r="P550" t="s">
        <v>1649</v>
      </c>
      <c r="R550" t="s">
        <v>1650</v>
      </c>
      <c r="S550" t="s">
        <v>1893</v>
      </c>
      <c r="T550" t="s">
        <v>258</v>
      </c>
      <c r="U550" t="s">
        <v>383</v>
      </c>
      <c r="V550" t="s">
        <v>384</v>
      </c>
      <c r="W550">
        <v>1080</v>
      </c>
      <c r="X550">
        <v>44.99</v>
      </c>
      <c r="Y550">
        <v>139</v>
      </c>
      <c r="Z550">
        <v>779000</v>
      </c>
      <c r="AA550">
        <v>313200</v>
      </c>
      <c r="AB550">
        <v>770</v>
      </c>
      <c r="AD550" t="s">
        <v>238</v>
      </c>
      <c r="AE550">
        <v>2</v>
      </c>
      <c r="AF550">
        <v>0</v>
      </c>
      <c r="AI550">
        <v>0</v>
      </c>
      <c r="AJ550">
        <v>15</v>
      </c>
      <c r="AK550">
        <v>15</v>
      </c>
      <c r="AL550">
        <v>290</v>
      </c>
      <c r="AM550">
        <v>21</v>
      </c>
      <c r="AN550">
        <v>0</v>
      </c>
      <c r="AO550">
        <v>21</v>
      </c>
      <c r="AP550" t="s">
        <v>80</v>
      </c>
      <c r="AQ550" t="s">
        <v>179</v>
      </c>
      <c r="AR550" t="s">
        <v>86</v>
      </c>
      <c r="AS550" t="s">
        <v>240</v>
      </c>
      <c r="AT550" t="s">
        <v>240</v>
      </c>
      <c r="AU550" t="s">
        <v>86</v>
      </c>
      <c r="AV550" t="s">
        <v>1752</v>
      </c>
      <c r="AW550" t="s">
        <v>69</v>
      </c>
      <c r="AX550" t="s">
        <v>1753</v>
      </c>
      <c r="AY550" t="s">
        <v>1754</v>
      </c>
      <c r="AZ550" t="s">
        <v>264</v>
      </c>
      <c r="BA550" t="s">
        <v>245</v>
      </c>
      <c r="BB550" t="s">
        <v>243</v>
      </c>
      <c r="BC550" t="s">
        <v>243</v>
      </c>
      <c r="BD550" t="s">
        <v>1757</v>
      </c>
      <c r="BE550" t="s">
        <v>1965</v>
      </c>
      <c r="BF550" t="s">
        <v>240</v>
      </c>
      <c r="BG550" t="s">
        <v>110</v>
      </c>
      <c r="BH550" t="str">
        <f>IF(COUNTIF(工作表1!A:A, $C550)&gt;0, "預購款", "非預購款")</f>
        <v>非預購款</v>
      </c>
    </row>
    <row r="551" spans="1:60" x14ac:dyDescent="0.25">
      <c r="A551" t="s">
        <v>1968</v>
      </c>
      <c r="B551" t="s">
        <v>226</v>
      </c>
      <c r="C551" t="s">
        <v>1969</v>
      </c>
      <c r="D551" t="s">
        <v>1970</v>
      </c>
      <c r="E551" t="s">
        <v>1971</v>
      </c>
      <c r="F551" t="s">
        <v>1631</v>
      </c>
      <c r="G551" t="s">
        <v>1972</v>
      </c>
      <c r="H551" t="s">
        <v>119</v>
      </c>
      <c r="I551" t="s">
        <v>97</v>
      </c>
      <c r="J551" t="s">
        <v>98</v>
      </c>
      <c r="K551" t="s">
        <v>69</v>
      </c>
      <c r="L551" t="s">
        <v>1973</v>
      </c>
      <c r="M551" t="s">
        <v>71</v>
      </c>
      <c r="N551" t="s">
        <v>100</v>
      </c>
      <c r="O551" t="s">
        <v>1900</v>
      </c>
      <c r="P551" t="s">
        <v>1901</v>
      </c>
      <c r="R551" t="s">
        <v>1902</v>
      </c>
      <c r="S551" t="s">
        <v>1893</v>
      </c>
      <c r="T551" t="s">
        <v>76</v>
      </c>
      <c r="U551" t="s">
        <v>104</v>
      </c>
      <c r="V551" t="s">
        <v>653</v>
      </c>
      <c r="W551">
        <v>590</v>
      </c>
      <c r="X551">
        <v>29.99</v>
      </c>
      <c r="Y551">
        <v>75</v>
      </c>
      <c r="Z551">
        <v>429000</v>
      </c>
      <c r="AA551">
        <v>510350</v>
      </c>
      <c r="AB551">
        <v>198</v>
      </c>
      <c r="AD551" t="s">
        <v>238</v>
      </c>
      <c r="AE551">
        <v>2</v>
      </c>
      <c r="AF551">
        <v>15</v>
      </c>
      <c r="AI551">
        <v>50</v>
      </c>
      <c r="AJ551">
        <v>220</v>
      </c>
      <c r="AK551">
        <v>285</v>
      </c>
      <c r="AL551">
        <v>865</v>
      </c>
      <c r="AM551">
        <v>288</v>
      </c>
      <c r="AN551">
        <v>0</v>
      </c>
      <c r="AO551">
        <v>288</v>
      </c>
      <c r="AP551" t="s">
        <v>80</v>
      </c>
      <c r="AQ551" t="s">
        <v>187</v>
      </c>
      <c r="AR551" t="s">
        <v>86</v>
      </c>
      <c r="AS551" t="s">
        <v>86</v>
      </c>
      <c r="AT551" t="s">
        <v>86</v>
      </c>
      <c r="AU551" t="s">
        <v>86</v>
      </c>
      <c r="AV551" t="s">
        <v>1974</v>
      </c>
      <c r="AW551" t="s">
        <v>80</v>
      </c>
      <c r="AX551" t="s">
        <v>218</v>
      </c>
      <c r="AY551" t="s">
        <v>1975</v>
      </c>
      <c r="AZ551" t="s">
        <v>243</v>
      </c>
      <c r="BA551" t="s">
        <v>244</v>
      </c>
      <c r="BB551" t="s">
        <v>245</v>
      </c>
      <c r="BC551" t="s">
        <v>244</v>
      </c>
      <c r="BD551" t="s">
        <v>1976</v>
      </c>
      <c r="BE551" t="s">
        <v>1977</v>
      </c>
      <c r="BF551" t="s">
        <v>786</v>
      </c>
      <c r="BG551" t="s">
        <v>150</v>
      </c>
      <c r="BH551" t="str">
        <f>IF(COUNTIF(工作表1!A:A, $C551)&gt;0, "預購款", "非預購款")</f>
        <v>非預購款</v>
      </c>
    </row>
    <row r="552" spans="1:60" x14ac:dyDescent="0.25">
      <c r="A552" t="s">
        <v>1968</v>
      </c>
      <c r="B552" t="s">
        <v>226</v>
      </c>
      <c r="C552" t="s">
        <v>1969</v>
      </c>
      <c r="D552" t="s">
        <v>1970</v>
      </c>
      <c r="E552" t="s">
        <v>1971</v>
      </c>
      <c r="F552" t="s">
        <v>1631</v>
      </c>
      <c r="G552" t="s">
        <v>1972</v>
      </c>
      <c r="H552" t="s">
        <v>130</v>
      </c>
      <c r="I552" t="s">
        <v>97</v>
      </c>
      <c r="J552" t="s">
        <v>98</v>
      </c>
      <c r="K552" t="s">
        <v>69</v>
      </c>
      <c r="L552" t="s">
        <v>1973</v>
      </c>
      <c r="M552" t="s">
        <v>71</v>
      </c>
      <c r="N552" t="s">
        <v>100</v>
      </c>
      <c r="O552" t="s">
        <v>1900</v>
      </c>
      <c r="P552" t="s">
        <v>1901</v>
      </c>
      <c r="R552" t="s">
        <v>1902</v>
      </c>
      <c r="S552" t="s">
        <v>1893</v>
      </c>
      <c r="T552" t="s">
        <v>76</v>
      </c>
      <c r="U552" t="s">
        <v>104</v>
      </c>
      <c r="V552" t="s">
        <v>653</v>
      </c>
      <c r="W552">
        <v>590</v>
      </c>
      <c r="X552">
        <v>29.99</v>
      </c>
      <c r="Y552">
        <v>75</v>
      </c>
      <c r="Z552">
        <v>429000</v>
      </c>
      <c r="AA552">
        <v>510350</v>
      </c>
      <c r="AB552">
        <v>198</v>
      </c>
      <c r="AD552" t="s">
        <v>238</v>
      </c>
      <c r="AE552">
        <v>2</v>
      </c>
      <c r="AF552">
        <v>10</v>
      </c>
      <c r="AI552">
        <v>50</v>
      </c>
      <c r="AJ552">
        <v>120</v>
      </c>
      <c r="AK552">
        <v>180</v>
      </c>
      <c r="AL552">
        <v>865</v>
      </c>
      <c r="AM552">
        <v>188</v>
      </c>
      <c r="AN552">
        <v>0</v>
      </c>
      <c r="AO552">
        <v>188</v>
      </c>
      <c r="AP552" t="s">
        <v>80</v>
      </c>
      <c r="AQ552" t="s">
        <v>187</v>
      </c>
      <c r="AR552" t="s">
        <v>86</v>
      </c>
      <c r="AS552" t="s">
        <v>86</v>
      </c>
      <c r="AT552" t="s">
        <v>86</v>
      </c>
      <c r="AU552" t="s">
        <v>86</v>
      </c>
      <c r="AV552" t="s">
        <v>1974</v>
      </c>
      <c r="AW552" t="s">
        <v>80</v>
      </c>
      <c r="AX552" t="s">
        <v>218</v>
      </c>
      <c r="AY552" t="s">
        <v>1975</v>
      </c>
      <c r="AZ552" t="s">
        <v>243</v>
      </c>
      <c r="BA552" t="s">
        <v>244</v>
      </c>
      <c r="BB552" t="s">
        <v>245</v>
      </c>
      <c r="BC552" t="s">
        <v>244</v>
      </c>
      <c r="BD552" t="s">
        <v>1978</v>
      </c>
      <c r="BE552" t="s">
        <v>1977</v>
      </c>
      <c r="BF552" t="s">
        <v>786</v>
      </c>
      <c r="BG552" t="s">
        <v>150</v>
      </c>
      <c r="BH552" t="str">
        <f>IF(COUNTIF(工作表1!A:A, $C552)&gt;0, "預購款", "非預購款")</f>
        <v>非預購款</v>
      </c>
    </row>
    <row r="553" spans="1:60" x14ac:dyDescent="0.25">
      <c r="A553" t="s">
        <v>1968</v>
      </c>
      <c r="B553" t="s">
        <v>226</v>
      </c>
      <c r="C553" t="s">
        <v>1969</v>
      </c>
      <c r="D553" t="s">
        <v>1970</v>
      </c>
      <c r="E553" t="s">
        <v>1971</v>
      </c>
      <c r="F553" t="s">
        <v>1631</v>
      </c>
      <c r="G553" t="s">
        <v>1972</v>
      </c>
      <c r="H553" t="s">
        <v>132</v>
      </c>
      <c r="I553" t="s">
        <v>97</v>
      </c>
      <c r="J553" t="s">
        <v>98</v>
      </c>
      <c r="K553" t="s">
        <v>69</v>
      </c>
      <c r="L553" t="s">
        <v>1973</v>
      </c>
      <c r="M553" t="s">
        <v>71</v>
      </c>
      <c r="N553" t="s">
        <v>100</v>
      </c>
      <c r="O553" t="s">
        <v>1900</v>
      </c>
      <c r="P553" t="s">
        <v>1901</v>
      </c>
      <c r="R553" t="s">
        <v>1902</v>
      </c>
      <c r="S553" t="s">
        <v>1893</v>
      </c>
      <c r="T553" t="s">
        <v>76</v>
      </c>
      <c r="U553" t="s">
        <v>104</v>
      </c>
      <c r="V553" t="s">
        <v>653</v>
      </c>
      <c r="W553">
        <v>590</v>
      </c>
      <c r="X553">
        <v>29.99</v>
      </c>
      <c r="Y553">
        <v>75</v>
      </c>
      <c r="Z553">
        <v>429000</v>
      </c>
      <c r="AA553">
        <v>510350</v>
      </c>
      <c r="AB553">
        <v>198</v>
      </c>
      <c r="AD553" t="s">
        <v>238</v>
      </c>
      <c r="AE553">
        <v>2</v>
      </c>
      <c r="AF553">
        <v>0</v>
      </c>
      <c r="AI553">
        <v>40</v>
      </c>
      <c r="AJ553">
        <v>90</v>
      </c>
      <c r="AK553">
        <v>130</v>
      </c>
      <c r="AL553">
        <v>865</v>
      </c>
      <c r="AM553">
        <v>132</v>
      </c>
      <c r="AN553">
        <v>0</v>
      </c>
      <c r="AO553">
        <v>132</v>
      </c>
      <c r="AP553" t="s">
        <v>80</v>
      </c>
      <c r="AQ553" t="s">
        <v>187</v>
      </c>
      <c r="AR553" t="s">
        <v>86</v>
      </c>
      <c r="AS553" t="s">
        <v>86</v>
      </c>
      <c r="AT553" t="s">
        <v>86</v>
      </c>
      <c r="AU553" t="s">
        <v>86</v>
      </c>
      <c r="AV553" t="s">
        <v>1974</v>
      </c>
      <c r="AW553" t="s">
        <v>80</v>
      </c>
      <c r="AX553" t="s">
        <v>218</v>
      </c>
      <c r="AY553" t="s">
        <v>1975</v>
      </c>
      <c r="AZ553" t="s">
        <v>243</v>
      </c>
      <c r="BA553" t="s">
        <v>244</v>
      </c>
      <c r="BB553" t="s">
        <v>245</v>
      </c>
      <c r="BC553" t="s">
        <v>244</v>
      </c>
      <c r="BD553" t="s">
        <v>1979</v>
      </c>
      <c r="BE553" t="s">
        <v>1977</v>
      </c>
      <c r="BF553" t="s">
        <v>786</v>
      </c>
      <c r="BG553" t="s">
        <v>150</v>
      </c>
      <c r="BH553" t="str">
        <f>IF(COUNTIF(工作表1!A:A, $C553)&gt;0, "預購款", "非預購款")</f>
        <v>非預購款</v>
      </c>
    </row>
    <row r="554" spans="1:60" x14ac:dyDescent="0.25">
      <c r="A554" t="s">
        <v>1968</v>
      </c>
      <c r="B554" t="s">
        <v>226</v>
      </c>
      <c r="C554" t="s">
        <v>1969</v>
      </c>
      <c r="D554" t="s">
        <v>1970</v>
      </c>
      <c r="E554" t="s">
        <v>1971</v>
      </c>
      <c r="F554" t="s">
        <v>1631</v>
      </c>
      <c r="G554" t="s">
        <v>1972</v>
      </c>
      <c r="H554" t="s">
        <v>119</v>
      </c>
      <c r="I554" t="s">
        <v>171</v>
      </c>
      <c r="J554" t="s">
        <v>172</v>
      </c>
      <c r="K554" t="s">
        <v>69</v>
      </c>
      <c r="L554" t="s">
        <v>1973</v>
      </c>
      <c r="M554" t="s">
        <v>71</v>
      </c>
      <c r="N554" t="s">
        <v>100</v>
      </c>
      <c r="O554" t="s">
        <v>1900</v>
      </c>
      <c r="P554" t="s">
        <v>1901</v>
      </c>
      <c r="R554" t="s">
        <v>1902</v>
      </c>
      <c r="S554" t="s">
        <v>1893</v>
      </c>
      <c r="T554" t="s">
        <v>76</v>
      </c>
      <c r="U554" t="s">
        <v>104</v>
      </c>
      <c r="V554" t="s">
        <v>653</v>
      </c>
      <c r="W554">
        <v>590</v>
      </c>
      <c r="X554">
        <v>29.99</v>
      </c>
      <c r="Y554">
        <v>75</v>
      </c>
      <c r="Z554">
        <v>429000</v>
      </c>
      <c r="AA554">
        <v>510350</v>
      </c>
      <c r="AB554">
        <v>198</v>
      </c>
      <c r="AD554" t="s">
        <v>238</v>
      </c>
      <c r="AE554">
        <v>2</v>
      </c>
      <c r="AF554">
        <v>15</v>
      </c>
      <c r="AI554">
        <v>20</v>
      </c>
      <c r="AJ554">
        <v>90</v>
      </c>
      <c r="AK554">
        <v>125</v>
      </c>
      <c r="AL554">
        <v>865</v>
      </c>
      <c r="AM554">
        <v>124</v>
      </c>
      <c r="AN554">
        <v>1</v>
      </c>
      <c r="AO554">
        <v>125</v>
      </c>
      <c r="AP554" t="s">
        <v>80</v>
      </c>
      <c r="AQ554" t="s">
        <v>187</v>
      </c>
      <c r="AR554" t="s">
        <v>86</v>
      </c>
      <c r="AS554" t="s">
        <v>86</v>
      </c>
      <c r="AT554" t="s">
        <v>86</v>
      </c>
      <c r="AU554" t="s">
        <v>86</v>
      </c>
      <c r="AV554" t="s">
        <v>1974</v>
      </c>
      <c r="AW554" t="s">
        <v>80</v>
      </c>
      <c r="AX554" t="s">
        <v>218</v>
      </c>
      <c r="AY554" t="s">
        <v>1975</v>
      </c>
      <c r="AZ554" t="s">
        <v>243</v>
      </c>
      <c r="BA554" t="s">
        <v>244</v>
      </c>
      <c r="BB554" t="s">
        <v>245</v>
      </c>
      <c r="BC554" t="s">
        <v>244</v>
      </c>
      <c r="BD554" t="s">
        <v>1980</v>
      </c>
      <c r="BE554" t="s">
        <v>1977</v>
      </c>
      <c r="BF554" t="s">
        <v>786</v>
      </c>
      <c r="BG554" t="s">
        <v>150</v>
      </c>
      <c r="BH554" t="str">
        <f>IF(COUNTIF(工作表1!A:A, $C554)&gt;0, "預購款", "非預購款")</f>
        <v>非預購款</v>
      </c>
    </row>
    <row r="555" spans="1:60" x14ac:dyDescent="0.25">
      <c r="A555" t="s">
        <v>1968</v>
      </c>
      <c r="B555" t="s">
        <v>226</v>
      </c>
      <c r="C555" t="s">
        <v>1969</v>
      </c>
      <c r="D555" t="s">
        <v>1970</v>
      </c>
      <c r="E555" t="s">
        <v>1971</v>
      </c>
      <c r="F555" t="s">
        <v>1631</v>
      </c>
      <c r="G555" t="s">
        <v>1972</v>
      </c>
      <c r="H555" t="s">
        <v>130</v>
      </c>
      <c r="I555" t="s">
        <v>171</v>
      </c>
      <c r="J555" t="s">
        <v>172</v>
      </c>
      <c r="K555" t="s">
        <v>69</v>
      </c>
      <c r="L555" t="s">
        <v>1973</v>
      </c>
      <c r="M555" t="s">
        <v>71</v>
      </c>
      <c r="N555" t="s">
        <v>100</v>
      </c>
      <c r="O555" t="s">
        <v>1900</v>
      </c>
      <c r="P555" t="s">
        <v>1901</v>
      </c>
      <c r="R555" t="s">
        <v>1902</v>
      </c>
      <c r="S555" t="s">
        <v>1893</v>
      </c>
      <c r="T555" t="s">
        <v>76</v>
      </c>
      <c r="U555" t="s">
        <v>104</v>
      </c>
      <c r="V555" t="s">
        <v>653</v>
      </c>
      <c r="W555">
        <v>590</v>
      </c>
      <c r="X555">
        <v>29.99</v>
      </c>
      <c r="Y555">
        <v>75</v>
      </c>
      <c r="Z555">
        <v>429000</v>
      </c>
      <c r="AA555">
        <v>510350</v>
      </c>
      <c r="AB555">
        <v>198</v>
      </c>
      <c r="AD555" t="s">
        <v>238</v>
      </c>
      <c r="AE555">
        <v>2</v>
      </c>
      <c r="AF555">
        <v>10</v>
      </c>
      <c r="AI555">
        <v>25</v>
      </c>
      <c r="AJ555">
        <v>50</v>
      </c>
      <c r="AK555">
        <v>85</v>
      </c>
      <c r="AL555">
        <v>865</v>
      </c>
      <c r="AM555">
        <v>87</v>
      </c>
      <c r="AN555">
        <v>0</v>
      </c>
      <c r="AO555">
        <v>87</v>
      </c>
      <c r="AP555" t="s">
        <v>80</v>
      </c>
      <c r="AQ555" t="s">
        <v>187</v>
      </c>
      <c r="AR555" t="s">
        <v>86</v>
      </c>
      <c r="AS555" t="s">
        <v>86</v>
      </c>
      <c r="AT555" t="s">
        <v>86</v>
      </c>
      <c r="AU555" t="s">
        <v>86</v>
      </c>
      <c r="AV555" t="s">
        <v>1974</v>
      </c>
      <c r="AW555" t="s">
        <v>80</v>
      </c>
      <c r="AX555" t="s">
        <v>218</v>
      </c>
      <c r="AY555" t="s">
        <v>1975</v>
      </c>
      <c r="AZ555" t="s">
        <v>243</v>
      </c>
      <c r="BA555" t="s">
        <v>244</v>
      </c>
      <c r="BB555" t="s">
        <v>245</v>
      </c>
      <c r="BC555" t="s">
        <v>244</v>
      </c>
      <c r="BD555" t="s">
        <v>1981</v>
      </c>
      <c r="BE555" t="s">
        <v>1977</v>
      </c>
      <c r="BF555" t="s">
        <v>786</v>
      </c>
      <c r="BG555" t="s">
        <v>150</v>
      </c>
      <c r="BH555" t="str">
        <f>IF(COUNTIF(工作表1!A:A, $C555)&gt;0, "預購款", "非預購款")</f>
        <v>非預購款</v>
      </c>
    </row>
    <row r="556" spans="1:60" x14ac:dyDescent="0.25">
      <c r="A556" t="s">
        <v>1968</v>
      </c>
      <c r="B556" t="s">
        <v>226</v>
      </c>
      <c r="C556" t="s">
        <v>1969</v>
      </c>
      <c r="D556" t="s">
        <v>1970</v>
      </c>
      <c r="E556" t="s">
        <v>1971</v>
      </c>
      <c r="F556" t="s">
        <v>1631</v>
      </c>
      <c r="G556" t="s">
        <v>1972</v>
      </c>
      <c r="H556" t="s">
        <v>132</v>
      </c>
      <c r="I556" t="s">
        <v>171</v>
      </c>
      <c r="J556" t="s">
        <v>172</v>
      </c>
      <c r="K556" t="s">
        <v>69</v>
      </c>
      <c r="L556" t="s">
        <v>1973</v>
      </c>
      <c r="M556" t="s">
        <v>71</v>
      </c>
      <c r="N556" t="s">
        <v>100</v>
      </c>
      <c r="O556" t="s">
        <v>1900</v>
      </c>
      <c r="P556" t="s">
        <v>1901</v>
      </c>
      <c r="R556" t="s">
        <v>1902</v>
      </c>
      <c r="S556" t="s">
        <v>1893</v>
      </c>
      <c r="T556" t="s">
        <v>76</v>
      </c>
      <c r="U556" t="s">
        <v>104</v>
      </c>
      <c r="V556" t="s">
        <v>653</v>
      </c>
      <c r="W556">
        <v>590</v>
      </c>
      <c r="X556">
        <v>29.99</v>
      </c>
      <c r="Y556">
        <v>75</v>
      </c>
      <c r="Z556">
        <v>429000</v>
      </c>
      <c r="AA556">
        <v>510350</v>
      </c>
      <c r="AB556">
        <v>198</v>
      </c>
      <c r="AD556" t="s">
        <v>238</v>
      </c>
      <c r="AE556">
        <v>2</v>
      </c>
      <c r="AF556">
        <v>0</v>
      </c>
      <c r="AI556">
        <v>10</v>
      </c>
      <c r="AJ556">
        <v>50</v>
      </c>
      <c r="AK556">
        <v>60</v>
      </c>
      <c r="AL556">
        <v>865</v>
      </c>
      <c r="AM556">
        <v>60</v>
      </c>
      <c r="AN556">
        <v>0</v>
      </c>
      <c r="AO556">
        <v>60</v>
      </c>
      <c r="AP556" t="s">
        <v>80</v>
      </c>
      <c r="AQ556" t="s">
        <v>187</v>
      </c>
      <c r="AR556" t="s">
        <v>86</v>
      </c>
      <c r="AS556" t="s">
        <v>86</v>
      </c>
      <c r="AT556" t="s">
        <v>86</v>
      </c>
      <c r="AU556" t="s">
        <v>86</v>
      </c>
      <c r="AV556" t="s">
        <v>1974</v>
      </c>
      <c r="AW556" t="s">
        <v>80</v>
      </c>
      <c r="AX556" t="s">
        <v>218</v>
      </c>
      <c r="AY556" t="s">
        <v>1975</v>
      </c>
      <c r="AZ556" t="s">
        <v>243</v>
      </c>
      <c r="BA556" t="s">
        <v>244</v>
      </c>
      <c r="BB556" t="s">
        <v>245</v>
      </c>
      <c r="BC556" t="s">
        <v>244</v>
      </c>
      <c r="BD556" t="s">
        <v>1982</v>
      </c>
      <c r="BE556" t="s">
        <v>1977</v>
      </c>
      <c r="BF556" t="s">
        <v>786</v>
      </c>
      <c r="BG556" t="s">
        <v>150</v>
      </c>
      <c r="BH556" t="str">
        <f>IF(COUNTIF(工作表1!A:A, $C556)&gt;0, "預購款", "非預購款")</f>
        <v>非預購款</v>
      </c>
    </row>
    <row r="557" spans="1:60" x14ac:dyDescent="0.25">
      <c r="A557" t="s">
        <v>1983</v>
      </c>
      <c r="B557" t="s">
        <v>226</v>
      </c>
      <c r="C557" t="s">
        <v>1984</v>
      </c>
      <c r="D557" t="s">
        <v>1985</v>
      </c>
      <c r="E557" t="s">
        <v>1986</v>
      </c>
      <c r="F557" t="s">
        <v>1631</v>
      </c>
      <c r="G557" t="s">
        <v>1987</v>
      </c>
      <c r="H557" t="s">
        <v>273</v>
      </c>
      <c r="I557" t="s">
        <v>171</v>
      </c>
      <c r="J557" t="s">
        <v>172</v>
      </c>
      <c r="K557" t="s">
        <v>69</v>
      </c>
      <c r="L557" t="s">
        <v>1973</v>
      </c>
      <c r="M557" t="s">
        <v>71</v>
      </c>
      <c r="N557" t="s">
        <v>100</v>
      </c>
      <c r="O557" t="s">
        <v>1900</v>
      </c>
      <c r="P557" t="s">
        <v>1901</v>
      </c>
      <c r="R557" t="s">
        <v>1902</v>
      </c>
      <c r="S557" t="s">
        <v>1893</v>
      </c>
      <c r="T557" t="s">
        <v>274</v>
      </c>
      <c r="U557" t="s">
        <v>104</v>
      </c>
      <c r="V557" t="s">
        <v>653</v>
      </c>
      <c r="W557">
        <v>690</v>
      </c>
      <c r="X557">
        <v>29.99</v>
      </c>
      <c r="Y557">
        <v>89</v>
      </c>
      <c r="Z557">
        <v>499000</v>
      </c>
      <c r="AA557">
        <v>146970</v>
      </c>
      <c r="AB557">
        <v>242</v>
      </c>
      <c r="AD557" t="s">
        <v>238</v>
      </c>
      <c r="AE557">
        <v>2</v>
      </c>
      <c r="AF557">
        <v>5</v>
      </c>
      <c r="AI557">
        <v>30</v>
      </c>
      <c r="AJ557">
        <v>60</v>
      </c>
      <c r="AK557">
        <v>95</v>
      </c>
      <c r="AL557">
        <v>213</v>
      </c>
      <c r="AM557">
        <v>96</v>
      </c>
      <c r="AN557">
        <v>0</v>
      </c>
      <c r="AO557">
        <v>96</v>
      </c>
      <c r="AP557" t="s">
        <v>80</v>
      </c>
      <c r="AQ557" t="s">
        <v>187</v>
      </c>
      <c r="AS557" t="s">
        <v>86</v>
      </c>
      <c r="AT557" t="s">
        <v>261</v>
      </c>
      <c r="AU557" t="s">
        <v>261</v>
      </c>
      <c r="AV557" t="s">
        <v>1988</v>
      </c>
      <c r="AW557" t="s">
        <v>80</v>
      </c>
      <c r="AX557" t="s">
        <v>738</v>
      </c>
      <c r="AY557" t="s">
        <v>1989</v>
      </c>
      <c r="AZ557" t="s">
        <v>243</v>
      </c>
      <c r="BA557" t="s">
        <v>244</v>
      </c>
      <c r="BB557" t="s">
        <v>245</v>
      </c>
      <c r="BC557" t="s">
        <v>244</v>
      </c>
      <c r="BD557" t="s">
        <v>1994</v>
      </c>
      <c r="BE557" t="s">
        <v>1991</v>
      </c>
      <c r="BF557" t="s">
        <v>672</v>
      </c>
      <c r="BG557" t="s">
        <v>150</v>
      </c>
      <c r="BH557" t="str">
        <f>IF(COUNTIF(工作表1!A:A, $C557)&gt;0, "預購款", "非預購款")</f>
        <v>非預購款</v>
      </c>
    </row>
    <row r="558" spans="1:60" x14ac:dyDescent="0.25">
      <c r="A558" t="s">
        <v>1983</v>
      </c>
      <c r="B558" t="s">
        <v>226</v>
      </c>
      <c r="C558" t="s">
        <v>1984</v>
      </c>
      <c r="D558" t="s">
        <v>1985</v>
      </c>
      <c r="E558" t="s">
        <v>1986</v>
      </c>
      <c r="F558" t="s">
        <v>1631</v>
      </c>
      <c r="G558" t="s">
        <v>1987</v>
      </c>
      <c r="H558" t="s">
        <v>501</v>
      </c>
      <c r="I558" t="s">
        <v>171</v>
      </c>
      <c r="J558" t="s">
        <v>172</v>
      </c>
      <c r="K558" t="s">
        <v>69</v>
      </c>
      <c r="L558" t="s">
        <v>1973</v>
      </c>
      <c r="M558" t="s">
        <v>71</v>
      </c>
      <c r="N558" t="s">
        <v>100</v>
      </c>
      <c r="O558" t="s">
        <v>1900</v>
      </c>
      <c r="P558" t="s">
        <v>1901</v>
      </c>
      <c r="R558" t="s">
        <v>1902</v>
      </c>
      <c r="S558" t="s">
        <v>1893</v>
      </c>
      <c r="T558" t="s">
        <v>274</v>
      </c>
      <c r="U558" t="s">
        <v>104</v>
      </c>
      <c r="V558" t="s">
        <v>653</v>
      </c>
      <c r="W558">
        <v>690</v>
      </c>
      <c r="X558">
        <v>29.99</v>
      </c>
      <c r="Y558">
        <v>89</v>
      </c>
      <c r="Z558">
        <v>499000</v>
      </c>
      <c r="AA558">
        <v>146970</v>
      </c>
      <c r="AB558">
        <v>242</v>
      </c>
      <c r="AD558" t="s">
        <v>238</v>
      </c>
      <c r="AE558">
        <v>2</v>
      </c>
      <c r="AF558">
        <v>0</v>
      </c>
      <c r="AI558">
        <v>10</v>
      </c>
      <c r="AJ558">
        <v>10</v>
      </c>
      <c r="AK558">
        <v>20</v>
      </c>
      <c r="AL558">
        <v>213</v>
      </c>
      <c r="AM558">
        <v>20</v>
      </c>
      <c r="AN558">
        <v>0</v>
      </c>
      <c r="AO558">
        <v>20</v>
      </c>
      <c r="AP558" t="s">
        <v>80</v>
      </c>
      <c r="AQ558" t="s">
        <v>187</v>
      </c>
      <c r="AS558" t="s">
        <v>86</v>
      </c>
      <c r="AT558" t="s">
        <v>261</v>
      </c>
      <c r="AU558" t="s">
        <v>261</v>
      </c>
      <c r="AV558" t="s">
        <v>1988</v>
      </c>
      <c r="AW558" t="s">
        <v>80</v>
      </c>
      <c r="AX558" t="s">
        <v>738</v>
      </c>
      <c r="AY558" t="s">
        <v>1989</v>
      </c>
      <c r="AZ558" t="s">
        <v>243</v>
      </c>
      <c r="BA558" t="s">
        <v>244</v>
      </c>
      <c r="BB558" t="s">
        <v>245</v>
      </c>
      <c r="BC558" t="s">
        <v>244</v>
      </c>
      <c r="BD558" t="s">
        <v>1995</v>
      </c>
      <c r="BE558" t="s">
        <v>1991</v>
      </c>
      <c r="BF558" t="s">
        <v>672</v>
      </c>
      <c r="BG558" t="s">
        <v>150</v>
      </c>
      <c r="BH558" t="str">
        <f>IF(COUNTIF(工作表1!A:A, $C558)&gt;0, "預購款", "非預購款")</f>
        <v>非預購款</v>
      </c>
    </row>
    <row r="559" spans="1:60" x14ac:dyDescent="0.25">
      <c r="A559" t="s">
        <v>1983</v>
      </c>
      <c r="B559" t="s">
        <v>226</v>
      </c>
      <c r="C559" t="s">
        <v>1984</v>
      </c>
      <c r="D559" t="s">
        <v>1985</v>
      </c>
      <c r="E559" t="s">
        <v>1986</v>
      </c>
      <c r="F559" t="s">
        <v>1631</v>
      </c>
      <c r="G559" t="s">
        <v>1987</v>
      </c>
      <c r="H559" t="s">
        <v>280</v>
      </c>
      <c r="I559" t="s">
        <v>171</v>
      </c>
      <c r="J559" t="s">
        <v>172</v>
      </c>
      <c r="K559" t="s">
        <v>69</v>
      </c>
      <c r="L559" t="s">
        <v>1973</v>
      </c>
      <c r="M559" t="s">
        <v>71</v>
      </c>
      <c r="N559" t="s">
        <v>100</v>
      </c>
      <c r="O559" t="s">
        <v>1900</v>
      </c>
      <c r="P559" t="s">
        <v>1901</v>
      </c>
      <c r="R559" t="s">
        <v>1902</v>
      </c>
      <c r="S559" t="s">
        <v>1893</v>
      </c>
      <c r="T559" t="s">
        <v>274</v>
      </c>
      <c r="U559" t="s">
        <v>104</v>
      </c>
      <c r="V559" t="s">
        <v>653</v>
      </c>
      <c r="W559">
        <v>690</v>
      </c>
      <c r="X559">
        <v>29.99</v>
      </c>
      <c r="Y559">
        <v>89</v>
      </c>
      <c r="Z559">
        <v>499000</v>
      </c>
      <c r="AA559">
        <v>146970</v>
      </c>
      <c r="AB559">
        <v>242</v>
      </c>
      <c r="AD559" t="s">
        <v>238</v>
      </c>
      <c r="AE559">
        <v>2</v>
      </c>
      <c r="AF559">
        <v>0</v>
      </c>
      <c r="AI559">
        <v>10</v>
      </c>
      <c r="AJ559">
        <v>30</v>
      </c>
      <c r="AK559">
        <v>40</v>
      </c>
      <c r="AL559">
        <v>213</v>
      </c>
      <c r="AM559">
        <v>42</v>
      </c>
      <c r="AN559">
        <v>0</v>
      </c>
      <c r="AO559">
        <v>42</v>
      </c>
      <c r="AP559" t="s">
        <v>80</v>
      </c>
      <c r="AQ559" t="s">
        <v>187</v>
      </c>
      <c r="AS559" t="s">
        <v>86</v>
      </c>
      <c r="AT559" t="s">
        <v>261</v>
      </c>
      <c r="AU559" t="s">
        <v>261</v>
      </c>
      <c r="AV559" t="s">
        <v>1988</v>
      </c>
      <c r="AW559" t="s">
        <v>80</v>
      </c>
      <c r="AX559" t="s">
        <v>738</v>
      </c>
      <c r="AY559" t="s">
        <v>1989</v>
      </c>
      <c r="AZ559" t="s">
        <v>243</v>
      </c>
      <c r="BA559" t="s">
        <v>244</v>
      </c>
      <c r="BB559" t="s">
        <v>245</v>
      </c>
      <c r="BC559" t="s">
        <v>244</v>
      </c>
      <c r="BD559" t="s">
        <v>1996</v>
      </c>
      <c r="BE559" t="s">
        <v>1991</v>
      </c>
      <c r="BF559" t="s">
        <v>672</v>
      </c>
      <c r="BG559" t="s">
        <v>150</v>
      </c>
      <c r="BH559" t="str">
        <f>IF(COUNTIF(工作表1!A:A, $C559)&gt;0, "預購款", "非預購款")</f>
        <v>非預購款</v>
      </c>
    </row>
    <row r="560" spans="1:60" x14ac:dyDescent="0.25">
      <c r="A560" t="s">
        <v>2008</v>
      </c>
      <c r="B560" t="s">
        <v>226</v>
      </c>
      <c r="C560" t="s">
        <v>2009</v>
      </c>
      <c r="D560" t="s">
        <v>2010</v>
      </c>
      <c r="E560" t="s">
        <v>2011</v>
      </c>
      <c r="F560" t="s">
        <v>1631</v>
      </c>
      <c r="G560" t="s">
        <v>2012</v>
      </c>
      <c r="H560" t="s">
        <v>119</v>
      </c>
      <c r="I560" t="s">
        <v>171</v>
      </c>
      <c r="J560" t="s">
        <v>172</v>
      </c>
      <c r="K560" t="s">
        <v>69</v>
      </c>
      <c r="L560" t="s">
        <v>2002</v>
      </c>
      <c r="M560" t="s">
        <v>71</v>
      </c>
      <c r="N560" t="s">
        <v>100</v>
      </c>
      <c r="O560" t="s">
        <v>1900</v>
      </c>
      <c r="P560" t="s">
        <v>1901</v>
      </c>
      <c r="R560" t="s">
        <v>1902</v>
      </c>
      <c r="S560" t="s">
        <v>1893</v>
      </c>
      <c r="T560" t="s">
        <v>76</v>
      </c>
      <c r="U560" t="s">
        <v>383</v>
      </c>
      <c r="V560" t="s">
        <v>384</v>
      </c>
      <c r="W560">
        <v>790</v>
      </c>
      <c r="X560">
        <v>34.99</v>
      </c>
      <c r="Y560">
        <v>99</v>
      </c>
      <c r="Z560">
        <v>569000</v>
      </c>
      <c r="AA560">
        <v>387100</v>
      </c>
      <c r="AB560">
        <v>418</v>
      </c>
      <c r="AD560" t="s">
        <v>238</v>
      </c>
      <c r="AE560">
        <v>2</v>
      </c>
      <c r="AF560">
        <v>15</v>
      </c>
      <c r="AI560">
        <v>35</v>
      </c>
      <c r="AJ560">
        <v>210</v>
      </c>
      <c r="AK560">
        <v>260</v>
      </c>
      <c r="AL560">
        <v>490</v>
      </c>
      <c r="AM560">
        <v>260</v>
      </c>
      <c r="AN560">
        <v>0</v>
      </c>
      <c r="AO560">
        <v>260</v>
      </c>
      <c r="AP560" t="s">
        <v>80</v>
      </c>
      <c r="AQ560" t="s">
        <v>176</v>
      </c>
      <c r="AR560" t="s">
        <v>86</v>
      </c>
      <c r="AS560" t="s">
        <v>86</v>
      </c>
      <c r="AT560" t="s">
        <v>86</v>
      </c>
      <c r="AU560" t="s">
        <v>86</v>
      </c>
      <c r="AV560" t="s">
        <v>2013</v>
      </c>
      <c r="AW560" t="s">
        <v>80</v>
      </c>
      <c r="AX560" t="s">
        <v>126</v>
      </c>
      <c r="AY560" t="s">
        <v>2014</v>
      </c>
      <c r="AZ560" t="s">
        <v>243</v>
      </c>
      <c r="BA560" t="s">
        <v>243</v>
      </c>
      <c r="BB560" t="s">
        <v>245</v>
      </c>
      <c r="BC560" t="s">
        <v>244</v>
      </c>
      <c r="BD560" t="s">
        <v>2016</v>
      </c>
      <c r="BE560" t="s">
        <v>2015</v>
      </c>
      <c r="BF560" t="s">
        <v>86</v>
      </c>
      <c r="BG560" t="s">
        <v>150</v>
      </c>
      <c r="BH560" t="str">
        <f>IF(COUNTIF(工作表1!A:A, $C560)&gt;0, "預購款", "非預購款")</f>
        <v>非預購款</v>
      </c>
    </row>
    <row r="561" spans="1:60" x14ac:dyDescent="0.25">
      <c r="A561" t="s">
        <v>2008</v>
      </c>
      <c r="B561" t="s">
        <v>226</v>
      </c>
      <c r="C561" t="s">
        <v>2009</v>
      </c>
      <c r="D561" t="s">
        <v>2010</v>
      </c>
      <c r="E561" t="s">
        <v>2011</v>
      </c>
      <c r="F561" t="s">
        <v>1631</v>
      </c>
      <c r="G561" t="s">
        <v>2012</v>
      </c>
      <c r="H561" t="s">
        <v>130</v>
      </c>
      <c r="I561" t="s">
        <v>171</v>
      </c>
      <c r="J561" t="s">
        <v>172</v>
      </c>
      <c r="K561" t="s">
        <v>69</v>
      </c>
      <c r="L561" t="s">
        <v>2002</v>
      </c>
      <c r="M561" t="s">
        <v>71</v>
      </c>
      <c r="N561" t="s">
        <v>100</v>
      </c>
      <c r="O561" t="s">
        <v>1900</v>
      </c>
      <c r="P561" t="s">
        <v>1901</v>
      </c>
      <c r="R561" t="s">
        <v>1902</v>
      </c>
      <c r="S561" t="s">
        <v>1893</v>
      </c>
      <c r="T561" t="s">
        <v>76</v>
      </c>
      <c r="U561" t="s">
        <v>383</v>
      </c>
      <c r="V561" t="s">
        <v>384</v>
      </c>
      <c r="W561">
        <v>790</v>
      </c>
      <c r="X561">
        <v>34.99</v>
      </c>
      <c r="Y561">
        <v>99</v>
      </c>
      <c r="Z561">
        <v>569000</v>
      </c>
      <c r="AA561">
        <v>387100</v>
      </c>
      <c r="AB561">
        <v>418</v>
      </c>
      <c r="AD561" t="s">
        <v>238</v>
      </c>
      <c r="AE561">
        <v>2</v>
      </c>
      <c r="AF561">
        <v>10</v>
      </c>
      <c r="AI561">
        <v>35</v>
      </c>
      <c r="AJ561">
        <v>70</v>
      </c>
      <c r="AK561">
        <v>115</v>
      </c>
      <c r="AL561">
        <v>490</v>
      </c>
      <c r="AM561">
        <v>126</v>
      </c>
      <c r="AN561">
        <v>0</v>
      </c>
      <c r="AO561">
        <v>126</v>
      </c>
      <c r="AP561" t="s">
        <v>80</v>
      </c>
      <c r="AQ561" t="s">
        <v>176</v>
      </c>
      <c r="AR561" t="s">
        <v>86</v>
      </c>
      <c r="AS561" t="s">
        <v>86</v>
      </c>
      <c r="AT561" t="s">
        <v>86</v>
      </c>
      <c r="AU561" t="s">
        <v>86</v>
      </c>
      <c r="AV561" t="s">
        <v>2013</v>
      </c>
      <c r="AW561" t="s">
        <v>80</v>
      </c>
      <c r="AX561" t="s">
        <v>126</v>
      </c>
      <c r="AY561" t="s">
        <v>2014</v>
      </c>
      <c r="AZ561" t="s">
        <v>243</v>
      </c>
      <c r="BA561" t="s">
        <v>243</v>
      </c>
      <c r="BB561" t="s">
        <v>245</v>
      </c>
      <c r="BC561" t="s">
        <v>244</v>
      </c>
      <c r="BD561" t="s">
        <v>2017</v>
      </c>
      <c r="BE561" t="s">
        <v>2015</v>
      </c>
      <c r="BF561" t="s">
        <v>86</v>
      </c>
      <c r="BG561" t="s">
        <v>150</v>
      </c>
      <c r="BH561" t="str">
        <f>IF(COUNTIF(工作表1!A:A, $C561)&gt;0, "預購款", "非預購款")</f>
        <v>非預購款</v>
      </c>
    </row>
    <row r="562" spans="1:60" x14ac:dyDescent="0.25">
      <c r="A562" t="s">
        <v>2008</v>
      </c>
      <c r="B562" t="s">
        <v>226</v>
      </c>
      <c r="C562" t="s">
        <v>2009</v>
      </c>
      <c r="D562" t="s">
        <v>2010</v>
      </c>
      <c r="E562" t="s">
        <v>2011</v>
      </c>
      <c r="F562" t="s">
        <v>1631</v>
      </c>
      <c r="G562" t="s">
        <v>2012</v>
      </c>
      <c r="H562" t="s">
        <v>132</v>
      </c>
      <c r="I562" t="s">
        <v>171</v>
      </c>
      <c r="J562" t="s">
        <v>172</v>
      </c>
      <c r="K562" t="s">
        <v>69</v>
      </c>
      <c r="L562" t="s">
        <v>2002</v>
      </c>
      <c r="M562" t="s">
        <v>71</v>
      </c>
      <c r="N562" t="s">
        <v>100</v>
      </c>
      <c r="O562" t="s">
        <v>1900</v>
      </c>
      <c r="P562" t="s">
        <v>1901</v>
      </c>
      <c r="R562" t="s">
        <v>1902</v>
      </c>
      <c r="S562" t="s">
        <v>1893</v>
      </c>
      <c r="T562" t="s">
        <v>76</v>
      </c>
      <c r="U562" t="s">
        <v>383</v>
      </c>
      <c r="V562" t="s">
        <v>384</v>
      </c>
      <c r="W562">
        <v>790</v>
      </c>
      <c r="X562">
        <v>34.99</v>
      </c>
      <c r="Y562">
        <v>99</v>
      </c>
      <c r="Z562">
        <v>569000</v>
      </c>
      <c r="AA562">
        <v>387100</v>
      </c>
      <c r="AB562">
        <v>418</v>
      </c>
      <c r="AD562" t="s">
        <v>238</v>
      </c>
      <c r="AE562">
        <v>2</v>
      </c>
      <c r="AF562">
        <v>0</v>
      </c>
      <c r="AI562">
        <v>20</v>
      </c>
      <c r="AJ562">
        <v>30</v>
      </c>
      <c r="AK562">
        <v>50</v>
      </c>
      <c r="AL562">
        <v>490</v>
      </c>
      <c r="AM562">
        <v>59</v>
      </c>
      <c r="AN562">
        <v>0</v>
      </c>
      <c r="AO562">
        <v>59</v>
      </c>
      <c r="AP562" t="s">
        <v>80</v>
      </c>
      <c r="AQ562" t="s">
        <v>176</v>
      </c>
      <c r="AR562" t="s">
        <v>86</v>
      </c>
      <c r="AS562" t="s">
        <v>86</v>
      </c>
      <c r="AT562" t="s">
        <v>86</v>
      </c>
      <c r="AU562" t="s">
        <v>86</v>
      </c>
      <c r="AV562" t="s">
        <v>2013</v>
      </c>
      <c r="AW562" t="s">
        <v>80</v>
      </c>
      <c r="AX562" t="s">
        <v>126</v>
      </c>
      <c r="AY562" t="s">
        <v>2014</v>
      </c>
      <c r="AZ562" t="s">
        <v>243</v>
      </c>
      <c r="BA562" t="s">
        <v>243</v>
      </c>
      <c r="BB562" t="s">
        <v>245</v>
      </c>
      <c r="BC562" t="s">
        <v>244</v>
      </c>
      <c r="BD562" t="s">
        <v>2018</v>
      </c>
      <c r="BE562" t="s">
        <v>2015</v>
      </c>
      <c r="BF562" t="s">
        <v>86</v>
      </c>
      <c r="BG562" t="s">
        <v>150</v>
      </c>
      <c r="BH562" t="str">
        <f>IF(COUNTIF(工作表1!A:A, $C562)&gt;0, "預購款", "非預購款")</f>
        <v>非預購款</v>
      </c>
    </row>
    <row r="563" spans="1:60" x14ac:dyDescent="0.25">
      <c r="A563" t="s">
        <v>2019</v>
      </c>
      <c r="B563" t="s">
        <v>301</v>
      </c>
      <c r="C563" t="s">
        <v>2020</v>
      </c>
      <c r="D563" t="s">
        <v>2021</v>
      </c>
      <c r="E563" t="s">
        <v>2022</v>
      </c>
      <c r="F563" t="s">
        <v>1631</v>
      </c>
      <c r="G563" t="s">
        <v>2023</v>
      </c>
      <c r="H563" t="s">
        <v>119</v>
      </c>
      <c r="I563" t="s">
        <v>97</v>
      </c>
      <c r="J563" t="s">
        <v>98</v>
      </c>
      <c r="K563" t="s">
        <v>69</v>
      </c>
      <c r="L563" t="s">
        <v>2024</v>
      </c>
      <c r="M563" t="s">
        <v>71</v>
      </c>
      <c r="N563" t="s">
        <v>100</v>
      </c>
      <c r="O563" t="s">
        <v>1900</v>
      </c>
      <c r="P563" t="s">
        <v>1901</v>
      </c>
      <c r="R563" t="s">
        <v>1902</v>
      </c>
      <c r="S563" t="s">
        <v>1893</v>
      </c>
      <c r="T563" t="s">
        <v>291</v>
      </c>
      <c r="U563" t="s">
        <v>104</v>
      </c>
      <c r="V563" t="s">
        <v>653</v>
      </c>
      <c r="W563">
        <v>690</v>
      </c>
      <c r="X563">
        <v>29.99</v>
      </c>
      <c r="Y563">
        <v>89</v>
      </c>
      <c r="Z563">
        <v>499000</v>
      </c>
      <c r="AA563">
        <v>179400</v>
      </c>
      <c r="AB563">
        <v>150</v>
      </c>
      <c r="AD563" t="s">
        <v>238</v>
      </c>
      <c r="AE563">
        <v>1</v>
      </c>
      <c r="AF563">
        <v>0</v>
      </c>
      <c r="AI563">
        <v>0</v>
      </c>
      <c r="AJ563">
        <v>180</v>
      </c>
      <c r="AK563">
        <v>180</v>
      </c>
      <c r="AL563">
        <v>260</v>
      </c>
      <c r="AM563">
        <v>190</v>
      </c>
      <c r="AN563">
        <v>0</v>
      </c>
      <c r="AO563">
        <v>190</v>
      </c>
      <c r="AP563" t="s">
        <v>80</v>
      </c>
      <c r="AQ563" t="s">
        <v>176</v>
      </c>
      <c r="AT563" t="s">
        <v>240</v>
      </c>
      <c r="AU563" t="s">
        <v>240</v>
      </c>
      <c r="AV563" t="s">
        <v>2025</v>
      </c>
      <c r="AW563" t="s">
        <v>69</v>
      </c>
      <c r="AX563" t="s">
        <v>2026</v>
      </c>
      <c r="AY563" t="s">
        <v>2027</v>
      </c>
      <c r="AZ563" t="s">
        <v>243</v>
      </c>
      <c r="BA563" t="s">
        <v>245</v>
      </c>
      <c r="BB563" t="s">
        <v>245</v>
      </c>
      <c r="BC563" t="s">
        <v>244</v>
      </c>
      <c r="BD563" t="s">
        <v>2028</v>
      </c>
      <c r="BE563" t="s">
        <v>2029</v>
      </c>
      <c r="BF563" t="s">
        <v>971</v>
      </c>
      <c r="BG563" t="s">
        <v>87</v>
      </c>
      <c r="BH563" t="str">
        <f>IF(COUNTIF(工作表1!A:A, $C563)&gt;0, "預購款", "非預購款")</f>
        <v>非預購款</v>
      </c>
    </row>
    <row r="564" spans="1:60" x14ac:dyDescent="0.25">
      <c r="A564" t="s">
        <v>2019</v>
      </c>
      <c r="B564" t="s">
        <v>301</v>
      </c>
      <c r="C564" t="s">
        <v>2020</v>
      </c>
      <c r="D564" t="s">
        <v>2021</v>
      </c>
      <c r="E564" t="s">
        <v>2022</v>
      </c>
      <c r="F564" t="s">
        <v>1631</v>
      </c>
      <c r="G564" t="s">
        <v>2023</v>
      </c>
      <c r="H564" t="s">
        <v>130</v>
      </c>
      <c r="I564" t="s">
        <v>97</v>
      </c>
      <c r="J564" t="s">
        <v>98</v>
      </c>
      <c r="K564" t="s">
        <v>69</v>
      </c>
      <c r="L564" t="s">
        <v>2024</v>
      </c>
      <c r="M564" t="s">
        <v>71</v>
      </c>
      <c r="N564" t="s">
        <v>100</v>
      </c>
      <c r="O564" t="s">
        <v>1900</v>
      </c>
      <c r="P564" t="s">
        <v>1901</v>
      </c>
      <c r="R564" t="s">
        <v>1902</v>
      </c>
      <c r="S564" t="s">
        <v>1893</v>
      </c>
      <c r="T564" t="s">
        <v>291</v>
      </c>
      <c r="U564" t="s">
        <v>104</v>
      </c>
      <c r="V564" t="s">
        <v>653</v>
      </c>
      <c r="W564">
        <v>690</v>
      </c>
      <c r="X564">
        <v>29.99</v>
      </c>
      <c r="Y564">
        <v>89</v>
      </c>
      <c r="Z564">
        <v>499000</v>
      </c>
      <c r="AA564">
        <v>179400</v>
      </c>
      <c r="AB564">
        <v>150</v>
      </c>
      <c r="AD564" t="s">
        <v>238</v>
      </c>
      <c r="AE564">
        <v>1</v>
      </c>
      <c r="AF564">
        <v>0</v>
      </c>
      <c r="AI564">
        <v>0</v>
      </c>
      <c r="AJ564">
        <v>80</v>
      </c>
      <c r="AK564">
        <v>80</v>
      </c>
      <c r="AL564">
        <v>260</v>
      </c>
      <c r="AM564">
        <v>90</v>
      </c>
      <c r="AN564">
        <v>0</v>
      </c>
      <c r="AO564">
        <v>90</v>
      </c>
      <c r="AP564" t="s">
        <v>80</v>
      </c>
      <c r="AQ564" t="s">
        <v>176</v>
      </c>
      <c r="AT564" t="s">
        <v>240</v>
      </c>
      <c r="AU564" t="s">
        <v>240</v>
      </c>
      <c r="AV564" t="s">
        <v>2025</v>
      </c>
      <c r="AW564" t="s">
        <v>69</v>
      </c>
      <c r="AX564" t="s">
        <v>2026</v>
      </c>
      <c r="AY564" t="s">
        <v>2027</v>
      </c>
      <c r="AZ564" t="s">
        <v>243</v>
      </c>
      <c r="BA564" t="s">
        <v>245</v>
      </c>
      <c r="BB564" t="s">
        <v>245</v>
      </c>
      <c r="BC564" t="s">
        <v>244</v>
      </c>
      <c r="BD564" t="s">
        <v>2030</v>
      </c>
      <c r="BE564" t="s">
        <v>2029</v>
      </c>
      <c r="BF564" t="s">
        <v>971</v>
      </c>
      <c r="BG564" t="s">
        <v>87</v>
      </c>
      <c r="BH564" t="str">
        <f>IF(COUNTIF(工作表1!A:A, $C564)&gt;0, "預購款", "非預購款")</f>
        <v>非預購款</v>
      </c>
    </row>
    <row r="565" spans="1:60" x14ac:dyDescent="0.25">
      <c r="A565" t="s">
        <v>2031</v>
      </c>
      <c r="B565" t="s">
        <v>301</v>
      </c>
      <c r="C565" t="s">
        <v>2032</v>
      </c>
      <c r="D565" t="s">
        <v>2033</v>
      </c>
      <c r="E565" t="s">
        <v>2034</v>
      </c>
      <c r="F565" t="s">
        <v>1631</v>
      </c>
      <c r="G565" t="s">
        <v>2035</v>
      </c>
      <c r="H565" t="s">
        <v>66</v>
      </c>
      <c r="I565" t="s">
        <v>97</v>
      </c>
      <c r="J565" t="s">
        <v>98</v>
      </c>
      <c r="K565" t="s">
        <v>80</v>
      </c>
      <c r="L565" t="s">
        <v>2036</v>
      </c>
      <c r="M565" t="s">
        <v>71</v>
      </c>
      <c r="N565" t="s">
        <v>100</v>
      </c>
      <c r="O565" t="s">
        <v>1391</v>
      </c>
      <c r="P565" t="s">
        <v>1392</v>
      </c>
      <c r="R565" t="s">
        <v>1393</v>
      </c>
      <c r="S565" t="s">
        <v>1893</v>
      </c>
      <c r="T565" t="s">
        <v>291</v>
      </c>
      <c r="U565" t="s">
        <v>150</v>
      </c>
      <c r="V565" t="s">
        <v>307</v>
      </c>
      <c r="W565">
        <v>790</v>
      </c>
      <c r="X565">
        <v>34.99</v>
      </c>
      <c r="Y565">
        <v>99</v>
      </c>
      <c r="Z565">
        <v>569000</v>
      </c>
      <c r="AA565">
        <v>205400</v>
      </c>
      <c r="AB565">
        <v>260</v>
      </c>
      <c r="AD565" t="s">
        <v>238</v>
      </c>
      <c r="AE565">
        <v>2</v>
      </c>
      <c r="AF565">
        <v>0</v>
      </c>
      <c r="AI565">
        <v>80</v>
      </c>
      <c r="AJ565">
        <v>80</v>
      </c>
      <c r="AK565">
        <v>160</v>
      </c>
      <c r="AL565">
        <v>260</v>
      </c>
      <c r="AM565">
        <v>170</v>
      </c>
      <c r="AN565">
        <v>0</v>
      </c>
      <c r="AO565">
        <v>170</v>
      </c>
      <c r="AP565" t="s">
        <v>80</v>
      </c>
      <c r="AQ565" t="s">
        <v>179</v>
      </c>
      <c r="AT565" t="s">
        <v>86</v>
      </c>
      <c r="AU565" t="s">
        <v>86</v>
      </c>
      <c r="AV565" t="s">
        <v>876</v>
      </c>
      <c r="AW565" t="s">
        <v>69</v>
      </c>
      <c r="AX565" t="s">
        <v>126</v>
      </c>
      <c r="AY565" t="s">
        <v>2037</v>
      </c>
      <c r="AZ565" t="s">
        <v>310</v>
      </c>
      <c r="BA565" t="s">
        <v>310</v>
      </c>
      <c r="BB565" t="s">
        <v>244</v>
      </c>
      <c r="BC565" t="s">
        <v>264</v>
      </c>
      <c r="BD565" t="s">
        <v>2038</v>
      </c>
      <c r="BE565" t="s">
        <v>2039</v>
      </c>
      <c r="BF565" t="s">
        <v>291</v>
      </c>
      <c r="BG565" t="s">
        <v>87</v>
      </c>
      <c r="BH565" t="str">
        <f>IF(COUNTIF(工作表1!A:A, $C565)&gt;0, "預購款", "非預購款")</f>
        <v>非預購款</v>
      </c>
    </row>
    <row r="566" spans="1:60" x14ac:dyDescent="0.25">
      <c r="A566" t="s">
        <v>2031</v>
      </c>
      <c r="B566" t="s">
        <v>301</v>
      </c>
      <c r="C566" t="s">
        <v>2032</v>
      </c>
      <c r="D566" t="s">
        <v>2033</v>
      </c>
      <c r="E566" t="s">
        <v>2034</v>
      </c>
      <c r="F566" t="s">
        <v>1631</v>
      </c>
      <c r="G566" t="s">
        <v>2035</v>
      </c>
      <c r="H566" t="s">
        <v>66</v>
      </c>
      <c r="I566" t="s">
        <v>1552</v>
      </c>
      <c r="J566" t="s">
        <v>1553</v>
      </c>
      <c r="K566" t="s">
        <v>69</v>
      </c>
      <c r="L566" t="s">
        <v>2036</v>
      </c>
      <c r="M566" t="s">
        <v>71</v>
      </c>
      <c r="N566" t="s">
        <v>100</v>
      </c>
      <c r="O566" t="s">
        <v>1391</v>
      </c>
      <c r="P566" t="s">
        <v>1392</v>
      </c>
      <c r="R566" t="s">
        <v>1393</v>
      </c>
      <c r="S566" t="s">
        <v>1893</v>
      </c>
      <c r="T566" t="s">
        <v>291</v>
      </c>
      <c r="U566" t="s">
        <v>150</v>
      </c>
      <c r="V566" t="s">
        <v>307</v>
      </c>
      <c r="W566">
        <v>790</v>
      </c>
      <c r="X566">
        <v>34.99</v>
      </c>
      <c r="Y566">
        <v>99</v>
      </c>
      <c r="Z566">
        <v>569000</v>
      </c>
      <c r="AA566">
        <v>205400</v>
      </c>
      <c r="AB566">
        <v>260</v>
      </c>
      <c r="AD566" t="s">
        <v>238</v>
      </c>
      <c r="AE566">
        <v>2</v>
      </c>
      <c r="AF566">
        <v>0</v>
      </c>
      <c r="AI566">
        <v>60</v>
      </c>
      <c r="AJ566">
        <v>40</v>
      </c>
      <c r="AK566">
        <v>100</v>
      </c>
      <c r="AL566">
        <v>260</v>
      </c>
      <c r="AM566">
        <v>110</v>
      </c>
      <c r="AN566">
        <v>0</v>
      </c>
      <c r="AO566">
        <v>110</v>
      </c>
      <c r="AP566" t="s">
        <v>80</v>
      </c>
      <c r="AQ566" t="s">
        <v>179</v>
      </c>
      <c r="AT566" t="s">
        <v>86</v>
      </c>
      <c r="AU566" t="s">
        <v>86</v>
      </c>
      <c r="AV566" t="s">
        <v>876</v>
      </c>
      <c r="AW566" t="s">
        <v>69</v>
      </c>
      <c r="AX566" t="s">
        <v>126</v>
      </c>
      <c r="AY566" t="s">
        <v>2037</v>
      </c>
      <c r="AZ566" t="s">
        <v>310</v>
      </c>
      <c r="BA566" t="s">
        <v>310</v>
      </c>
      <c r="BB566" t="s">
        <v>244</v>
      </c>
      <c r="BC566" t="s">
        <v>264</v>
      </c>
      <c r="BD566" t="s">
        <v>2040</v>
      </c>
      <c r="BE566" t="s">
        <v>2039</v>
      </c>
      <c r="BF566" t="s">
        <v>291</v>
      </c>
      <c r="BG566" t="s">
        <v>87</v>
      </c>
      <c r="BH566" t="str">
        <f>IF(COUNTIF(工作表1!A:A, $C566)&gt;0, "預購款", "非預購款")</f>
        <v>非預購款</v>
      </c>
    </row>
    <row r="567" spans="1:60" x14ac:dyDescent="0.25">
      <c r="A567" t="s">
        <v>2041</v>
      </c>
      <c r="B567" t="s">
        <v>776</v>
      </c>
      <c r="C567" t="s">
        <v>2042</v>
      </c>
      <c r="D567" t="s">
        <v>2043</v>
      </c>
      <c r="E567" t="s">
        <v>2044</v>
      </c>
      <c r="F567" t="s">
        <v>1631</v>
      </c>
      <c r="G567" t="s">
        <v>2045</v>
      </c>
      <c r="H567" t="s">
        <v>119</v>
      </c>
      <c r="I567" t="s">
        <v>171</v>
      </c>
      <c r="J567" t="s">
        <v>172</v>
      </c>
      <c r="K567" t="s">
        <v>69</v>
      </c>
      <c r="L567" t="s">
        <v>2046</v>
      </c>
      <c r="M567" t="s">
        <v>71</v>
      </c>
      <c r="N567" t="s">
        <v>100</v>
      </c>
      <c r="O567" t="s">
        <v>1900</v>
      </c>
      <c r="P567" t="s">
        <v>1901</v>
      </c>
      <c r="R567" t="s">
        <v>1902</v>
      </c>
      <c r="S567" t="s">
        <v>1893</v>
      </c>
      <c r="T567" t="s">
        <v>76</v>
      </c>
      <c r="U567" t="s">
        <v>104</v>
      </c>
      <c r="V567" t="s">
        <v>2047</v>
      </c>
      <c r="W567">
        <v>890</v>
      </c>
      <c r="X567">
        <v>39.99</v>
      </c>
      <c r="Y567">
        <v>115</v>
      </c>
      <c r="Z567">
        <v>639000</v>
      </c>
      <c r="AA567">
        <v>262550</v>
      </c>
      <c r="AB567">
        <v>352</v>
      </c>
      <c r="AD567" t="s">
        <v>238</v>
      </c>
      <c r="AE567">
        <v>1</v>
      </c>
      <c r="AF567">
        <v>10</v>
      </c>
      <c r="AI567">
        <v>0</v>
      </c>
      <c r="AJ567">
        <v>120</v>
      </c>
      <c r="AK567">
        <v>130</v>
      </c>
      <c r="AL567">
        <v>295</v>
      </c>
      <c r="AM567">
        <v>122</v>
      </c>
      <c r="AN567">
        <v>0</v>
      </c>
      <c r="AO567">
        <v>122</v>
      </c>
      <c r="AP567" t="s">
        <v>80</v>
      </c>
      <c r="AQ567" t="s">
        <v>179</v>
      </c>
      <c r="AR567" t="s">
        <v>86</v>
      </c>
      <c r="AS567" t="s">
        <v>86</v>
      </c>
      <c r="AT567" t="s">
        <v>86</v>
      </c>
      <c r="AU567" t="s">
        <v>86</v>
      </c>
      <c r="AV567" t="s">
        <v>2048</v>
      </c>
      <c r="AW567" t="s">
        <v>80</v>
      </c>
      <c r="AX567" t="s">
        <v>2049</v>
      </c>
      <c r="AY567" t="s">
        <v>2014</v>
      </c>
      <c r="AZ567" t="s">
        <v>245</v>
      </c>
      <c r="BA567" t="s">
        <v>243</v>
      </c>
      <c r="BB567" t="s">
        <v>245</v>
      </c>
      <c r="BC567" t="s">
        <v>244</v>
      </c>
      <c r="BD567" t="s">
        <v>2050</v>
      </c>
      <c r="BE567" t="s">
        <v>2051</v>
      </c>
      <c r="BF567" t="s">
        <v>86</v>
      </c>
      <c r="BG567" t="s">
        <v>150</v>
      </c>
      <c r="BH567" t="str">
        <f>IF(COUNTIF(工作表1!A:A, $C567)&gt;0, "預購款", "非預購款")</f>
        <v>非預購款</v>
      </c>
    </row>
    <row r="568" spans="1:60" x14ac:dyDescent="0.25">
      <c r="A568" t="s">
        <v>2041</v>
      </c>
      <c r="B568" t="s">
        <v>776</v>
      </c>
      <c r="C568" t="s">
        <v>2042</v>
      </c>
      <c r="D568" t="s">
        <v>2043</v>
      </c>
      <c r="E568" t="s">
        <v>2044</v>
      </c>
      <c r="F568" t="s">
        <v>1631</v>
      </c>
      <c r="G568" t="s">
        <v>2045</v>
      </c>
      <c r="H568" t="s">
        <v>130</v>
      </c>
      <c r="I568" t="s">
        <v>171</v>
      </c>
      <c r="J568" t="s">
        <v>172</v>
      </c>
      <c r="K568" t="s">
        <v>69</v>
      </c>
      <c r="L568" t="s">
        <v>2046</v>
      </c>
      <c r="M568" t="s">
        <v>71</v>
      </c>
      <c r="N568" t="s">
        <v>100</v>
      </c>
      <c r="O568" t="s">
        <v>1900</v>
      </c>
      <c r="P568" t="s">
        <v>1901</v>
      </c>
      <c r="R568" t="s">
        <v>1902</v>
      </c>
      <c r="S568" t="s">
        <v>1893</v>
      </c>
      <c r="T568" t="s">
        <v>76</v>
      </c>
      <c r="U568" t="s">
        <v>104</v>
      </c>
      <c r="V568" t="s">
        <v>2047</v>
      </c>
      <c r="W568">
        <v>890</v>
      </c>
      <c r="X568">
        <v>39.99</v>
      </c>
      <c r="Y568">
        <v>115</v>
      </c>
      <c r="Z568">
        <v>639000</v>
      </c>
      <c r="AA568">
        <v>262550</v>
      </c>
      <c r="AB568">
        <v>352</v>
      </c>
      <c r="AD568" t="s">
        <v>238</v>
      </c>
      <c r="AE568">
        <v>1</v>
      </c>
      <c r="AF568">
        <v>5</v>
      </c>
      <c r="AI568">
        <v>20</v>
      </c>
      <c r="AJ568">
        <v>100</v>
      </c>
      <c r="AK568">
        <v>125</v>
      </c>
      <c r="AL568">
        <v>295</v>
      </c>
      <c r="AM568">
        <v>120</v>
      </c>
      <c r="AN568">
        <v>0</v>
      </c>
      <c r="AO568">
        <v>120</v>
      </c>
      <c r="AP568" t="s">
        <v>80</v>
      </c>
      <c r="AQ568" t="s">
        <v>179</v>
      </c>
      <c r="AR568" t="s">
        <v>86</v>
      </c>
      <c r="AS568" t="s">
        <v>86</v>
      </c>
      <c r="AT568" t="s">
        <v>86</v>
      </c>
      <c r="AU568" t="s">
        <v>86</v>
      </c>
      <c r="AV568" t="s">
        <v>2048</v>
      </c>
      <c r="AW568" t="s">
        <v>80</v>
      </c>
      <c r="AX568" t="s">
        <v>2049</v>
      </c>
      <c r="AY568" t="s">
        <v>2014</v>
      </c>
      <c r="AZ568" t="s">
        <v>245</v>
      </c>
      <c r="BA568" t="s">
        <v>243</v>
      </c>
      <c r="BB568" t="s">
        <v>245</v>
      </c>
      <c r="BC568" t="s">
        <v>244</v>
      </c>
      <c r="BD568" t="s">
        <v>2052</v>
      </c>
      <c r="BE568" t="s">
        <v>2051</v>
      </c>
      <c r="BF568" t="s">
        <v>86</v>
      </c>
      <c r="BG568" t="s">
        <v>150</v>
      </c>
      <c r="BH568" t="str">
        <f>IF(COUNTIF(工作表1!A:A, $C568)&gt;0, "預購款", "非預購款")</f>
        <v>非預購款</v>
      </c>
    </row>
    <row r="569" spans="1:60" x14ac:dyDescent="0.25">
      <c r="A569" t="s">
        <v>2041</v>
      </c>
      <c r="B569" t="s">
        <v>776</v>
      </c>
      <c r="C569" t="s">
        <v>2042</v>
      </c>
      <c r="D569" t="s">
        <v>2043</v>
      </c>
      <c r="E569" t="s">
        <v>2044</v>
      </c>
      <c r="F569" t="s">
        <v>1631</v>
      </c>
      <c r="G569" t="s">
        <v>2045</v>
      </c>
      <c r="H569" t="s">
        <v>132</v>
      </c>
      <c r="I569" t="s">
        <v>171</v>
      </c>
      <c r="J569" t="s">
        <v>172</v>
      </c>
      <c r="K569" t="s">
        <v>69</v>
      </c>
      <c r="L569" t="s">
        <v>2046</v>
      </c>
      <c r="M569" t="s">
        <v>71</v>
      </c>
      <c r="N569" t="s">
        <v>100</v>
      </c>
      <c r="O569" t="s">
        <v>1900</v>
      </c>
      <c r="P569" t="s">
        <v>1901</v>
      </c>
      <c r="R569" t="s">
        <v>1902</v>
      </c>
      <c r="S569" t="s">
        <v>1893</v>
      </c>
      <c r="T569" t="s">
        <v>76</v>
      </c>
      <c r="U569" t="s">
        <v>104</v>
      </c>
      <c r="V569" t="s">
        <v>2047</v>
      </c>
      <c r="W569">
        <v>890</v>
      </c>
      <c r="X569">
        <v>39.99</v>
      </c>
      <c r="Y569">
        <v>115</v>
      </c>
      <c r="Z569">
        <v>639000</v>
      </c>
      <c r="AA569">
        <v>262550</v>
      </c>
      <c r="AB569">
        <v>352</v>
      </c>
      <c r="AD569" t="s">
        <v>238</v>
      </c>
      <c r="AE569">
        <v>1</v>
      </c>
      <c r="AF569">
        <v>0</v>
      </c>
      <c r="AI569">
        <v>0</v>
      </c>
      <c r="AJ569">
        <v>40</v>
      </c>
      <c r="AK569">
        <v>40</v>
      </c>
      <c r="AL569">
        <v>295</v>
      </c>
      <c r="AM569">
        <v>35</v>
      </c>
      <c r="AN569">
        <v>0</v>
      </c>
      <c r="AO569">
        <v>35</v>
      </c>
      <c r="AP569" t="s">
        <v>80</v>
      </c>
      <c r="AQ569" t="s">
        <v>179</v>
      </c>
      <c r="AR569" t="s">
        <v>86</v>
      </c>
      <c r="AS569" t="s">
        <v>86</v>
      </c>
      <c r="AT569" t="s">
        <v>86</v>
      </c>
      <c r="AU569" t="s">
        <v>86</v>
      </c>
      <c r="AV569" t="s">
        <v>2048</v>
      </c>
      <c r="AW569" t="s">
        <v>80</v>
      </c>
      <c r="AX569" t="s">
        <v>2049</v>
      </c>
      <c r="AY569" t="s">
        <v>2014</v>
      </c>
      <c r="AZ569" t="s">
        <v>245</v>
      </c>
      <c r="BA569" t="s">
        <v>243</v>
      </c>
      <c r="BB569" t="s">
        <v>245</v>
      </c>
      <c r="BC569" t="s">
        <v>244</v>
      </c>
      <c r="BD569" t="s">
        <v>2053</v>
      </c>
      <c r="BE569" t="s">
        <v>2051</v>
      </c>
      <c r="BF569" t="s">
        <v>86</v>
      </c>
      <c r="BG569" t="s">
        <v>150</v>
      </c>
      <c r="BH569" t="str">
        <f>IF(COUNTIF(工作表1!A:A, $C569)&gt;0, "預購款", "非預購款")</f>
        <v>非預購款</v>
      </c>
    </row>
    <row r="570" spans="1:60" x14ac:dyDescent="0.25">
      <c r="A570" t="s">
        <v>2054</v>
      </c>
      <c r="B570" t="s">
        <v>776</v>
      </c>
      <c r="C570" t="s">
        <v>2055</v>
      </c>
      <c r="D570" t="s">
        <v>2056</v>
      </c>
      <c r="E570" t="s">
        <v>2057</v>
      </c>
      <c r="F570" t="s">
        <v>1631</v>
      </c>
      <c r="G570" t="s">
        <v>2058</v>
      </c>
      <c r="H570" t="s">
        <v>119</v>
      </c>
      <c r="I570" t="s">
        <v>120</v>
      </c>
      <c r="J570" t="s">
        <v>121</v>
      </c>
      <c r="K570" t="s">
        <v>69</v>
      </c>
      <c r="L570" t="s">
        <v>2059</v>
      </c>
      <c r="M570" t="s">
        <v>71</v>
      </c>
      <c r="N570" t="s">
        <v>100</v>
      </c>
      <c r="O570" t="s">
        <v>1900</v>
      </c>
      <c r="P570" t="s">
        <v>1901</v>
      </c>
      <c r="R570" t="s">
        <v>1902</v>
      </c>
      <c r="S570" t="s">
        <v>1893</v>
      </c>
      <c r="T570" t="s">
        <v>76</v>
      </c>
      <c r="U570" t="s">
        <v>502</v>
      </c>
      <c r="V570" t="s">
        <v>2060</v>
      </c>
      <c r="W570">
        <v>990</v>
      </c>
      <c r="X570">
        <v>39.99</v>
      </c>
      <c r="Y570">
        <v>129</v>
      </c>
      <c r="Z570">
        <v>709000</v>
      </c>
      <c r="AA570">
        <v>799920</v>
      </c>
      <c r="AB570">
        <v>318</v>
      </c>
      <c r="AD570" t="s">
        <v>238</v>
      </c>
      <c r="AE570">
        <v>2</v>
      </c>
      <c r="AF570">
        <v>35</v>
      </c>
      <c r="AI570">
        <v>30</v>
      </c>
      <c r="AJ570">
        <v>100</v>
      </c>
      <c r="AK570">
        <v>165</v>
      </c>
      <c r="AL570">
        <v>808</v>
      </c>
      <c r="AM570">
        <v>165</v>
      </c>
      <c r="AN570">
        <v>0</v>
      </c>
      <c r="AO570">
        <v>165</v>
      </c>
      <c r="AP570" t="s">
        <v>80</v>
      </c>
      <c r="AQ570" t="s">
        <v>176</v>
      </c>
      <c r="AR570" t="s">
        <v>261</v>
      </c>
      <c r="AS570" t="s">
        <v>86</v>
      </c>
      <c r="AT570" t="s">
        <v>86</v>
      </c>
      <c r="AU570" t="s">
        <v>86</v>
      </c>
      <c r="AV570" t="s">
        <v>1974</v>
      </c>
      <c r="AW570" t="s">
        <v>80</v>
      </c>
      <c r="AX570" t="s">
        <v>218</v>
      </c>
      <c r="AY570" t="s">
        <v>2061</v>
      </c>
      <c r="AZ570" t="s">
        <v>243</v>
      </c>
      <c r="BA570" t="s">
        <v>245</v>
      </c>
      <c r="BB570" t="s">
        <v>244</v>
      </c>
      <c r="BC570" t="s">
        <v>244</v>
      </c>
      <c r="BD570" t="s">
        <v>2062</v>
      </c>
      <c r="BE570" t="s">
        <v>2063</v>
      </c>
      <c r="BF570" t="s">
        <v>86</v>
      </c>
      <c r="BG570" t="s">
        <v>150</v>
      </c>
      <c r="BH570" t="str">
        <f>IF(COUNTIF(工作表1!A:A, $C570)&gt;0, "預購款", "非預購款")</f>
        <v>非預購款</v>
      </c>
    </row>
    <row r="571" spans="1:60" x14ac:dyDescent="0.25">
      <c r="A571" t="s">
        <v>2054</v>
      </c>
      <c r="B571" t="s">
        <v>776</v>
      </c>
      <c r="C571" t="s">
        <v>2055</v>
      </c>
      <c r="D571" t="s">
        <v>2056</v>
      </c>
      <c r="E571" t="s">
        <v>2057</v>
      </c>
      <c r="F571" t="s">
        <v>1631</v>
      </c>
      <c r="G571" t="s">
        <v>2058</v>
      </c>
      <c r="H571" t="s">
        <v>130</v>
      </c>
      <c r="I571" t="s">
        <v>120</v>
      </c>
      <c r="J571" t="s">
        <v>121</v>
      </c>
      <c r="K571" t="s">
        <v>69</v>
      </c>
      <c r="L571" t="s">
        <v>2059</v>
      </c>
      <c r="M571" t="s">
        <v>71</v>
      </c>
      <c r="N571" t="s">
        <v>100</v>
      </c>
      <c r="O571" t="s">
        <v>1900</v>
      </c>
      <c r="P571" t="s">
        <v>1901</v>
      </c>
      <c r="R571" t="s">
        <v>1902</v>
      </c>
      <c r="S571" t="s">
        <v>1893</v>
      </c>
      <c r="T571" t="s">
        <v>76</v>
      </c>
      <c r="U571" t="s">
        <v>502</v>
      </c>
      <c r="V571" t="s">
        <v>2060</v>
      </c>
      <c r="W571">
        <v>990</v>
      </c>
      <c r="X571">
        <v>39.99</v>
      </c>
      <c r="Y571">
        <v>129</v>
      </c>
      <c r="Z571">
        <v>709000</v>
      </c>
      <c r="AA571">
        <v>799920</v>
      </c>
      <c r="AB571">
        <v>318</v>
      </c>
      <c r="AD571" t="s">
        <v>238</v>
      </c>
      <c r="AE571">
        <v>2</v>
      </c>
      <c r="AF571">
        <v>25</v>
      </c>
      <c r="AI571">
        <v>40</v>
      </c>
      <c r="AJ571">
        <v>100</v>
      </c>
      <c r="AK571">
        <v>165</v>
      </c>
      <c r="AL571">
        <v>808</v>
      </c>
      <c r="AM571">
        <v>165</v>
      </c>
      <c r="AN571">
        <v>0</v>
      </c>
      <c r="AO571">
        <v>165</v>
      </c>
      <c r="AP571" t="s">
        <v>80</v>
      </c>
      <c r="AQ571" t="s">
        <v>176</v>
      </c>
      <c r="AR571" t="s">
        <v>261</v>
      </c>
      <c r="AS571" t="s">
        <v>86</v>
      </c>
      <c r="AT571" t="s">
        <v>86</v>
      </c>
      <c r="AU571" t="s">
        <v>86</v>
      </c>
      <c r="AV571" t="s">
        <v>1974</v>
      </c>
      <c r="AW571" t="s">
        <v>80</v>
      </c>
      <c r="AX571" t="s">
        <v>218</v>
      </c>
      <c r="AY571" t="s">
        <v>2061</v>
      </c>
      <c r="AZ571" t="s">
        <v>243</v>
      </c>
      <c r="BA571" t="s">
        <v>245</v>
      </c>
      <c r="BB571" t="s">
        <v>244</v>
      </c>
      <c r="BC571" t="s">
        <v>244</v>
      </c>
      <c r="BD571" t="s">
        <v>2064</v>
      </c>
      <c r="BE571" t="s">
        <v>2063</v>
      </c>
      <c r="BF571" t="s">
        <v>86</v>
      </c>
      <c r="BG571" t="s">
        <v>150</v>
      </c>
      <c r="BH571" t="str">
        <f>IF(COUNTIF(工作表1!A:A, $C571)&gt;0, "預購款", "非預購款")</f>
        <v>非預購款</v>
      </c>
    </row>
    <row r="572" spans="1:60" x14ac:dyDescent="0.25">
      <c r="A572" t="s">
        <v>2054</v>
      </c>
      <c r="B572" t="s">
        <v>776</v>
      </c>
      <c r="C572" t="s">
        <v>2055</v>
      </c>
      <c r="D572" t="s">
        <v>2056</v>
      </c>
      <c r="E572" t="s">
        <v>2057</v>
      </c>
      <c r="F572" t="s">
        <v>1631</v>
      </c>
      <c r="G572" t="s">
        <v>2058</v>
      </c>
      <c r="H572" t="s">
        <v>132</v>
      </c>
      <c r="I572" t="s">
        <v>120</v>
      </c>
      <c r="J572" t="s">
        <v>121</v>
      </c>
      <c r="K572" t="s">
        <v>69</v>
      </c>
      <c r="L572" t="s">
        <v>2059</v>
      </c>
      <c r="M572" t="s">
        <v>71</v>
      </c>
      <c r="N572" t="s">
        <v>100</v>
      </c>
      <c r="O572" t="s">
        <v>1900</v>
      </c>
      <c r="P572" t="s">
        <v>1901</v>
      </c>
      <c r="R572" t="s">
        <v>1902</v>
      </c>
      <c r="S572" t="s">
        <v>1893</v>
      </c>
      <c r="T572" t="s">
        <v>76</v>
      </c>
      <c r="U572" t="s">
        <v>502</v>
      </c>
      <c r="V572" t="s">
        <v>2060</v>
      </c>
      <c r="W572">
        <v>990</v>
      </c>
      <c r="X572">
        <v>39.99</v>
      </c>
      <c r="Y572">
        <v>129</v>
      </c>
      <c r="Z572">
        <v>709000</v>
      </c>
      <c r="AA572">
        <v>799920</v>
      </c>
      <c r="AB572">
        <v>318</v>
      </c>
      <c r="AD572" t="s">
        <v>238</v>
      </c>
      <c r="AE572">
        <v>2</v>
      </c>
      <c r="AF572">
        <v>8</v>
      </c>
      <c r="AI572">
        <v>30</v>
      </c>
      <c r="AJ572">
        <v>90</v>
      </c>
      <c r="AK572">
        <v>128</v>
      </c>
      <c r="AL572">
        <v>808</v>
      </c>
      <c r="AM572">
        <v>120</v>
      </c>
      <c r="AN572">
        <v>0</v>
      </c>
      <c r="AO572">
        <v>120</v>
      </c>
      <c r="AP572" t="s">
        <v>80</v>
      </c>
      <c r="AQ572" t="s">
        <v>176</v>
      </c>
      <c r="AR572" t="s">
        <v>261</v>
      </c>
      <c r="AS572" t="s">
        <v>86</v>
      </c>
      <c r="AT572" t="s">
        <v>86</v>
      </c>
      <c r="AU572" t="s">
        <v>86</v>
      </c>
      <c r="AV572" t="s">
        <v>1974</v>
      </c>
      <c r="AW572" t="s">
        <v>80</v>
      </c>
      <c r="AX572" t="s">
        <v>218</v>
      </c>
      <c r="AY572" t="s">
        <v>2061</v>
      </c>
      <c r="AZ572" t="s">
        <v>243</v>
      </c>
      <c r="BA572" t="s">
        <v>245</v>
      </c>
      <c r="BB572" t="s">
        <v>244</v>
      </c>
      <c r="BC572" t="s">
        <v>244</v>
      </c>
      <c r="BD572" t="s">
        <v>2065</v>
      </c>
      <c r="BE572" t="s">
        <v>2063</v>
      </c>
      <c r="BF572" t="s">
        <v>86</v>
      </c>
      <c r="BG572" t="s">
        <v>150</v>
      </c>
      <c r="BH572" t="str">
        <f>IF(COUNTIF(工作表1!A:A, $C572)&gt;0, "預購款", "非預購款")</f>
        <v>非預購款</v>
      </c>
    </row>
    <row r="573" spans="1:60" x14ac:dyDescent="0.25">
      <c r="A573" t="s">
        <v>2054</v>
      </c>
      <c r="B573" t="s">
        <v>776</v>
      </c>
      <c r="C573" t="s">
        <v>2055</v>
      </c>
      <c r="D573" t="s">
        <v>2056</v>
      </c>
      <c r="E573" t="s">
        <v>2057</v>
      </c>
      <c r="F573" t="s">
        <v>1631</v>
      </c>
      <c r="G573" t="s">
        <v>2058</v>
      </c>
      <c r="H573" t="s">
        <v>119</v>
      </c>
      <c r="I573" t="s">
        <v>171</v>
      </c>
      <c r="J573" t="s">
        <v>172</v>
      </c>
      <c r="K573" t="s">
        <v>69</v>
      </c>
      <c r="L573" t="s">
        <v>2059</v>
      </c>
      <c r="M573" t="s">
        <v>71</v>
      </c>
      <c r="N573" t="s">
        <v>100</v>
      </c>
      <c r="O573" t="s">
        <v>1900</v>
      </c>
      <c r="P573" t="s">
        <v>1901</v>
      </c>
      <c r="R573" t="s">
        <v>1902</v>
      </c>
      <c r="S573" t="s">
        <v>1893</v>
      </c>
      <c r="T573" t="s">
        <v>76</v>
      </c>
      <c r="U573" t="s">
        <v>502</v>
      </c>
      <c r="V573" t="s">
        <v>2060</v>
      </c>
      <c r="W573">
        <v>990</v>
      </c>
      <c r="X573">
        <v>39.99</v>
      </c>
      <c r="Y573">
        <v>129</v>
      </c>
      <c r="Z573">
        <v>709000</v>
      </c>
      <c r="AA573">
        <v>799920</v>
      </c>
      <c r="AB573">
        <v>318</v>
      </c>
      <c r="AD573" t="s">
        <v>238</v>
      </c>
      <c r="AE573">
        <v>2</v>
      </c>
      <c r="AF573">
        <v>30</v>
      </c>
      <c r="AI573">
        <v>0</v>
      </c>
      <c r="AJ573">
        <v>130</v>
      </c>
      <c r="AK573">
        <v>160</v>
      </c>
      <c r="AL573">
        <v>808</v>
      </c>
      <c r="AM573">
        <v>158</v>
      </c>
      <c r="AN573">
        <v>0</v>
      </c>
      <c r="AO573">
        <v>158</v>
      </c>
      <c r="AP573" t="s">
        <v>80</v>
      </c>
      <c r="AQ573" t="s">
        <v>176</v>
      </c>
      <c r="AR573" t="s">
        <v>261</v>
      </c>
      <c r="AS573" t="s">
        <v>86</v>
      </c>
      <c r="AT573" t="s">
        <v>86</v>
      </c>
      <c r="AU573" t="s">
        <v>86</v>
      </c>
      <c r="AV573" t="s">
        <v>1974</v>
      </c>
      <c r="AW573" t="s">
        <v>80</v>
      </c>
      <c r="AX573" t="s">
        <v>218</v>
      </c>
      <c r="AY573" t="s">
        <v>2061</v>
      </c>
      <c r="AZ573" t="s">
        <v>243</v>
      </c>
      <c r="BA573" t="s">
        <v>245</v>
      </c>
      <c r="BB573" t="s">
        <v>244</v>
      </c>
      <c r="BC573" t="s">
        <v>244</v>
      </c>
      <c r="BD573" t="s">
        <v>2066</v>
      </c>
      <c r="BE573" t="s">
        <v>2063</v>
      </c>
      <c r="BF573" t="s">
        <v>86</v>
      </c>
      <c r="BG573" t="s">
        <v>150</v>
      </c>
      <c r="BH573" t="str">
        <f>IF(COUNTIF(工作表1!A:A, $C573)&gt;0, "預購款", "非預購款")</f>
        <v>非預購款</v>
      </c>
    </row>
    <row r="574" spans="1:60" x14ac:dyDescent="0.25">
      <c r="A574" t="s">
        <v>2054</v>
      </c>
      <c r="B574" t="s">
        <v>776</v>
      </c>
      <c r="C574" t="s">
        <v>2055</v>
      </c>
      <c r="D574" t="s">
        <v>2056</v>
      </c>
      <c r="E574" t="s">
        <v>2057</v>
      </c>
      <c r="F574" t="s">
        <v>1631</v>
      </c>
      <c r="G574" t="s">
        <v>2058</v>
      </c>
      <c r="H574" t="s">
        <v>130</v>
      </c>
      <c r="I574" t="s">
        <v>171</v>
      </c>
      <c r="J574" t="s">
        <v>172</v>
      </c>
      <c r="K574" t="s">
        <v>69</v>
      </c>
      <c r="L574" t="s">
        <v>2059</v>
      </c>
      <c r="M574" t="s">
        <v>71</v>
      </c>
      <c r="N574" t="s">
        <v>100</v>
      </c>
      <c r="O574" t="s">
        <v>1900</v>
      </c>
      <c r="P574" t="s">
        <v>1901</v>
      </c>
      <c r="R574" t="s">
        <v>1902</v>
      </c>
      <c r="S574" t="s">
        <v>1893</v>
      </c>
      <c r="T574" t="s">
        <v>76</v>
      </c>
      <c r="U574" t="s">
        <v>502</v>
      </c>
      <c r="V574" t="s">
        <v>2060</v>
      </c>
      <c r="W574">
        <v>990</v>
      </c>
      <c r="X574">
        <v>39.99</v>
      </c>
      <c r="Y574">
        <v>129</v>
      </c>
      <c r="Z574">
        <v>709000</v>
      </c>
      <c r="AA574">
        <v>799920</v>
      </c>
      <c r="AB574">
        <v>318</v>
      </c>
      <c r="AD574" t="s">
        <v>238</v>
      </c>
      <c r="AE574">
        <v>2</v>
      </c>
      <c r="AF574">
        <v>25</v>
      </c>
      <c r="AI574">
        <v>0</v>
      </c>
      <c r="AJ574">
        <v>100</v>
      </c>
      <c r="AK574">
        <v>125</v>
      </c>
      <c r="AL574">
        <v>808</v>
      </c>
      <c r="AM574">
        <v>126</v>
      </c>
      <c r="AN574">
        <v>0</v>
      </c>
      <c r="AO574">
        <v>126</v>
      </c>
      <c r="AP574" t="s">
        <v>80</v>
      </c>
      <c r="AQ574" t="s">
        <v>176</v>
      </c>
      <c r="AR574" t="s">
        <v>261</v>
      </c>
      <c r="AS574" t="s">
        <v>86</v>
      </c>
      <c r="AT574" t="s">
        <v>86</v>
      </c>
      <c r="AU574" t="s">
        <v>86</v>
      </c>
      <c r="AV574" t="s">
        <v>1974</v>
      </c>
      <c r="AW574" t="s">
        <v>80</v>
      </c>
      <c r="AX574" t="s">
        <v>218</v>
      </c>
      <c r="AY574" t="s">
        <v>2061</v>
      </c>
      <c r="AZ574" t="s">
        <v>243</v>
      </c>
      <c r="BA574" t="s">
        <v>245</v>
      </c>
      <c r="BB574" t="s">
        <v>244</v>
      </c>
      <c r="BC574" t="s">
        <v>244</v>
      </c>
      <c r="BD574" t="s">
        <v>2067</v>
      </c>
      <c r="BE574" t="s">
        <v>2063</v>
      </c>
      <c r="BF574" t="s">
        <v>86</v>
      </c>
      <c r="BG574" t="s">
        <v>150</v>
      </c>
      <c r="BH574" t="str">
        <f>IF(COUNTIF(工作表1!A:A, $C574)&gt;0, "預購款", "非預購款")</f>
        <v>非預購款</v>
      </c>
    </row>
    <row r="575" spans="1:60" x14ac:dyDescent="0.25">
      <c r="A575" t="s">
        <v>2054</v>
      </c>
      <c r="B575" t="s">
        <v>776</v>
      </c>
      <c r="C575" t="s">
        <v>2055</v>
      </c>
      <c r="D575" t="s">
        <v>2056</v>
      </c>
      <c r="E575" t="s">
        <v>2057</v>
      </c>
      <c r="F575" t="s">
        <v>1631</v>
      </c>
      <c r="G575" t="s">
        <v>2058</v>
      </c>
      <c r="H575" t="s">
        <v>132</v>
      </c>
      <c r="I575" t="s">
        <v>171</v>
      </c>
      <c r="J575" t="s">
        <v>172</v>
      </c>
      <c r="K575" t="s">
        <v>69</v>
      </c>
      <c r="L575" t="s">
        <v>2059</v>
      </c>
      <c r="M575" t="s">
        <v>71</v>
      </c>
      <c r="N575" t="s">
        <v>100</v>
      </c>
      <c r="O575" t="s">
        <v>1900</v>
      </c>
      <c r="P575" t="s">
        <v>1901</v>
      </c>
      <c r="R575" t="s">
        <v>1902</v>
      </c>
      <c r="S575" t="s">
        <v>1893</v>
      </c>
      <c r="T575" t="s">
        <v>76</v>
      </c>
      <c r="U575" t="s">
        <v>502</v>
      </c>
      <c r="V575" t="s">
        <v>2060</v>
      </c>
      <c r="W575">
        <v>990</v>
      </c>
      <c r="X575">
        <v>39.99</v>
      </c>
      <c r="Y575">
        <v>129</v>
      </c>
      <c r="Z575">
        <v>709000</v>
      </c>
      <c r="AA575">
        <v>799920</v>
      </c>
      <c r="AB575">
        <v>318</v>
      </c>
      <c r="AD575" t="s">
        <v>238</v>
      </c>
      <c r="AE575">
        <v>2</v>
      </c>
      <c r="AF575">
        <v>0</v>
      </c>
      <c r="AI575">
        <v>25</v>
      </c>
      <c r="AJ575">
        <v>40</v>
      </c>
      <c r="AK575">
        <v>65</v>
      </c>
      <c r="AL575">
        <v>808</v>
      </c>
      <c r="AM575">
        <v>64</v>
      </c>
      <c r="AN575">
        <v>0</v>
      </c>
      <c r="AO575">
        <v>64</v>
      </c>
      <c r="AP575" t="s">
        <v>80</v>
      </c>
      <c r="AQ575" t="s">
        <v>176</v>
      </c>
      <c r="AR575" t="s">
        <v>261</v>
      </c>
      <c r="AS575" t="s">
        <v>86</v>
      </c>
      <c r="AT575" t="s">
        <v>86</v>
      </c>
      <c r="AU575" t="s">
        <v>86</v>
      </c>
      <c r="AV575" t="s">
        <v>1974</v>
      </c>
      <c r="AW575" t="s">
        <v>80</v>
      </c>
      <c r="AX575" t="s">
        <v>218</v>
      </c>
      <c r="AY575" t="s">
        <v>2061</v>
      </c>
      <c r="AZ575" t="s">
        <v>243</v>
      </c>
      <c r="BA575" t="s">
        <v>245</v>
      </c>
      <c r="BB575" t="s">
        <v>244</v>
      </c>
      <c r="BC575" t="s">
        <v>244</v>
      </c>
      <c r="BD575" t="s">
        <v>2068</v>
      </c>
      <c r="BE575" t="s">
        <v>2063</v>
      </c>
      <c r="BF575" t="s">
        <v>86</v>
      </c>
      <c r="BG575" t="s">
        <v>150</v>
      </c>
      <c r="BH575" t="str">
        <f>IF(COUNTIF(工作表1!A:A, $C575)&gt;0, "預購款", "非預購款")</f>
        <v>非預購款</v>
      </c>
    </row>
    <row r="576" spans="1:60" x14ac:dyDescent="0.25">
      <c r="A576" t="s">
        <v>2069</v>
      </c>
      <c r="B576" t="s">
        <v>776</v>
      </c>
      <c r="C576" t="s">
        <v>2070</v>
      </c>
      <c r="D576" t="s">
        <v>2071</v>
      </c>
      <c r="E576" t="s">
        <v>2072</v>
      </c>
      <c r="F576" t="s">
        <v>1631</v>
      </c>
      <c r="G576" t="s">
        <v>2073</v>
      </c>
      <c r="H576" t="s">
        <v>119</v>
      </c>
      <c r="I576" t="s">
        <v>120</v>
      </c>
      <c r="J576" t="s">
        <v>121</v>
      </c>
      <c r="K576" t="s">
        <v>80</v>
      </c>
      <c r="L576" t="s">
        <v>2074</v>
      </c>
      <c r="M576" t="s">
        <v>71</v>
      </c>
      <c r="N576" t="s">
        <v>100</v>
      </c>
      <c r="O576" t="s">
        <v>1900</v>
      </c>
      <c r="P576" t="s">
        <v>1901</v>
      </c>
      <c r="R576" t="s">
        <v>1902</v>
      </c>
      <c r="S576" t="s">
        <v>1893</v>
      </c>
      <c r="T576" t="s">
        <v>291</v>
      </c>
      <c r="U576" t="s">
        <v>104</v>
      </c>
      <c r="V576" t="s">
        <v>653</v>
      </c>
      <c r="W576">
        <v>690</v>
      </c>
      <c r="X576">
        <v>29.99</v>
      </c>
      <c r="Y576">
        <v>89</v>
      </c>
      <c r="Z576">
        <v>499000</v>
      </c>
      <c r="AA576">
        <v>248400</v>
      </c>
      <c r="AB576">
        <v>180</v>
      </c>
      <c r="AD576" t="s">
        <v>238</v>
      </c>
      <c r="AE576">
        <v>2</v>
      </c>
      <c r="AF576">
        <v>0</v>
      </c>
      <c r="AI576">
        <v>10</v>
      </c>
      <c r="AJ576">
        <v>50</v>
      </c>
      <c r="AK576">
        <v>60</v>
      </c>
      <c r="AL576">
        <v>360</v>
      </c>
      <c r="AM576">
        <v>58</v>
      </c>
      <c r="AN576">
        <v>0</v>
      </c>
      <c r="AO576">
        <v>58</v>
      </c>
      <c r="AP576" t="s">
        <v>80</v>
      </c>
      <c r="AQ576" t="s">
        <v>179</v>
      </c>
      <c r="AT576" t="s">
        <v>86</v>
      </c>
      <c r="AU576" t="s">
        <v>86</v>
      </c>
      <c r="AV576" t="s">
        <v>2075</v>
      </c>
      <c r="AW576" t="s">
        <v>69</v>
      </c>
      <c r="AX576" t="s">
        <v>218</v>
      </c>
      <c r="AY576" t="s">
        <v>2076</v>
      </c>
      <c r="AZ576" t="s">
        <v>245</v>
      </c>
      <c r="BA576" t="s">
        <v>245</v>
      </c>
      <c r="BB576" t="s">
        <v>244</v>
      </c>
      <c r="BC576" t="s">
        <v>244</v>
      </c>
      <c r="BD576" t="s">
        <v>2077</v>
      </c>
      <c r="BE576" t="s">
        <v>2078</v>
      </c>
      <c r="BF576" t="s">
        <v>971</v>
      </c>
      <c r="BG576" t="s">
        <v>150</v>
      </c>
      <c r="BH576" t="str">
        <f>IF(COUNTIF(工作表1!A:A, $C576)&gt;0, "預購款", "非預購款")</f>
        <v>非預購款</v>
      </c>
    </row>
    <row r="577" spans="1:60" x14ac:dyDescent="0.25">
      <c r="A577" t="s">
        <v>2069</v>
      </c>
      <c r="B577" t="s">
        <v>776</v>
      </c>
      <c r="C577" t="s">
        <v>2070</v>
      </c>
      <c r="D577" t="s">
        <v>2071</v>
      </c>
      <c r="E577" t="s">
        <v>2072</v>
      </c>
      <c r="F577" t="s">
        <v>1631</v>
      </c>
      <c r="G577" t="s">
        <v>2073</v>
      </c>
      <c r="H577" t="s">
        <v>130</v>
      </c>
      <c r="I577" t="s">
        <v>120</v>
      </c>
      <c r="J577" t="s">
        <v>121</v>
      </c>
      <c r="K577" t="s">
        <v>80</v>
      </c>
      <c r="L577" t="s">
        <v>2074</v>
      </c>
      <c r="M577" t="s">
        <v>71</v>
      </c>
      <c r="N577" t="s">
        <v>100</v>
      </c>
      <c r="O577" t="s">
        <v>1900</v>
      </c>
      <c r="P577" t="s">
        <v>1901</v>
      </c>
      <c r="R577" t="s">
        <v>1902</v>
      </c>
      <c r="S577" t="s">
        <v>1893</v>
      </c>
      <c r="T577" t="s">
        <v>291</v>
      </c>
      <c r="U577" t="s">
        <v>104</v>
      </c>
      <c r="V577" t="s">
        <v>653</v>
      </c>
      <c r="W577">
        <v>690</v>
      </c>
      <c r="X577">
        <v>29.99</v>
      </c>
      <c r="Y577">
        <v>89</v>
      </c>
      <c r="Z577">
        <v>499000</v>
      </c>
      <c r="AA577">
        <v>248400</v>
      </c>
      <c r="AB577">
        <v>180</v>
      </c>
      <c r="AD577" t="s">
        <v>238</v>
      </c>
      <c r="AE577">
        <v>2</v>
      </c>
      <c r="AF577">
        <v>0</v>
      </c>
      <c r="AI577">
        <v>20</v>
      </c>
      <c r="AJ577">
        <v>60</v>
      </c>
      <c r="AK577">
        <v>80</v>
      </c>
      <c r="AL577">
        <v>360</v>
      </c>
      <c r="AM577">
        <v>77</v>
      </c>
      <c r="AN577">
        <v>0</v>
      </c>
      <c r="AO577">
        <v>77</v>
      </c>
      <c r="AP577" t="s">
        <v>80</v>
      </c>
      <c r="AQ577" t="s">
        <v>179</v>
      </c>
      <c r="AT577" t="s">
        <v>86</v>
      </c>
      <c r="AU577" t="s">
        <v>86</v>
      </c>
      <c r="AV577" t="s">
        <v>2075</v>
      </c>
      <c r="AW577" t="s">
        <v>69</v>
      </c>
      <c r="AX577" t="s">
        <v>218</v>
      </c>
      <c r="AY577" t="s">
        <v>2076</v>
      </c>
      <c r="AZ577" t="s">
        <v>245</v>
      </c>
      <c r="BA577" t="s">
        <v>245</v>
      </c>
      <c r="BB577" t="s">
        <v>244</v>
      </c>
      <c r="BC577" t="s">
        <v>244</v>
      </c>
      <c r="BD577" t="s">
        <v>2079</v>
      </c>
      <c r="BE577" t="s">
        <v>2078</v>
      </c>
      <c r="BF577" t="s">
        <v>971</v>
      </c>
      <c r="BG577" t="s">
        <v>150</v>
      </c>
      <c r="BH577" t="str">
        <f>IF(COUNTIF(工作表1!A:A, $C577)&gt;0, "預購款", "非預購款")</f>
        <v>非預購款</v>
      </c>
    </row>
    <row r="578" spans="1:60" x14ac:dyDescent="0.25">
      <c r="A578" t="s">
        <v>2069</v>
      </c>
      <c r="B578" t="s">
        <v>776</v>
      </c>
      <c r="C578" t="s">
        <v>2070</v>
      </c>
      <c r="D578" t="s">
        <v>2071</v>
      </c>
      <c r="E578" t="s">
        <v>2072</v>
      </c>
      <c r="F578" t="s">
        <v>1631</v>
      </c>
      <c r="G578" t="s">
        <v>2073</v>
      </c>
      <c r="H578" t="s">
        <v>132</v>
      </c>
      <c r="I578" t="s">
        <v>120</v>
      </c>
      <c r="J578" t="s">
        <v>121</v>
      </c>
      <c r="K578" t="s">
        <v>80</v>
      </c>
      <c r="L578" t="s">
        <v>2074</v>
      </c>
      <c r="M578" t="s">
        <v>71</v>
      </c>
      <c r="N578" t="s">
        <v>100</v>
      </c>
      <c r="O578" t="s">
        <v>1900</v>
      </c>
      <c r="P578" t="s">
        <v>1901</v>
      </c>
      <c r="R578" t="s">
        <v>1902</v>
      </c>
      <c r="S578" t="s">
        <v>1893</v>
      </c>
      <c r="T578" t="s">
        <v>291</v>
      </c>
      <c r="U578" t="s">
        <v>104</v>
      </c>
      <c r="V578" t="s">
        <v>653</v>
      </c>
      <c r="W578">
        <v>690</v>
      </c>
      <c r="X578">
        <v>29.99</v>
      </c>
      <c r="Y578">
        <v>89</v>
      </c>
      <c r="Z578">
        <v>499000</v>
      </c>
      <c r="AA578">
        <v>248400</v>
      </c>
      <c r="AB578">
        <v>180</v>
      </c>
      <c r="AD578" t="s">
        <v>238</v>
      </c>
      <c r="AE578">
        <v>2</v>
      </c>
      <c r="AF578">
        <v>0</v>
      </c>
      <c r="AI578">
        <v>10</v>
      </c>
      <c r="AJ578">
        <v>30</v>
      </c>
      <c r="AK578">
        <v>40</v>
      </c>
      <c r="AL578">
        <v>360</v>
      </c>
      <c r="AM578">
        <v>36</v>
      </c>
      <c r="AN578">
        <v>0</v>
      </c>
      <c r="AO578">
        <v>36</v>
      </c>
      <c r="AP578" t="s">
        <v>80</v>
      </c>
      <c r="AQ578" t="s">
        <v>179</v>
      </c>
      <c r="AT578" t="s">
        <v>86</v>
      </c>
      <c r="AU578" t="s">
        <v>86</v>
      </c>
      <c r="AV578" t="s">
        <v>2075</v>
      </c>
      <c r="AW578" t="s">
        <v>69</v>
      </c>
      <c r="AX578" t="s">
        <v>218</v>
      </c>
      <c r="AY578" t="s">
        <v>2076</v>
      </c>
      <c r="AZ578" t="s">
        <v>245</v>
      </c>
      <c r="BA578" t="s">
        <v>245</v>
      </c>
      <c r="BB578" t="s">
        <v>244</v>
      </c>
      <c r="BC578" t="s">
        <v>244</v>
      </c>
      <c r="BD578" t="s">
        <v>2080</v>
      </c>
      <c r="BE578" t="s">
        <v>2078</v>
      </c>
      <c r="BF578" t="s">
        <v>971</v>
      </c>
      <c r="BG578" t="s">
        <v>150</v>
      </c>
      <c r="BH578" t="str">
        <f>IF(COUNTIF(工作表1!A:A, $C578)&gt;0, "預購款", "非預購款")</f>
        <v>非預購款</v>
      </c>
    </row>
    <row r="579" spans="1:60" x14ac:dyDescent="0.25">
      <c r="A579" t="s">
        <v>2069</v>
      </c>
      <c r="B579" t="s">
        <v>776</v>
      </c>
      <c r="C579" t="s">
        <v>2070</v>
      </c>
      <c r="D579" t="s">
        <v>2071</v>
      </c>
      <c r="E579" t="s">
        <v>2072</v>
      </c>
      <c r="F579" t="s">
        <v>1631</v>
      </c>
      <c r="G579" t="s">
        <v>2073</v>
      </c>
      <c r="H579" t="s">
        <v>119</v>
      </c>
      <c r="I579" t="s">
        <v>97</v>
      </c>
      <c r="J579" t="s">
        <v>98</v>
      </c>
      <c r="K579" t="s">
        <v>69</v>
      </c>
      <c r="L579" t="s">
        <v>2074</v>
      </c>
      <c r="M579" t="s">
        <v>71</v>
      </c>
      <c r="N579" t="s">
        <v>100</v>
      </c>
      <c r="O579" t="s">
        <v>1900</v>
      </c>
      <c r="P579" t="s">
        <v>1901</v>
      </c>
      <c r="R579" t="s">
        <v>1902</v>
      </c>
      <c r="S579" t="s">
        <v>1893</v>
      </c>
      <c r="T579" t="s">
        <v>291</v>
      </c>
      <c r="U579" t="s">
        <v>104</v>
      </c>
      <c r="V579" t="s">
        <v>653</v>
      </c>
      <c r="W579">
        <v>690</v>
      </c>
      <c r="X579">
        <v>29.99</v>
      </c>
      <c r="Y579">
        <v>89</v>
      </c>
      <c r="Z579">
        <v>499000</v>
      </c>
      <c r="AA579">
        <v>248400</v>
      </c>
      <c r="AB579">
        <v>180</v>
      </c>
      <c r="AD579" t="s">
        <v>238</v>
      </c>
      <c r="AE579">
        <v>2</v>
      </c>
      <c r="AF579">
        <v>0</v>
      </c>
      <c r="AI579">
        <v>10</v>
      </c>
      <c r="AJ579">
        <v>60</v>
      </c>
      <c r="AK579">
        <v>70</v>
      </c>
      <c r="AL579">
        <v>360</v>
      </c>
      <c r="AM579">
        <v>62</v>
      </c>
      <c r="AN579">
        <v>0</v>
      </c>
      <c r="AO579">
        <v>62</v>
      </c>
      <c r="AP579" t="s">
        <v>80</v>
      </c>
      <c r="AQ579" t="s">
        <v>179</v>
      </c>
      <c r="AT579" t="s">
        <v>86</v>
      </c>
      <c r="AU579" t="s">
        <v>86</v>
      </c>
      <c r="AV579" t="s">
        <v>2075</v>
      </c>
      <c r="AW579" t="s">
        <v>69</v>
      </c>
      <c r="AX579" t="s">
        <v>218</v>
      </c>
      <c r="AY579" t="s">
        <v>2076</v>
      </c>
      <c r="AZ579" t="s">
        <v>245</v>
      </c>
      <c r="BA579" t="s">
        <v>245</v>
      </c>
      <c r="BB579" t="s">
        <v>244</v>
      </c>
      <c r="BC579" t="s">
        <v>244</v>
      </c>
      <c r="BD579" t="s">
        <v>2081</v>
      </c>
      <c r="BE579" t="s">
        <v>2078</v>
      </c>
      <c r="BF579" t="s">
        <v>971</v>
      </c>
      <c r="BG579" t="s">
        <v>150</v>
      </c>
      <c r="BH579" t="str">
        <f>IF(COUNTIF(工作表1!A:A, $C579)&gt;0, "預購款", "非預購款")</f>
        <v>非預購款</v>
      </c>
    </row>
    <row r="580" spans="1:60" x14ac:dyDescent="0.25">
      <c r="A580" t="s">
        <v>2069</v>
      </c>
      <c r="B580" t="s">
        <v>776</v>
      </c>
      <c r="C580" t="s">
        <v>2070</v>
      </c>
      <c r="D580" t="s">
        <v>2071</v>
      </c>
      <c r="E580" t="s">
        <v>2072</v>
      </c>
      <c r="F580" t="s">
        <v>1631</v>
      </c>
      <c r="G580" t="s">
        <v>2073</v>
      </c>
      <c r="H580" t="s">
        <v>130</v>
      </c>
      <c r="I580" t="s">
        <v>97</v>
      </c>
      <c r="J580" t="s">
        <v>98</v>
      </c>
      <c r="K580" t="s">
        <v>69</v>
      </c>
      <c r="L580" t="s">
        <v>2074</v>
      </c>
      <c r="M580" t="s">
        <v>71</v>
      </c>
      <c r="N580" t="s">
        <v>100</v>
      </c>
      <c r="O580" t="s">
        <v>1900</v>
      </c>
      <c r="P580" t="s">
        <v>1901</v>
      </c>
      <c r="R580" t="s">
        <v>1902</v>
      </c>
      <c r="S580" t="s">
        <v>1893</v>
      </c>
      <c r="T580" t="s">
        <v>291</v>
      </c>
      <c r="U580" t="s">
        <v>104</v>
      </c>
      <c r="V580" t="s">
        <v>653</v>
      </c>
      <c r="W580">
        <v>690</v>
      </c>
      <c r="X580">
        <v>29.99</v>
      </c>
      <c r="Y580">
        <v>89</v>
      </c>
      <c r="Z580">
        <v>499000</v>
      </c>
      <c r="AA580">
        <v>248400</v>
      </c>
      <c r="AB580">
        <v>180</v>
      </c>
      <c r="AD580" t="s">
        <v>238</v>
      </c>
      <c r="AE580">
        <v>2</v>
      </c>
      <c r="AF580">
        <v>0</v>
      </c>
      <c r="AI580">
        <v>20</v>
      </c>
      <c r="AJ580">
        <v>60</v>
      </c>
      <c r="AK580">
        <v>80</v>
      </c>
      <c r="AL580">
        <v>360</v>
      </c>
      <c r="AM580">
        <v>78</v>
      </c>
      <c r="AN580">
        <v>0</v>
      </c>
      <c r="AO580">
        <v>78</v>
      </c>
      <c r="AP580" t="s">
        <v>80</v>
      </c>
      <c r="AQ580" t="s">
        <v>179</v>
      </c>
      <c r="AT580" t="s">
        <v>86</v>
      </c>
      <c r="AU580" t="s">
        <v>86</v>
      </c>
      <c r="AV580" t="s">
        <v>2075</v>
      </c>
      <c r="AW580" t="s">
        <v>69</v>
      </c>
      <c r="AX580" t="s">
        <v>218</v>
      </c>
      <c r="AY580" t="s">
        <v>2076</v>
      </c>
      <c r="AZ580" t="s">
        <v>245</v>
      </c>
      <c r="BA580" t="s">
        <v>245</v>
      </c>
      <c r="BB580" t="s">
        <v>244</v>
      </c>
      <c r="BC580" t="s">
        <v>244</v>
      </c>
      <c r="BD580" t="s">
        <v>2082</v>
      </c>
      <c r="BE580" t="s">
        <v>2078</v>
      </c>
      <c r="BF580" t="s">
        <v>971</v>
      </c>
      <c r="BG580" t="s">
        <v>150</v>
      </c>
      <c r="BH580" t="str">
        <f>IF(COUNTIF(工作表1!A:A, $C580)&gt;0, "預購款", "非預購款")</f>
        <v>非預購款</v>
      </c>
    </row>
    <row r="581" spans="1:60" x14ac:dyDescent="0.25">
      <c r="A581" t="s">
        <v>2069</v>
      </c>
      <c r="B581" t="s">
        <v>776</v>
      </c>
      <c r="C581" t="s">
        <v>2070</v>
      </c>
      <c r="D581" t="s">
        <v>2071</v>
      </c>
      <c r="E581" t="s">
        <v>2072</v>
      </c>
      <c r="F581" t="s">
        <v>1631</v>
      </c>
      <c r="G581" t="s">
        <v>2073</v>
      </c>
      <c r="H581" t="s">
        <v>132</v>
      </c>
      <c r="I581" t="s">
        <v>97</v>
      </c>
      <c r="J581" t="s">
        <v>98</v>
      </c>
      <c r="K581" t="s">
        <v>69</v>
      </c>
      <c r="L581" t="s">
        <v>2074</v>
      </c>
      <c r="M581" t="s">
        <v>71</v>
      </c>
      <c r="N581" t="s">
        <v>100</v>
      </c>
      <c r="O581" t="s">
        <v>1900</v>
      </c>
      <c r="P581" t="s">
        <v>1901</v>
      </c>
      <c r="R581" t="s">
        <v>1902</v>
      </c>
      <c r="S581" t="s">
        <v>1893</v>
      </c>
      <c r="T581" t="s">
        <v>291</v>
      </c>
      <c r="U581" t="s">
        <v>104</v>
      </c>
      <c r="V581" t="s">
        <v>653</v>
      </c>
      <c r="W581">
        <v>690</v>
      </c>
      <c r="X581">
        <v>29.99</v>
      </c>
      <c r="Y581">
        <v>89</v>
      </c>
      <c r="Z581">
        <v>499000</v>
      </c>
      <c r="AA581">
        <v>248400</v>
      </c>
      <c r="AB581">
        <v>180</v>
      </c>
      <c r="AD581" t="s">
        <v>238</v>
      </c>
      <c r="AE581">
        <v>2</v>
      </c>
      <c r="AF581">
        <v>0</v>
      </c>
      <c r="AI581">
        <v>10</v>
      </c>
      <c r="AJ581">
        <v>20</v>
      </c>
      <c r="AK581">
        <v>30</v>
      </c>
      <c r="AL581">
        <v>360</v>
      </c>
      <c r="AM581">
        <v>26</v>
      </c>
      <c r="AN581">
        <v>0</v>
      </c>
      <c r="AO581">
        <v>26</v>
      </c>
      <c r="AP581" t="s">
        <v>80</v>
      </c>
      <c r="AQ581" t="s">
        <v>179</v>
      </c>
      <c r="AT581" t="s">
        <v>86</v>
      </c>
      <c r="AU581" t="s">
        <v>86</v>
      </c>
      <c r="AV581" t="s">
        <v>2075</v>
      </c>
      <c r="AW581" t="s">
        <v>69</v>
      </c>
      <c r="AX581" t="s">
        <v>218</v>
      </c>
      <c r="AY581" t="s">
        <v>2076</v>
      </c>
      <c r="AZ581" t="s">
        <v>245</v>
      </c>
      <c r="BA581" t="s">
        <v>245</v>
      </c>
      <c r="BB581" t="s">
        <v>244</v>
      </c>
      <c r="BC581" t="s">
        <v>244</v>
      </c>
      <c r="BD581" t="s">
        <v>2083</v>
      </c>
      <c r="BE581" t="s">
        <v>2078</v>
      </c>
      <c r="BF581" t="s">
        <v>971</v>
      </c>
      <c r="BG581" t="s">
        <v>150</v>
      </c>
      <c r="BH581" t="str">
        <f>IF(COUNTIF(工作表1!A:A, $C581)&gt;0, "預購款", "非預購款")</f>
        <v>非預購款</v>
      </c>
    </row>
    <row r="582" spans="1:60" x14ac:dyDescent="0.25">
      <c r="A582" t="s">
        <v>2084</v>
      </c>
      <c r="B582" t="s">
        <v>759</v>
      </c>
      <c r="C582" t="s">
        <v>2085</v>
      </c>
      <c r="D582" t="s">
        <v>2086</v>
      </c>
      <c r="E582" t="s">
        <v>2087</v>
      </c>
      <c r="F582" t="s">
        <v>1631</v>
      </c>
      <c r="G582" t="s">
        <v>2088</v>
      </c>
      <c r="H582" t="s">
        <v>66</v>
      </c>
      <c r="I582" t="s">
        <v>1635</v>
      </c>
      <c r="J582" t="s">
        <v>1636</v>
      </c>
      <c r="K582" t="s">
        <v>69</v>
      </c>
      <c r="L582" t="s">
        <v>2089</v>
      </c>
      <c r="M582" t="s">
        <v>71</v>
      </c>
      <c r="N582" t="s">
        <v>100</v>
      </c>
      <c r="O582" t="s">
        <v>1648</v>
      </c>
      <c r="P582" t="s">
        <v>1649</v>
      </c>
      <c r="R582" t="s">
        <v>1650</v>
      </c>
      <c r="S582" t="s">
        <v>1893</v>
      </c>
      <c r="T582" t="s">
        <v>258</v>
      </c>
      <c r="U582" t="s">
        <v>1673</v>
      </c>
      <c r="V582" t="s">
        <v>2090</v>
      </c>
      <c r="W582">
        <v>790</v>
      </c>
      <c r="X582">
        <v>34.99</v>
      </c>
      <c r="Y582">
        <v>99</v>
      </c>
      <c r="Z582">
        <v>569000</v>
      </c>
      <c r="AA582">
        <v>173800</v>
      </c>
      <c r="AB582">
        <v>305</v>
      </c>
      <c r="AD582" t="s">
        <v>238</v>
      </c>
      <c r="AE582">
        <v>2</v>
      </c>
      <c r="AF582">
        <v>0</v>
      </c>
      <c r="AI582">
        <v>0</v>
      </c>
      <c r="AJ582">
        <v>90</v>
      </c>
      <c r="AK582">
        <v>90</v>
      </c>
      <c r="AL582">
        <v>220</v>
      </c>
      <c r="AM582">
        <v>96</v>
      </c>
      <c r="AN582">
        <v>0</v>
      </c>
      <c r="AO582">
        <v>96</v>
      </c>
      <c r="AP582" t="s">
        <v>80</v>
      </c>
      <c r="AQ582" t="s">
        <v>179</v>
      </c>
      <c r="AR582" t="s">
        <v>261</v>
      </c>
      <c r="AS582" t="s">
        <v>261</v>
      </c>
      <c r="AT582" t="s">
        <v>86</v>
      </c>
      <c r="AU582" t="s">
        <v>261</v>
      </c>
      <c r="AV582" t="s">
        <v>2091</v>
      </c>
      <c r="AW582" t="s">
        <v>69</v>
      </c>
      <c r="AX582" t="s">
        <v>126</v>
      </c>
      <c r="AY582" t="s">
        <v>1676</v>
      </c>
      <c r="AZ582" t="s">
        <v>264</v>
      </c>
      <c r="BA582" t="s">
        <v>243</v>
      </c>
      <c r="BB582" t="s">
        <v>264</v>
      </c>
      <c r="BC582" t="s">
        <v>245</v>
      </c>
      <c r="BD582" t="s">
        <v>2092</v>
      </c>
      <c r="BE582" t="s">
        <v>2093</v>
      </c>
      <c r="BF582" t="s">
        <v>240</v>
      </c>
      <c r="BG582" t="s">
        <v>150</v>
      </c>
      <c r="BH582" t="str">
        <f>IF(COUNTIF(工作表1!A:A, $C582)&gt;0, "預購款", "非預購款")</f>
        <v>非預購款</v>
      </c>
    </row>
    <row r="583" spans="1:60" x14ac:dyDescent="0.25">
      <c r="A583" t="s">
        <v>2084</v>
      </c>
      <c r="B583" t="s">
        <v>759</v>
      </c>
      <c r="C583" t="s">
        <v>2085</v>
      </c>
      <c r="D583" t="s">
        <v>2086</v>
      </c>
      <c r="E583" t="s">
        <v>2087</v>
      </c>
      <c r="F583" t="s">
        <v>1631</v>
      </c>
      <c r="G583" t="s">
        <v>2088</v>
      </c>
      <c r="H583" t="s">
        <v>66</v>
      </c>
      <c r="I583" t="s">
        <v>88</v>
      </c>
      <c r="J583" t="s">
        <v>89</v>
      </c>
      <c r="K583" t="s">
        <v>69</v>
      </c>
      <c r="L583" t="s">
        <v>2089</v>
      </c>
      <c r="M583" t="s">
        <v>71</v>
      </c>
      <c r="N583" t="s">
        <v>100</v>
      </c>
      <c r="O583" t="s">
        <v>1648</v>
      </c>
      <c r="P583" t="s">
        <v>1649</v>
      </c>
      <c r="R583" t="s">
        <v>1650</v>
      </c>
      <c r="S583" t="s">
        <v>1893</v>
      </c>
      <c r="T583" t="s">
        <v>258</v>
      </c>
      <c r="U583" t="s">
        <v>1673</v>
      </c>
      <c r="V583" t="s">
        <v>2090</v>
      </c>
      <c r="W583">
        <v>790</v>
      </c>
      <c r="X583">
        <v>34.99</v>
      </c>
      <c r="Y583">
        <v>99</v>
      </c>
      <c r="Z583">
        <v>569000</v>
      </c>
      <c r="AA583">
        <v>173800</v>
      </c>
      <c r="AB583">
        <v>305</v>
      </c>
      <c r="AD583" t="s">
        <v>238</v>
      </c>
      <c r="AE583">
        <v>2</v>
      </c>
      <c r="AF583">
        <v>0</v>
      </c>
      <c r="AI583">
        <v>0</v>
      </c>
      <c r="AJ583">
        <v>130</v>
      </c>
      <c r="AK583">
        <v>130</v>
      </c>
      <c r="AL583">
        <v>220</v>
      </c>
      <c r="AM583">
        <v>136</v>
      </c>
      <c r="AN583">
        <v>0</v>
      </c>
      <c r="AO583">
        <v>136</v>
      </c>
      <c r="AP583" t="s">
        <v>80</v>
      </c>
      <c r="AQ583" t="s">
        <v>179</v>
      </c>
      <c r="AR583" t="s">
        <v>261</v>
      </c>
      <c r="AS583" t="s">
        <v>261</v>
      </c>
      <c r="AT583" t="s">
        <v>86</v>
      </c>
      <c r="AU583" t="s">
        <v>261</v>
      </c>
      <c r="AV583" t="s">
        <v>2091</v>
      </c>
      <c r="AW583" t="s">
        <v>69</v>
      </c>
      <c r="AX583" t="s">
        <v>126</v>
      </c>
      <c r="AY583" t="s">
        <v>1676</v>
      </c>
      <c r="AZ583" t="s">
        <v>264</v>
      </c>
      <c r="BA583" t="s">
        <v>243</v>
      </c>
      <c r="BB583" t="s">
        <v>264</v>
      </c>
      <c r="BC583" t="s">
        <v>245</v>
      </c>
      <c r="BD583" t="s">
        <v>2094</v>
      </c>
      <c r="BE583" t="s">
        <v>2093</v>
      </c>
      <c r="BF583" t="s">
        <v>240</v>
      </c>
      <c r="BG583" t="s">
        <v>150</v>
      </c>
      <c r="BH583" t="str">
        <f>IF(COUNTIF(工作表1!A:A, $C583)&gt;0, "預購款", "非預購款")</f>
        <v>非預購款</v>
      </c>
    </row>
    <row r="584" spans="1:60" x14ac:dyDescent="0.25">
      <c r="A584" t="s">
        <v>1667</v>
      </c>
      <c r="B584" t="s">
        <v>759</v>
      </c>
      <c r="C584" t="s">
        <v>1668</v>
      </c>
      <c r="D584" t="s">
        <v>1669</v>
      </c>
      <c r="E584" t="s">
        <v>1670</v>
      </c>
      <c r="F584" t="s">
        <v>1631</v>
      </c>
      <c r="G584" t="s">
        <v>1671</v>
      </c>
      <c r="H584" t="s">
        <v>66</v>
      </c>
      <c r="I584" t="s">
        <v>97</v>
      </c>
      <c r="J584" t="s">
        <v>98</v>
      </c>
      <c r="K584" t="s">
        <v>80</v>
      </c>
      <c r="L584" t="s">
        <v>1672</v>
      </c>
      <c r="M584" t="s">
        <v>71</v>
      </c>
      <c r="N584" t="s">
        <v>100</v>
      </c>
      <c r="O584" t="s">
        <v>1648</v>
      </c>
      <c r="P584" t="s">
        <v>1649</v>
      </c>
      <c r="R584" t="s">
        <v>1650</v>
      </c>
      <c r="S584" t="s">
        <v>1893</v>
      </c>
      <c r="T584" t="s">
        <v>258</v>
      </c>
      <c r="U584" t="s">
        <v>1673</v>
      </c>
      <c r="V584" t="s">
        <v>1674</v>
      </c>
      <c r="W584">
        <v>590</v>
      </c>
      <c r="X584">
        <v>29.99</v>
      </c>
      <c r="Y584">
        <v>75</v>
      </c>
      <c r="Z584">
        <v>429000</v>
      </c>
      <c r="AA584">
        <v>150450</v>
      </c>
      <c r="AB584">
        <v>190</v>
      </c>
      <c r="AD584" t="s">
        <v>238</v>
      </c>
      <c r="AE584">
        <v>2</v>
      </c>
      <c r="AF584">
        <v>0</v>
      </c>
      <c r="AI584">
        <v>20</v>
      </c>
      <c r="AJ584">
        <v>100</v>
      </c>
      <c r="AK584">
        <v>120</v>
      </c>
      <c r="AL584">
        <v>255</v>
      </c>
      <c r="AM584">
        <v>125</v>
      </c>
      <c r="AN584">
        <v>0</v>
      </c>
      <c r="AO584">
        <v>125</v>
      </c>
      <c r="AP584" t="s">
        <v>80</v>
      </c>
      <c r="AQ584" t="s">
        <v>179</v>
      </c>
      <c r="AR584" t="s">
        <v>261</v>
      </c>
      <c r="AS584" t="s">
        <v>261</v>
      </c>
      <c r="AT584" t="s">
        <v>86</v>
      </c>
      <c r="AU584" t="s">
        <v>261</v>
      </c>
      <c r="AV584" t="s">
        <v>1675</v>
      </c>
      <c r="AW584" t="s">
        <v>69</v>
      </c>
      <c r="AX584" t="s">
        <v>126</v>
      </c>
      <c r="AY584" t="s">
        <v>1676</v>
      </c>
      <c r="AZ584" t="s">
        <v>245</v>
      </c>
      <c r="BA584" t="s">
        <v>243</v>
      </c>
      <c r="BB584" t="s">
        <v>264</v>
      </c>
      <c r="BC584" t="s">
        <v>245</v>
      </c>
      <c r="BD584" t="s">
        <v>1677</v>
      </c>
      <c r="BE584" t="s">
        <v>2095</v>
      </c>
      <c r="BF584" t="s">
        <v>240</v>
      </c>
      <c r="BG584" t="s">
        <v>150</v>
      </c>
      <c r="BH584" t="str">
        <f>IF(COUNTIF(工作表1!A:A, $C584)&gt;0, "預購款", "非預購款")</f>
        <v>非預購款</v>
      </c>
    </row>
    <row r="585" spans="1:60" x14ac:dyDescent="0.25">
      <c r="A585" t="s">
        <v>1667</v>
      </c>
      <c r="B585" t="s">
        <v>759</v>
      </c>
      <c r="C585" t="s">
        <v>1668</v>
      </c>
      <c r="D585" t="s">
        <v>1669</v>
      </c>
      <c r="E585" t="s">
        <v>1670</v>
      </c>
      <c r="F585" t="s">
        <v>1631</v>
      </c>
      <c r="G585" t="s">
        <v>1671</v>
      </c>
      <c r="H585" t="s">
        <v>66</v>
      </c>
      <c r="I585" t="s">
        <v>162</v>
      </c>
      <c r="J585" t="s">
        <v>163</v>
      </c>
      <c r="K585" t="s">
        <v>69</v>
      </c>
      <c r="L585" t="s">
        <v>1672</v>
      </c>
      <c r="M585" t="s">
        <v>71</v>
      </c>
      <c r="N585" t="s">
        <v>100</v>
      </c>
      <c r="O585" t="s">
        <v>1648</v>
      </c>
      <c r="P585" t="s">
        <v>1649</v>
      </c>
      <c r="R585" t="s">
        <v>1650</v>
      </c>
      <c r="S585" t="s">
        <v>1893</v>
      </c>
      <c r="T585" t="s">
        <v>258</v>
      </c>
      <c r="U585" t="s">
        <v>1673</v>
      </c>
      <c r="V585" t="s">
        <v>1674</v>
      </c>
      <c r="W585">
        <v>590</v>
      </c>
      <c r="X585">
        <v>29.99</v>
      </c>
      <c r="Y585">
        <v>75</v>
      </c>
      <c r="Z585">
        <v>429000</v>
      </c>
      <c r="AA585">
        <v>150450</v>
      </c>
      <c r="AB585">
        <v>190</v>
      </c>
      <c r="AD585" t="s">
        <v>238</v>
      </c>
      <c r="AE585">
        <v>2</v>
      </c>
      <c r="AF585">
        <v>0</v>
      </c>
      <c r="AI585">
        <v>0</v>
      </c>
      <c r="AJ585">
        <v>135</v>
      </c>
      <c r="AK585">
        <v>135</v>
      </c>
      <c r="AL585">
        <v>255</v>
      </c>
      <c r="AM585">
        <v>135</v>
      </c>
      <c r="AN585">
        <v>0</v>
      </c>
      <c r="AO585">
        <v>135</v>
      </c>
      <c r="AP585" t="s">
        <v>80</v>
      </c>
      <c r="AQ585" t="s">
        <v>179</v>
      </c>
      <c r="AR585" t="s">
        <v>261</v>
      </c>
      <c r="AS585" t="s">
        <v>261</v>
      </c>
      <c r="AT585" t="s">
        <v>86</v>
      </c>
      <c r="AU585" t="s">
        <v>261</v>
      </c>
      <c r="AV585" t="s">
        <v>1675</v>
      </c>
      <c r="AW585" t="s">
        <v>69</v>
      </c>
      <c r="AX585" t="s">
        <v>126</v>
      </c>
      <c r="AY585" t="s">
        <v>1676</v>
      </c>
      <c r="AZ585" t="s">
        <v>245</v>
      </c>
      <c r="BA585" t="s">
        <v>243</v>
      </c>
      <c r="BB585" t="s">
        <v>264</v>
      </c>
      <c r="BC585" t="s">
        <v>245</v>
      </c>
      <c r="BD585" t="s">
        <v>2096</v>
      </c>
      <c r="BE585" t="s">
        <v>2095</v>
      </c>
      <c r="BF585" t="s">
        <v>240</v>
      </c>
      <c r="BG585" t="s">
        <v>150</v>
      </c>
      <c r="BH585" t="str">
        <f>IF(COUNTIF(工作表1!A:A, $C585)&gt;0, "預購款", "非預購款")</f>
        <v>非預購款</v>
      </c>
    </row>
    <row r="586" spans="1:60" x14ac:dyDescent="0.25">
      <c r="A586" t="s">
        <v>2097</v>
      </c>
      <c r="B586" t="s">
        <v>759</v>
      </c>
      <c r="C586" t="s">
        <v>2098</v>
      </c>
      <c r="D586" t="s">
        <v>2099</v>
      </c>
      <c r="E586" t="s">
        <v>2100</v>
      </c>
      <c r="F586" t="s">
        <v>1631</v>
      </c>
      <c r="G586" t="s">
        <v>2101</v>
      </c>
      <c r="H586" t="s">
        <v>119</v>
      </c>
      <c r="I586" t="s">
        <v>120</v>
      </c>
      <c r="J586" t="s">
        <v>121</v>
      </c>
      <c r="K586" t="s">
        <v>69</v>
      </c>
      <c r="L586" t="s">
        <v>2102</v>
      </c>
      <c r="M586" t="s">
        <v>71</v>
      </c>
      <c r="N586" t="s">
        <v>100</v>
      </c>
      <c r="O586" t="s">
        <v>1900</v>
      </c>
      <c r="P586" t="s">
        <v>1901</v>
      </c>
      <c r="R586" t="s">
        <v>1902</v>
      </c>
      <c r="S586" t="s">
        <v>1893</v>
      </c>
      <c r="T586" t="s">
        <v>76</v>
      </c>
      <c r="U586" t="s">
        <v>104</v>
      </c>
      <c r="V586" t="s">
        <v>237</v>
      </c>
      <c r="W586">
        <v>890</v>
      </c>
      <c r="X586">
        <v>39.99</v>
      </c>
      <c r="Y586">
        <v>115</v>
      </c>
      <c r="Z586">
        <v>639000</v>
      </c>
      <c r="AA586">
        <v>596300</v>
      </c>
      <c r="AB586">
        <v>272</v>
      </c>
      <c r="AD586" t="s">
        <v>238</v>
      </c>
      <c r="AE586">
        <v>2</v>
      </c>
      <c r="AF586">
        <v>0</v>
      </c>
      <c r="AI586">
        <v>0</v>
      </c>
      <c r="AJ586">
        <v>60</v>
      </c>
      <c r="AK586">
        <v>60</v>
      </c>
      <c r="AL586">
        <v>670</v>
      </c>
      <c r="AM586">
        <v>60</v>
      </c>
      <c r="AN586">
        <v>0</v>
      </c>
      <c r="AO586">
        <v>60</v>
      </c>
      <c r="AP586" t="s">
        <v>80</v>
      </c>
      <c r="AQ586" t="s">
        <v>176</v>
      </c>
      <c r="AT586" t="s">
        <v>86</v>
      </c>
      <c r="AU586" t="s">
        <v>86</v>
      </c>
      <c r="AV586" t="s">
        <v>1033</v>
      </c>
      <c r="AW586" t="s">
        <v>69</v>
      </c>
      <c r="AX586" t="s">
        <v>2103</v>
      </c>
      <c r="AY586" t="s">
        <v>2104</v>
      </c>
      <c r="AZ586" t="s">
        <v>243</v>
      </c>
      <c r="BA586" t="s">
        <v>245</v>
      </c>
      <c r="BB586" t="s">
        <v>264</v>
      </c>
      <c r="BC586" t="s">
        <v>244</v>
      </c>
      <c r="BD586" t="s">
        <v>2105</v>
      </c>
      <c r="BE586" t="s">
        <v>2106</v>
      </c>
      <c r="BF586" t="s">
        <v>86</v>
      </c>
      <c r="BG586" t="s">
        <v>150</v>
      </c>
      <c r="BH586" t="str">
        <f>IF(COUNTIF(工作表1!A:A, $C586)&gt;0, "預購款", "非預購款")</f>
        <v>非預購款</v>
      </c>
    </row>
    <row r="587" spans="1:60" x14ac:dyDescent="0.25">
      <c r="A587" t="s">
        <v>2097</v>
      </c>
      <c r="B587" t="s">
        <v>759</v>
      </c>
      <c r="C587" t="s">
        <v>2098</v>
      </c>
      <c r="D587" t="s">
        <v>2099</v>
      </c>
      <c r="E587" t="s">
        <v>2100</v>
      </c>
      <c r="F587" t="s">
        <v>1631</v>
      </c>
      <c r="G587" t="s">
        <v>2101</v>
      </c>
      <c r="H587" t="s">
        <v>130</v>
      </c>
      <c r="I587" t="s">
        <v>120</v>
      </c>
      <c r="J587" t="s">
        <v>121</v>
      </c>
      <c r="K587" t="s">
        <v>69</v>
      </c>
      <c r="L587" t="s">
        <v>2102</v>
      </c>
      <c r="M587" t="s">
        <v>71</v>
      </c>
      <c r="N587" t="s">
        <v>100</v>
      </c>
      <c r="O587" t="s">
        <v>1900</v>
      </c>
      <c r="P587" t="s">
        <v>1901</v>
      </c>
      <c r="R587" t="s">
        <v>1902</v>
      </c>
      <c r="S587" t="s">
        <v>1893</v>
      </c>
      <c r="T587" t="s">
        <v>76</v>
      </c>
      <c r="U587" t="s">
        <v>104</v>
      </c>
      <c r="V587" t="s">
        <v>237</v>
      </c>
      <c r="W587">
        <v>890</v>
      </c>
      <c r="X587">
        <v>39.99</v>
      </c>
      <c r="Y587">
        <v>115</v>
      </c>
      <c r="Z587">
        <v>639000</v>
      </c>
      <c r="AA587">
        <v>596300</v>
      </c>
      <c r="AB587">
        <v>272</v>
      </c>
      <c r="AD587" t="s">
        <v>238</v>
      </c>
      <c r="AE587">
        <v>2</v>
      </c>
      <c r="AF587">
        <v>0</v>
      </c>
      <c r="AI587">
        <v>0</v>
      </c>
      <c r="AJ587">
        <v>100</v>
      </c>
      <c r="AK587">
        <v>100</v>
      </c>
      <c r="AL587">
        <v>670</v>
      </c>
      <c r="AM587">
        <v>104</v>
      </c>
      <c r="AN587">
        <v>0</v>
      </c>
      <c r="AO587">
        <v>104</v>
      </c>
      <c r="AP587" t="s">
        <v>80</v>
      </c>
      <c r="AQ587" t="s">
        <v>176</v>
      </c>
      <c r="AT587" t="s">
        <v>86</v>
      </c>
      <c r="AU587" t="s">
        <v>86</v>
      </c>
      <c r="AV587" t="s">
        <v>1033</v>
      </c>
      <c r="AW587" t="s">
        <v>69</v>
      </c>
      <c r="AX587" t="s">
        <v>2103</v>
      </c>
      <c r="AY587" t="s">
        <v>2104</v>
      </c>
      <c r="AZ587" t="s">
        <v>243</v>
      </c>
      <c r="BA587" t="s">
        <v>245</v>
      </c>
      <c r="BB587" t="s">
        <v>264</v>
      </c>
      <c r="BC587" t="s">
        <v>244</v>
      </c>
      <c r="BD587" t="s">
        <v>2107</v>
      </c>
      <c r="BE587" t="s">
        <v>2106</v>
      </c>
      <c r="BF587" t="s">
        <v>86</v>
      </c>
      <c r="BG587" t="s">
        <v>150</v>
      </c>
      <c r="BH587" t="str">
        <f>IF(COUNTIF(工作表1!A:A, $C587)&gt;0, "預購款", "非預購款")</f>
        <v>非預購款</v>
      </c>
    </row>
    <row r="588" spans="1:60" x14ac:dyDescent="0.25">
      <c r="A588" t="s">
        <v>2097</v>
      </c>
      <c r="B588" t="s">
        <v>759</v>
      </c>
      <c r="C588" t="s">
        <v>2098</v>
      </c>
      <c r="D588" t="s">
        <v>2099</v>
      </c>
      <c r="E588" t="s">
        <v>2100</v>
      </c>
      <c r="F588" t="s">
        <v>1631</v>
      </c>
      <c r="G588" t="s">
        <v>2101</v>
      </c>
      <c r="H588" t="s">
        <v>132</v>
      </c>
      <c r="I588" t="s">
        <v>120</v>
      </c>
      <c r="J588" t="s">
        <v>121</v>
      </c>
      <c r="K588" t="s">
        <v>69</v>
      </c>
      <c r="L588" t="s">
        <v>2102</v>
      </c>
      <c r="M588" t="s">
        <v>71</v>
      </c>
      <c r="N588" t="s">
        <v>100</v>
      </c>
      <c r="O588" t="s">
        <v>1900</v>
      </c>
      <c r="P588" t="s">
        <v>1901</v>
      </c>
      <c r="R588" t="s">
        <v>1902</v>
      </c>
      <c r="S588" t="s">
        <v>1893</v>
      </c>
      <c r="T588" t="s">
        <v>76</v>
      </c>
      <c r="U588" t="s">
        <v>104</v>
      </c>
      <c r="V588" t="s">
        <v>237</v>
      </c>
      <c r="W588">
        <v>890</v>
      </c>
      <c r="X588">
        <v>39.99</v>
      </c>
      <c r="Y588">
        <v>115</v>
      </c>
      <c r="Z588">
        <v>639000</v>
      </c>
      <c r="AA588">
        <v>596300</v>
      </c>
      <c r="AB588">
        <v>272</v>
      </c>
      <c r="AD588" t="s">
        <v>238</v>
      </c>
      <c r="AE588">
        <v>2</v>
      </c>
      <c r="AF588">
        <v>0</v>
      </c>
      <c r="AI588">
        <v>0</v>
      </c>
      <c r="AJ588">
        <v>60</v>
      </c>
      <c r="AK588">
        <v>60</v>
      </c>
      <c r="AL588">
        <v>670</v>
      </c>
      <c r="AM588">
        <v>60</v>
      </c>
      <c r="AN588">
        <v>0</v>
      </c>
      <c r="AO588">
        <v>60</v>
      </c>
      <c r="AP588" t="s">
        <v>80</v>
      </c>
      <c r="AQ588" t="s">
        <v>176</v>
      </c>
      <c r="AT588" t="s">
        <v>86</v>
      </c>
      <c r="AU588" t="s">
        <v>86</v>
      </c>
      <c r="AV588" t="s">
        <v>1033</v>
      </c>
      <c r="AW588" t="s">
        <v>69</v>
      </c>
      <c r="AX588" t="s">
        <v>2103</v>
      </c>
      <c r="AY588" t="s">
        <v>2104</v>
      </c>
      <c r="AZ588" t="s">
        <v>243</v>
      </c>
      <c r="BA588" t="s">
        <v>245</v>
      </c>
      <c r="BB588" t="s">
        <v>264</v>
      </c>
      <c r="BC588" t="s">
        <v>244</v>
      </c>
      <c r="BD588" t="s">
        <v>2108</v>
      </c>
      <c r="BE588" t="s">
        <v>2106</v>
      </c>
      <c r="BF588" t="s">
        <v>86</v>
      </c>
      <c r="BG588" t="s">
        <v>150</v>
      </c>
      <c r="BH588" t="str">
        <f>IF(COUNTIF(工作表1!A:A, $C588)&gt;0, "預購款", "非預購款")</f>
        <v>非預購款</v>
      </c>
    </row>
    <row r="589" spans="1:60" x14ac:dyDescent="0.25">
      <c r="A589" t="s">
        <v>2097</v>
      </c>
      <c r="B589" t="s">
        <v>759</v>
      </c>
      <c r="C589" t="s">
        <v>2098</v>
      </c>
      <c r="D589" t="s">
        <v>2099</v>
      </c>
      <c r="E589" t="s">
        <v>2100</v>
      </c>
      <c r="F589" t="s">
        <v>1631</v>
      </c>
      <c r="G589" t="s">
        <v>2101</v>
      </c>
      <c r="H589" t="s">
        <v>119</v>
      </c>
      <c r="I589" t="s">
        <v>97</v>
      </c>
      <c r="J589" t="s">
        <v>98</v>
      </c>
      <c r="K589" t="s">
        <v>69</v>
      </c>
      <c r="L589" t="s">
        <v>2102</v>
      </c>
      <c r="M589" t="s">
        <v>71</v>
      </c>
      <c r="N589" t="s">
        <v>100</v>
      </c>
      <c r="O589" t="s">
        <v>1900</v>
      </c>
      <c r="P589" t="s">
        <v>1901</v>
      </c>
      <c r="R589" t="s">
        <v>1902</v>
      </c>
      <c r="S589" t="s">
        <v>1893</v>
      </c>
      <c r="T589" t="s">
        <v>76</v>
      </c>
      <c r="U589" t="s">
        <v>104</v>
      </c>
      <c r="V589" t="s">
        <v>237</v>
      </c>
      <c r="W589">
        <v>890</v>
      </c>
      <c r="X589">
        <v>39.99</v>
      </c>
      <c r="Y589">
        <v>115</v>
      </c>
      <c r="Z589">
        <v>639000</v>
      </c>
      <c r="AA589">
        <v>596300</v>
      </c>
      <c r="AB589">
        <v>272</v>
      </c>
      <c r="AD589" t="s">
        <v>238</v>
      </c>
      <c r="AE589">
        <v>2</v>
      </c>
      <c r="AF589">
        <v>0</v>
      </c>
      <c r="AI589">
        <v>0</v>
      </c>
      <c r="AJ589">
        <v>170</v>
      </c>
      <c r="AK589">
        <v>170</v>
      </c>
      <c r="AL589">
        <v>670</v>
      </c>
      <c r="AM589">
        <v>176</v>
      </c>
      <c r="AN589">
        <v>0</v>
      </c>
      <c r="AO589">
        <v>176</v>
      </c>
      <c r="AP589" t="s">
        <v>80</v>
      </c>
      <c r="AQ589" t="s">
        <v>176</v>
      </c>
      <c r="AT589" t="s">
        <v>86</v>
      </c>
      <c r="AU589" t="s">
        <v>86</v>
      </c>
      <c r="AV589" t="s">
        <v>1033</v>
      </c>
      <c r="AW589" t="s">
        <v>69</v>
      </c>
      <c r="AX589" t="s">
        <v>2103</v>
      </c>
      <c r="AY589" t="s">
        <v>2104</v>
      </c>
      <c r="AZ589" t="s">
        <v>243</v>
      </c>
      <c r="BA589" t="s">
        <v>245</v>
      </c>
      <c r="BB589" t="s">
        <v>264</v>
      </c>
      <c r="BC589" t="s">
        <v>244</v>
      </c>
      <c r="BD589" t="s">
        <v>2109</v>
      </c>
      <c r="BE589" t="s">
        <v>2106</v>
      </c>
      <c r="BF589" t="s">
        <v>86</v>
      </c>
      <c r="BG589" t="s">
        <v>150</v>
      </c>
      <c r="BH589" t="str">
        <f>IF(COUNTIF(工作表1!A:A, $C589)&gt;0, "預購款", "非預購款")</f>
        <v>非預購款</v>
      </c>
    </row>
    <row r="590" spans="1:60" x14ac:dyDescent="0.25">
      <c r="A590" t="s">
        <v>2097</v>
      </c>
      <c r="B590" t="s">
        <v>759</v>
      </c>
      <c r="C590" t="s">
        <v>2098</v>
      </c>
      <c r="D590" t="s">
        <v>2099</v>
      </c>
      <c r="E590" t="s">
        <v>2100</v>
      </c>
      <c r="F590" t="s">
        <v>1631</v>
      </c>
      <c r="G590" t="s">
        <v>2101</v>
      </c>
      <c r="H590" t="s">
        <v>130</v>
      </c>
      <c r="I590" t="s">
        <v>97</v>
      </c>
      <c r="J590" t="s">
        <v>98</v>
      </c>
      <c r="K590" t="s">
        <v>69</v>
      </c>
      <c r="L590" t="s">
        <v>2102</v>
      </c>
      <c r="M590" t="s">
        <v>71</v>
      </c>
      <c r="N590" t="s">
        <v>100</v>
      </c>
      <c r="O590" t="s">
        <v>1900</v>
      </c>
      <c r="P590" t="s">
        <v>1901</v>
      </c>
      <c r="R590" t="s">
        <v>1902</v>
      </c>
      <c r="S590" t="s">
        <v>1893</v>
      </c>
      <c r="T590" t="s">
        <v>76</v>
      </c>
      <c r="U590" t="s">
        <v>104</v>
      </c>
      <c r="V590" t="s">
        <v>237</v>
      </c>
      <c r="W590">
        <v>890</v>
      </c>
      <c r="X590">
        <v>39.99</v>
      </c>
      <c r="Y590">
        <v>115</v>
      </c>
      <c r="Z590">
        <v>639000</v>
      </c>
      <c r="AA590">
        <v>596300</v>
      </c>
      <c r="AB590">
        <v>272</v>
      </c>
      <c r="AD590" t="s">
        <v>238</v>
      </c>
      <c r="AE590">
        <v>2</v>
      </c>
      <c r="AF590">
        <v>0</v>
      </c>
      <c r="AI590">
        <v>0</v>
      </c>
      <c r="AJ590">
        <v>190</v>
      </c>
      <c r="AK590">
        <v>190</v>
      </c>
      <c r="AL590">
        <v>670</v>
      </c>
      <c r="AM590">
        <v>192</v>
      </c>
      <c r="AN590">
        <v>0</v>
      </c>
      <c r="AO590">
        <v>192</v>
      </c>
      <c r="AP590" t="s">
        <v>80</v>
      </c>
      <c r="AQ590" t="s">
        <v>176</v>
      </c>
      <c r="AT590" t="s">
        <v>86</v>
      </c>
      <c r="AU590" t="s">
        <v>86</v>
      </c>
      <c r="AV590" t="s">
        <v>1033</v>
      </c>
      <c r="AW590" t="s">
        <v>69</v>
      </c>
      <c r="AX590" t="s">
        <v>2103</v>
      </c>
      <c r="AY590" t="s">
        <v>2104</v>
      </c>
      <c r="AZ590" t="s">
        <v>243</v>
      </c>
      <c r="BA590" t="s">
        <v>245</v>
      </c>
      <c r="BB590" t="s">
        <v>264</v>
      </c>
      <c r="BC590" t="s">
        <v>244</v>
      </c>
      <c r="BD590" t="s">
        <v>2110</v>
      </c>
      <c r="BE590" t="s">
        <v>2106</v>
      </c>
      <c r="BF590" t="s">
        <v>86</v>
      </c>
      <c r="BG590" t="s">
        <v>150</v>
      </c>
      <c r="BH590" t="str">
        <f>IF(COUNTIF(工作表1!A:A, $C590)&gt;0, "預購款", "非預購款")</f>
        <v>非預購款</v>
      </c>
    </row>
    <row r="591" spans="1:60" x14ac:dyDescent="0.25">
      <c r="A591" t="s">
        <v>2097</v>
      </c>
      <c r="B591" t="s">
        <v>759</v>
      </c>
      <c r="C591" t="s">
        <v>2098</v>
      </c>
      <c r="D591" t="s">
        <v>2099</v>
      </c>
      <c r="E591" t="s">
        <v>2100</v>
      </c>
      <c r="F591" t="s">
        <v>1631</v>
      </c>
      <c r="G591" t="s">
        <v>2101</v>
      </c>
      <c r="H591" t="s">
        <v>132</v>
      </c>
      <c r="I591" t="s">
        <v>97</v>
      </c>
      <c r="J591" t="s">
        <v>98</v>
      </c>
      <c r="K591" t="s">
        <v>69</v>
      </c>
      <c r="L591" t="s">
        <v>2102</v>
      </c>
      <c r="M591" t="s">
        <v>71</v>
      </c>
      <c r="N591" t="s">
        <v>100</v>
      </c>
      <c r="O591" t="s">
        <v>1900</v>
      </c>
      <c r="P591" t="s">
        <v>1901</v>
      </c>
      <c r="R591" t="s">
        <v>1902</v>
      </c>
      <c r="S591" t="s">
        <v>1893</v>
      </c>
      <c r="T591" t="s">
        <v>76</v>
      </c>
      <c r="U591" t="s">
        <v>104</v>
      </c>
      <c r="V591" t="s">
        <v>237</v>
      </c>
      <c r="W591">
        <v>890</v>
      </c>
      <c r="X591">
        <v>39.99</v>
      </c>
      <c r="Y591">
        <v>115</v>
      </c>
      <c r="Z591">
        <v>639000</v>
      </c>
      <c r="AA591">
        <v>596300</v>
      </c>
      <c r="AB591">
        <v>272</v>
      </c>
      <c r="AD591" t="s">
        <v>238</v>
      </c>
      <c r="AE591">
        <v>2</v>
      </c>
      <c r="AF591">
        <v>0</v>
      </c>
      <c r="AI591">
        <v>0</v>
      </c>
      <c r="AJ591">
        <v>90</v>
      </c>
      <c r="AK591">
        <v>90</v>
      </c>
      <c r="AL591">
        <v>670</v>
      </c>
      <c r="AM591">
        <v>94</v>
      </c>
      <c r="AN591">
        <v>0</v>
      </c>
      <c r="AO591">
        <v>94</v>
      </c>
      <c r="AP591" t="s">
        <v>80</v>
      </c>
      <c r="AQ591" t="s">
        <v>176</v>
      </c>
      <c r="AT591" t="s">
        <v>86</v>
      </c>
      <c r="AU591" t="s">
        <v>86</v>
      </c>
      <c r="AV591" t="s">
        <v>1033</v>
      </c>
      <c r="AW591" t="s">
        <v>69</v>
      </c>
      <c r="AX591" t="s">
        <v>2103</v>
      </c>
      <c r="AY591" t="s">
        <v>2104</v>
      </c>
      <c r="AZ591" t="s">
        <v>243</v>
      </c>
      <c r="BA591" t="s">
        <v>245</v>
      </c>
      <c r="BB591" t="s">
        <v>264</v>
      </c>
      <c r="BC591" t="s">
        <v>244</v>
      </c>
      <c r="BD591" t="s">
        <v>2111</v>
      </c>
      <c r="BE591" t="s">
        <v>2106</v>
      </c>
      <c r="BF591" t="s">
        <v>86</v>
      </c>
      <c r="BG591" t="s">
        <v>150</v>
      </c>
      <c r="BH591" t="str">
        <f>IF(COUNTIF(工作表1!A:A, $C591)&gt;0, "預購款", "非預購款")</f>
        <v>非預購款</v>
      </c>
    </row>
    <row r="592" spans="1:60" x14ac:dyDescent="0.25">
      <c r="A592" t="s">
        <v>2112</v>
      </c>
      <c r="B592" t="s">
        <v>759</v>
      </c>
      <c r="C592" t="s">
        <v>2113</v>
      </c>
      <c r="D592" t="s">
        <v>2114</v>
      </c>
      <c r="E592" t="s">
        <v>2115</v>
      </c>
      <c r="F592" t="s">
        <v>1631</v>
      </c>
      <c r="G592" t="s">
        <v>2116</v>
      </c>
      <c r="H592" t="s">
        <v>273</v>
      </c>
      <c r="I592" t="s">
        <v>97</v>
      </c>
      <c r="J592" t="s">
        <v>98</v>
      </c>
      <c r="K592" t="s">
        <v>69</v>
      </c>
      <c r="L592" t="s">
        <v>2117</v>
      </c>
      <c r="M592" t="s">
        <v>71</v>
      </c>
      <c r="N592" t="s">
        <v>100</v>
      </c>
      <c r="O592" t="s">
        <v>1900</v>
      </c>
      <c r="P592" t="s">
        <v>1901</v>
      </c>
      <c r="R592" t="s">
        <v>1902</v>
      </c>
      <c r="S592" t="s">
        <v>1893</v>
      </c>
      <c r="T592" t="s">
        <v>274</v>
      </c>
      <c r="U592" t="s">
        <v>104</v>
      </c>
      <c r="V592" t="s">
        <v>237</v>
      </c>
      <c r="W592">
        <v>890</v>
      </c>
      <c r="X592">
        <v>39.99</v>
      </c>
      <c r="Y592">
        <v>115</v>
      </c>
      <c r="Z592">
        <v>639000</v>
      </c>
      <c r="AA592">
        <v>191350</v>
      </c>
      <c r="AB592">
        <v>302</v>
      </c>
      <c r="AD592" t="s">
        <v>238</v>
      </c>
      <c r="AE592">
        <v>1</v>
      </c>
      <c r="AF592">
        <v>0</v>
      </c>
      <c r="AI592">
        <v>0</v>
      </c>
      <c r="AJ592">
        <v>100</v>
      </c>
      <c r="AK592">
        <v>100</v>
      </c>
      <c r="AL592">
        <v>215</v>
      </c>
      <c r="AM592">
        <v>102</v>
      </c>
      <c r="AN592">
        <v>0</v>
      </c>
      <c r="AO592">
        <v>102</v>
      </c>
      <c r="AP592" t="s">
        <v>80</v>
      </c>
      <c r="AQ592" t="s">
        <v>179</v>
      </c>
      <c r="AT592" t="s">
        <v>86</v>
      </c>
      <c r="AU592" t="s">
        <v>86</v>
      </c>
      <c r="AV592" t="s">
        <v>2118</v>
      </c>
      <c r="AW592" t="s">
        <v>69</v>
      </c>
      <c r="AX592" t="s">
        <v>2119</v>
      </c>
      <c r="AY592" t="s">
        <v>2120</v>
      </c>
      <c r="AZ592" t="s">
        <v>243</v>
      </c>
      <c r="BA592" t="s">
        <v>245</v>
      </c>
      <c r="BB592" t="s">
        <v>264</v>
      </c>
      <c r="BC592" t="s">
        <v>244</v>
      </c>
      <c r="BD592" t="s">
        <v>2121</v>
      </c>
      <c r="BE592" t="s">
        <v>2122</v>
      </c>
      <c r="BF592" t="s">
        <v>279</v>
      </c>
      <c r="BG592" t="s">
        <v>150</v>
      </c>
      <c r="BH592" t="str">
        <f>IF(COUNTIF(工作表1!A:A, $C592)&gt;0, "預購款", "非預購款")</f>
        <v>非預購款</v>
      </c>
    </row>
    <row r="593" spans="1:60" x14ac:dyDescent="0.25">
      <c r="A593" t="s">
        <v>2112</v>
      </c>
      <c r="B593" t="s">
        <v>759</v>
      </c>
      <c r="C593" t="s">
        <v>2113</v>
      </c>
      <c r="D593" t="s">
        <v>2114</v>
      </c>
      <c r="E593" t="s">
        <v>2115</v>
      </c>
      <c r="F593" t="s">
        <v>1631</v>
      </c>
      <c r="G593" t="s">
        <v>2116</v>
      </c>
      <c r="H593" t="s">
        <v>501</v>
      </c>
      <c r="I593" t="s">
        <v>97</v>
      </c>
      <c r="J593" t="s">
        <v>98</v>
      </c>
      <c r="K593" t="s">
        <v>69</v>
      </c>
      <c r="L593" t="s">
        <v>2117</v>
      </c>
      <c r="M593" t="s">
        <v>71</v>
      </c>
      <c r="N593" t="s">
        <v>100</v>
      </c>
      <c r="O593" t="s">
        <v>1900</v>
      </c>
      <c r="P593" t="s">
        <v>1901</v>
      </c>
      <c r="R593" t="s">
        <v>1902</v>
      </c>
      <c r="S593" t="s">
        <v>1893</v>
      </c>
      <c r="T593" t="s">
        <v>274</v>
      </c>
      <c r="U593" t="s">
        <v>104</v>
      </c>
      <c r="V593" t="s">
        <v>237</v>
      </c>
      <c r="W593">
        <v>890</v>
      </c>
      <c r="X593">
        <v>39.99</v>
      </c>
      <c r="Y593">
        <v>115</v>
      </c>
      <c r="Z593">
        <v>639000</v>
      </c>
      <c r="AA593">
        <v>191350</v>
      </c>
      <c r="AB593">
        <v>302</v>
      </c>
      <c r="AD593" t="s">
        <v>238</v>
      </c>
      <c r="AE593">
        <v>1</v>
      </c>
      <c r="AF593">
        <v>0</v>
      </c>
      <c r="AI593">
        <v>0</v>
      </c>
      <c r="AJ593">
        <v>30</v>
      </c>
      <c r="AK593">
        <v>30</v>
      </c>
      <c r="AL593">
        <v>215</v>
      </c>
      <c r="AM593">
        <v>30</v>
      </c>
      <c r="AN593">
        <v>0</v>
      </c>
      <c r="AO593">
        <v>30</v>
      </c>
      <c r="AP593" t="s">
        <v>80</v>
      </c>
      <c r="AQ593" t="s">
        <v>179</v>
      </c>
      <c r="AT593" t="s">
        <v>86</v>
      </c>
      <c r="AU593" t="s">
        <v>86</v>
      </c>
      <c r="AV593" t="s">
        <v>2118</v>
      </c>
      <c r="AW593" t="s">
        <v>69</v>
      </c>
      <c r="AX593" t="s">
        <v>2119</v>
      </c>
      <c r="AY593" t="s">
        <v>2120</v>
      </c>
      <c r="AZ593" t="s">
        <v>243</v>
      </c>
      <c r="BA593" t="s">
        <v>245</v>
      </c>
      <c r="BB593" t="s">
        <v>264</v>
      </c>
      <c r="BC593" t="s">
        <v>244</v>
      </c>
      <c r="BD593" t="s">
        <v>2123</v>
      </c>
      <c r="BE593" t="s">
        <v>2122</v>
      </c>
      <c r="BF593" t="s">
        <v>279</v>
      </c>
      <c r="BG593" t="s">
        <v>150</v>
      </c>
      <c r="BH593" t="str">
        <f>IF(COUNTIF(工作表1!A:A, $C593)&gt;0, "預購款", "非預購款")</f>
        <v>非預購款</v>
      </c>
    </row>
    <row r="594" spans="1:60" x14ac:dyDescent="0.25">
      <c r="A594" t="s">
        <v>2112</v>
      </c>
      <c r="B594" t="s">
        <v>759</v>
      </c>
      <c r="C594" t="s">
        <v>2113</v>
      </c>
      <c r="D594" t="s">
        <v>2114</v>
      </c>
      <c r="E594" t="s">
        <v>2115</v>
      </c>
      <c r="F594" t="s">
        <v>1631</v>
      </c>
      <c r="G594" t="s">
        <v>2116</v>
      </c>
      <c r="H594" t="s">
        <v>280</v>
      </c>
      <c r="I594" t="s">
        <v>97</v>
      </c>
      <c r="J594" t="s">
        <v>98</v>
      </c>
      <c r="K594" t="s">
        <v>69</v>
      </c>
      <c r="L594" t="s">
        <v>2117</v>
      </c>
      <c r="M594" t="s">
        <v>71</v>
      </c>
      <c r="N594" t="s">
        <v>100</v>
      </c>
      <c r="O594" t="s">
        <v>1900</v>
      </c>
      <c r="P594" t="s">
        <v>1901</v>
      </c>
      <c r="R594" t="s">
        <v>1902</v>
      </c>
      <c r="S594" t="s">
        <v>1893</v>
      </c>
      <c r="T594" t="s">
        <v>274</v>
      </c>
      <c r="U594" t="s">
        <v>104</v>
      </c>
      <c r="V594" t="s">
        <v>237</v>
      </c>
      <c r="W594">
        <v>890</v>
      </c>
      <c r="X594">
        <v>39.99</v>
      </c>
      <c r="Y594">
        <v>115</v>
      </c>
      <c r="Z594">
        <v>639000</v>
      </c>
      <c r="AA594">
        <v>191350</v>
      </c>
      <c r="AB594">
        <v>302</v>
      </c>
      <c r="AD594" t="s">
        <v>238</v>
      </c>
      <c r="AE594">
        <v>1</v>
      </c>
      <c r="AF594">
        <v>0</v>
      </c>
      <c r="AI594">
        <v>0</v>
      </c>
      <c r="AJ594">
        <v>85</v>
      </c>
      <c r="AK594">
        <v>85</v>
      </c>
      <c r="AL594">
        <v>215</v>
      </c>
      <c r="AM594">
        <v>89</v>
      </c>
      <c r="AN594">
        <v>0</v>
      </c>
      <c r="AO594">
        <v>89</v>
      </c>
      <c r="AP594" t="s">
        <v>80</v>
      </c>
      <c r="AQ594" t="s">
        <v>179</v>
      </c>
      <c r="AT594" t="s">
        <v>86</v>
      </c>
      <c r="AU594" t="s">
        <v>86</v>
      </c>
      <c r="AV594" t="s">
        <v>2118</v>
      </c>
      <c r="AW594" t="s">
        <v>69</v>
      </c>
      <c r="AX594" t="s">
        <v>2119</v>
      </c>
      <c r="AY594" t="s">
        <v>2120</v>
      </c>
      <c r="AZ594" t="s">
        <v>243</v>
      </c>
      <c r="BA594" t="s">
        <v>245</v>
      </c>
      <c r="BB594" t="s">
        <v>264</v>
      </c>
      <c r="BC594" t="s">
        <v>244</v>
      </c>
      <c r="BD594" t="s">
        <v>2124</v>
      </c>
      <c r="BE594" t="s">
        <v>2122</v>
      </c>
      <c r="BF594" t="s">
        <v>279</v>
      </c>
      <c r="BG594" t="s">
        <v>150</v>
      </c>
      <c r="BH594" t="str">
        <f>IF(COUNTIF(工作表1!A:A, $C594)&gt;0, "預購款", "非預購款")</f>
        <v>非預購款</v>
      </c>
    </row>
    <row r="595" spans="1:60" x14ac:dyDescent="0.25">
      <c r="A595" t="s">
        <v>2125</v>
      </c>
      <c r="B595" t="s">
        <v>759</v>
      </c>
      <c r="C595" t="s">
        <v>2126</v>
      </c>
      <c r="D595" t="s">
        <v>2127</v>
      </c>
      <c r="E595" t="s">
        <v>2128</v>
      </c>
      <c r="F595" t="s">
        <v>1631</v>
      </c>
      <c r="G595" t="s">
        <v>2129</v>
      </c>
      <c r="H595" t="s">
        <v>119</v>
      </c>
      <c r="I595" t="s">
        <v>97</v>
      </c>
      <c r="J595" t="s">
        <v>98</v>
      </c>
      <c r="K595" t="s">
        <v>80</v>
      </c>
      <c r="L595" t="s">
        <v>2130</v>
      </c>
      <c r="M595" t="s">
        <v>71</v>
      </c>
      <c r="N595" t="s">
        <v>100</v>
      </c>
      <c r="O595" t="s">
        <v>1900</v>
      </c>
      <c r="P595" t="s">
        <v>1901</v>
      </c>
      <c r="R595" t="s">
        <v>1902</v>
      </c>
      <c r="S595" t="s">
        <v>1893</v>
      </c>
      <c r="T595" t="s">
        <v>291</v>
      </c>
      <c r="U595" t="s">
        <v>104</v>
      </c>
      <c r="V595" t="s">
        <v>292</v>
      </c>
      <c r="W595">
        <v>490</v>
      </c>
      <c r="X595">
        <v>22.99</v>
      </c>
      <c r="Y595">
        <v>60</v>
      </c>
      <c r="Z595">
        <v>355000</v>
      </c>
      <c r="AA595">
        <v>102900</v>
      </c>
      <c r="AB595">
        <v>170</v>
      </c>
      <c r="AD595" t="s">
        <v>238</v>
      </c>
      <c r="AE595">
        <v>1</v>
      </c>
      <c r="AF595">
        <v>0</v>
      </c>
      <c r="AI595">
        <v>0</v>
      </c>
      <c r="AJ595">
        <v>90</v>
      </c>
      <c r="AK595">
        <v>90</v>
      </c>
      <c r="AL595">
        <v>210</v>
      </c>
      <c r="AM595">
        <v>93</v>
      </c>
      <c r="AN595">
        <v>0</v>
      </c>
      <c r="AO595">
        <v>93</v>
      </c>
      <c r="AP595" t="s">
        <v>80</v>
      </c>
      <c r="AQ595" t="s">
        <v>179</v>
      </c>
      <c r="AT595" t="s">
        <v>264</v>
      </c>
      <c r="AU595" t="s">
        <v>264</v>
      </c>
      <c r="AV595" t="s">
        <v>876</v>
      </c>
      <c r="AW595" t="s">
        <v>69</v>
      </c>
      <c r="AX595" t="s">
        <v>126</v>
      </c>
      <c r="AY595" t="s">
        <v>2131</v>
      </c>
      <c r="AZ595" t="s">
        <v>243</v>
      </c>
      <c r="BA595" t="s">
        <v>244</v>
      </c>
      <c r="BB595" t="s">
        <v>264</v>
      </c>
      <c r="BC595" t="s">
        <v>264</v>
      </c>
      <c r="BD595" t="s">
        <v>2132</v>
      </c>
      <c r="BE595" t="s">
        <v>2133</v>
      </c>
      <c r="BF595" t="s">
        <v>291</v>
      </c>
      <c r="BG595" t="s">
        <v>150</v>
      </c>
      <c r="BH595" t="str">
        <f>IF(COUNTIF(工作表1!A:A, $C595)&gt;0, "預購款", "非預購款")</f>
        <v>非預購款</v>
      </c>
    </row>
    <row r="596" spans="1:60" x14ac:dyDescent="0.25">
      <c r="A596" t="s">
        <v>2125</v>
      </c>
      <c r="B596" t="s">
        <v>759</v>
      </c>
      <c r="C596" t="s">
        <v>2126</v>
      </c>
      <c r="D596" t="s">
        <v>2127</v>
      </c>
      <c r="E596" t="s">
        <v>2128</v>
      </c>
      <c r="F596" t="s">
        <v>1631</v>
      </c>
      <c r="G596" t="s">
        <v>2129</v>
      </c>
      <c r="H596" t="s">
        <v>130</v>
      </c>
      <c r="I596" t="s">
        <v>97</v>
      </c>
      <c r="J596" t="s">
        <v>98</v>
      </c>
      <c r="K596" t="s">
        <v>80</v>
      </c>
      <c r="L596" t="s">
        <v>2130</v>
      </c>
      <c r="M596" t="s">
        <v>71</v>
      </c>
      <c r="N596" t="s">
        <v>100</v>
      </c>
      <c r="O596" t="s">
        <v>1900</v>
      </c>
      <c r="P596" t="s">
        <v>1901</v>
      </c>
      <c r="R596" t="s">
        <v>1902</v>
      </c>
      <c r="S596" t="s">
        <v>1893</v>
      </c>
      <c r="T596" t="s">
        <v>291</v>
      </c>
      <c r="U596" t="s">
        <v>104</v>
      </c>
      <c r="V596" t="s">
        <v>292</v>
      </c>
      <c r="W596">
        <v>490</v>
      </c>
      <c r="X596">
        <v>22.99</v>
      </c>
      <c r="Y596">
        <v>60</v>
      </c>
      <c r="Z596">
        <v>355000</v>
      </c>
      <c r="AA596">
        <v>102900</v>
      </c>
      <c r="AB596">
        <v>170</v>
      </c>
      <c r="AD596" t="s">
        <v>238</v>
      </c>
      <c r="AE596">
        <v>1</v>
      </c>
      <c r="AF596">
        <v>0</v>
      </c>
      <c r="AI596">
        <v>0</v>
      </c>
      <c r="AJ596">
        <v>80</v>
      </c>
      <c r="AK596">
        <v>80</v>
      </c>
      <c r="AL596">
        <v>210</v>
      </c>
      <c r="AM596">
        <v>84</v>
      </c>
      <c r="AN596">
        <v>0</v>
      </c>
      <c r="AO596">
        <v>84</v>
      </c>
      <c r="AP596" t="s">
        <v>80</v>
      </c>
      <c r="AQ596" t="s">
        <v>179</v>
      </c>
      <c r="AT596" t="s">
        <v>264</v>
      </c>
      <c r="AU596" t="s">
        <v>264</v>
      </c>
      <c r="AV596" t="s">
        <v>876</v>
      </c>
      <c r="AW596" t="s">
        <v>69</v>
      </c>
      <c r="AX596" t="s">
        <v>126</v>
      </c>
      <c r="AY596" t="s">
        <v>2131</v>
      </c>
      <c r="AZ596" t="s">
        <v>243</v>
      </c>
      <c r="BA596" t="s">
        <v>244</v>
      </c>
      <c r="BB596" t="s">
        <v>264</v>
      </c>
      <c r="BC596" t="s">
        <v>264</v>
      </c>
      <c r="BD596" t="s">
        <v>2134</v>
      </c>
      <c r="BE596" t="s">
        <v>2133</v>
      </c>
      <c r="BF596" t="s">
        <v>291</v>
      </c>
      <c r="BG596" t="s">
        <v>150</v>
      </c>
      <c r="BH596" t="str">
        <f>IF(COUNTIF(工作表1!A:A, $C596)&gt;0, "預購款", "非預購款")</f>
        <v>非預購款</v>
      </c>
    </row>
    <row r="597" spans="1:60" x14ac:dyDescent="0.25">
      <c r="A597" t="s">
        <v>2125</v>
      </c>
      <c r="B597" t="s">
        <v>759</v>
      </c>
      <c r="C597" t="s">
        <v>2126</v>
      </c>
      <c r="D597" t="s">
        <v>2127</v>
      </c>
      <c r="E597" t="s">
        <v>2128</v>
      </c>
      <c r="F597" t="s">
        <v>1631</v>
      </c>
      <c r="G597" t="s">
        <v>2129</v>
      </c>
      <c r="H597" t="s">
        <v>132</v>
      </c>
      <c r="I597" t="s">
        <v>97</v>
      </c>
      <c r="J597" t="s">
        <v>98</v>
      </c>
      <c r="K597" t="s">
        <v>80</v>
      </c>
      <c r="L597" t="s">
        <v>2130</v>
      </c>
      <c r="M597" t="s">
        <v>71</v>
      </c>
      <c r="N597" t="s">
        <v>100</v>
      </c>
      <c r="O597" t="s">
        <v>1900</v>
      </c>
      <c r="P597" t="s">
        <v>1901</v>
      </c>
      <c r="R597" t="s">
        <v>1902</v>
      </c>
      <c r="S597" t="s">
        <v>1893</v>
      </c>
      <c r="T597" t="s">
        <v>291</v>
      </c>
      <c r="U597" t="s">
        <v>104</v>
      </c>
      <c r="V597" t="s">
        <v>292</v>
      </c>
      <c r="W597">
        <v>490</v>
      </c>
      <c r="X597">
        <v>22.99</v>
      </c>
      <c r="Y597">
        <v>60</v>
      </c>
      <c r="Z597">
        <v>355000</v>
      </c>
      <c r="AA597">
        <v>102900</v>
      </c>
      <c r="AB597">
        <v>170</v>
      </c>
      <c r="AD597" t="s">
        <v>238</v>
      </c>
      <c r="AE597">
        <v>1</v>
      </c>
      <c r="AF597">
        <v>0</v>
      </c>
      <c r="AI597">
        <v>0</v>
      </c>
      <c r="AJ597">
        <v>40</v>
      </c>
      <c r="AK597">
        <v>40</v>
      </c>
      <c r="AL597">
        <v>210</v>
      </c>
      <c r="AM597">
        <v>47</v>
      </c>
      <c r="AN597">
        <v>0</v>
      </c>
      <c r="AO597">
        <v>47</v>
      </c>
      <c r="AP597" t="s">
        <v>80</v>
      </c>
      <c r="AQ597" t="s">
        <v>179</v>
      </c>
      <c r="AT597" t="s">
        <v>264</v>
      </c>
      <c r="AU597" t="s">
        <v>264</v>
      </c>
      <c r="AV597" t="s">
        <v>876</v>
      </c>
      <c r="AW597" t="s">
        <v>69</v>
      </c>
      <c r="AX597" t="s">
        <v>126</v>
      </c>
      <c r="AY597" t="s">
        <v>2131</v>
      </c>
      <c r="AZ597" t="s">
        <v>243</v>
      </c>
      <c r="BA597" t="s">
        <v>244</v>
      </c>
      <c r="BB597" t="s">
        <v>264</v>
      </c>
      <c r="BC597" t="s">
        <v>264</v>
      </c>
      <c r="BD597" t="s">
        <v>2135</v>
      </c>
      <c r="BE597" t="s">
        <v>2133</v>
      </c>
      <c r="BF597" t="s">
        <v>291</v>
      </c>
      <c r="BG597" t="s">
        <v>150</v>
      </c>
      <c r="BH597" t="str">
        <f>IF(COUNTIF(工作表1!A:A, $C597)&gt;0, "預購款", "非預購款")</f>
        <v>非預購款</v>
      </c>
    </row>
    <row r="598" spans="1:60" x14ac:dyDescent="0.25">
      <c r="A598" t="s">
        <v>2136</v>
      </c>
      <c r="B598" t="s">
        <v>678</v>
      </c>
      <c r="C598" t="s">
        <v>2137</v>
      </c>
      <c r="D598" t="s">
        <v>2138</v>
      </c>
      <c r="E598" t="s">
        <v>2139</v>
      </c>
      <c r="F598" t="s">
        <v>1631</v>
      </c>
      <c r="G598" t="s">
        <v>2140</v>
      </c>
      <c r="H598" t="s">
        <v>119</v>
      </c>
      <c r="I598" t="s">
        <v>97</v>
      </c>
      <c r="J598" t="s">
        <v>98</v>
      </c>
      <c r="K598" t="s">
        <v>69</v>
      </c>
      <c r="L598" t="s">
        <v>2141</v>
      </c>
      <c r="M598" t="s">
        <v>71</v>
      </c>
      <c r="N598" t="s">
        <v>100</v>
      </c>
      <c r="O598" t="s">
        <v>1900</v>
      </c>
      <c r="P598" t="s">
        <v>1901</v>
      </c>
      <c r="R598" t="s">
        <v>1902</v>
      </c>
      <c r="S598" t="s">
        <v>1893</v>
      </c>
      <c r="T598" t="s">
        <v>258</v>
      </c>
      <c r="U598" t="s">
        <v>104</v>
      </c>
      <c r="V598" t="s">
        <v>237</v>
      </c>
      <c r="W598">
        <v>590</v>
      </c>
      <c r="X598">
        <v>29.99</v>
      </c>
      <c r="Y598">
        <v>75</v>
      </c>
      <c r="Z598">
        <v>429000</v>
      </c>
      <c r="AA598">
        <v>575840</v>
      </c>
      <c r="AB598">
        <v>195</v>
      </c>
      <c r="AD598" t="s">
        <v>238</v>
      </c>
      <c r="AE598">
        <v>2</v>
      </c>
      <c r="AF598">
        <v>10</v>
      </c>
      <c r="AI598">
        <v>10</v>
      </c>
      <c r="AJ598">
        <v>190</v>
      </c>
      <c r="AK598">
        <v>210</v>
      </c>
      <c r="AL598">
        <v>976</v>
      </c>
      <c r="AM598">
        <v>220</v>
      </c>
      <c r="AN598">
        <v>0</v>
      </c>
      <c r="AO598">
        <v>220</v>
      </c>
      <c r="AP598" t="s">
        <v>80</v>
      </c>
      <c r="AQ598" t="s">
        <v>176</v>
      </c>
      <c r="AR598" t="s">
        <v>86</v>
      </c>
      <c r="AS598" t="s">
        <v>261</v>
      </c>
      <c r="AT598" t="s">
        <v>86</v>
      </c>
      <c r="AU598" t="s">
        <v>86</v>
      </c>
      <c r="AV598" t="s">
        <v>2142</v>
      </c>
      <c r="AW598" t="s">
        <v>69</v>
      </c>
      <c r="AX598" t="s">
        <v>737</v>
      </c>
      <c r="AY598" t="s">
        <v>2143</v>
      </c>
      <c r="AZ598" t="s">
        <v>243</v>
      </c>
      <c r="BA598" t="s">
        <v>244</v>
      </c>
      <c r="BB598" t="s">
        <v>244</v>
      </c>
      <c r="BC598" t="s">
        <v>244</v>
      </c>
      <c r="BD598" t="s">
        <v>2144</v>
      </c>
      <c r="BE598" t="s">
        <v>2145</v>
      </c>
      <c r="BF598" t="s">
        <v>240</v>
      </c>
      <c r="BG598" t="s">
        <v>150</v>
      </c>
      <c r="BH598" t="str">
        <f>IF(COUNTIF(工作表1!A:A, $C598)&gt;0, "預購款", "非預購款")</f>
        <v>非預購款</v>
      </c>
    </row>
    <row r="599" spans="1:60" x14ac:dyDescent="0.25">
      <c r="A599" t="s">
        <v>2136</v>
      </c>
      <c r="B599" t="s">
        <v>678</v>
      </c>
      <c r="C599" t="s">
        <v>2137</v>
      </c>
      <c r="D599" t="s">
        <v>2138</v>
      </c>
      <c r="E599" t="s">
        <v>2139</v>
      </c>
      <c r="F599" t="s">
        <v>1631</v>
      </c>
      <c r="G599" t="s">
        <v>2140</v>
      </c>
      <c r="H599" t="s">
        <v>130</v>
      </c>
      <c r="I599" t="s">
        <v>97</v>
      </c>
      <c r="J599" t="s">
        <v>98</v>
      </c>
      <c r="K599" t="s">
        <v>69</v>
      </c>
      <c r="L599" t="s">
        <v>2141</v>
      </c>
      <c r="M599" t="s">
        <v>71</v>
      </c>
      <c r="N599" t="s">
        <v>100</v>
      </c>
      <c r="O599" t="s">
        <v>1900</v>
      </c>
      <c r="P599" t="s">
        <v>1901</v>
      </c>
      <c r="R599" t="s">
        <v>1902</v>
      </c>
      <c r="S599" t="s">
        <v>1893</v>
      </c>
      <c r="T599" t="s">
        <v>258</v>
      </c>
      <c r="U599" t="s">
        <v>104</v>
      </c>
      <c r="V599" t="s">
        <v>237</v>
      </c>
      <c r="W599">
        <v>590</v>
      </c>
      <c r="X599">
        <v>29.99</v>
      </c>
      <c r="Y599">
        <v>75</v>
      </c>
      <c r="Z599">
        <v>429000</v>
      </c>
      <c r="AA599">
        <v>575840</v>
      </c>
      <c r="AB599">
        <v>195</v>
      </c>
      <c r="AD599" t="s">
        <v>238</v>
      </c>
      <c r="AE599">
        <v>2</v>
      </c>
      <c r="AF599">
        <v>8</v>
      </c>
      <c r="AI599">
        <v>20</v>
      </c>
      <c r="AJ599">
        <v>160</v>
      </c>
      <c r="AK599">
        <v>188</v>
      </c>
      <c r="AL599">
        <v>976</v>
      </c>
      <c r="AM599">
        <v>200</v>
      </c>
      <c r="AN599">
        <v>0</v>
      </c>
      <c r="AO599">
        <v>200</v>
      </c>
      <c r="AP599" t="s">
        <v>80</v>
      </c>
      <c r="AQ599" t="s">
        <v>176</v>
      </c>
      <c r="AR599" t="s">
        <v>86</v>
      </c>
      <c r="AS599" t="s">
        <v>261</v>
      </c>
      <c r="AT599" t="s">
        <v>86</v>
      </c>
      <c r="AU599" t="s">
        <v>86</v>
      </c>
      <c r="AV599" t="s">
        <v>2142</v>
      </c>
      <c r="AW599" t="s">
        <v>69</v>
      </c>
      <c r="AX599" t="s">
        <v>737</v>
      </c>
      <c r="AY599" t="s">
        <v>2143</v>
      </c>
      <c r="AZ599" t="s">
        <v>243</v>
      </c>
      <c r="BA599" t="s">
        <v>244</v>
      </c>
      <c r="BB599" t="s">
        <v>244</v>
      </c>
      <c r="BC599" t="s">
        <v>244</v>
      </c>
      <c r="BD599" t="s">
        <v>2146</v>
      </c>
      <c r="BE599" t="s">
        <v>2145</v>
      </c>
      <c r="BF599" t="s">
        <v>240</v>
      </c>
      <c r="BG599" t="s">
        <v>150</v>
      </c>
      <c r="BH599" t="str">
        <f>IF(COUNTIF(工作表1!A:A, $C599)&gt;0, "預購款", "非預購款")</f>
        <v>非預購款</v>
      </c>
    </row>
    <row r="600" spans="1:60" x14ac:dyDescent="0.25">
      <c r="A600" t="s">
        <v>2136</v>
      </c>
      <c r="B600" t="s">
        <v>678</v>
      </c>
      <c r="C600" t="s">
        <v>2137</v>
      </c>
      <c r="D600" t="s">
        <v>2138</v>
      </c>
      <c r="E600" t="s">
        <v>2139</v>
      </c>
      <c r="F600" t="s">
        <v>1631</v>
      </c>
      <c r="G600" t="s">
        <v>2140</v>
      </c>
      <c r="H600" t="s">
        <v>132</v>
      </c>
      <c r="I600" t="s">
        <v>97</v>
      </c>
      <c r="J600" t="s">
        <v>98</v>
      </c>
      <c r="K600" t="s">
        <v>69</v>
      </c>
      <c r="L600" t="s">
        <v>2141</v>
      </c>
      <c r="M600" t="s">
        <v>71</v>
      </c>
      <c r="N600" t="s">
        <v>100</v>
      </c>
      <c r="O600" t="s">
        <v>1900</v>
      </c>
      <c r="P600" t="s">
        <v>1901</v>
      </c>
      <c r="R600" t="s">
        <v>1902</v>
      </c>
      <c r="S600" t="s">
        <v>1893</v>
      </c>
      <c r="T600" t="s">
        <v>258</v>
      </c>
      <c r="U600" t="s">
        <v>104</v>
      </c>
      <c r="V600" t="s">
        <v>237</v>
      </c>
      <c r="W600">
        <v>590</v>
      </c>
      <c r="X600">
        <v>29.99</v>
      </c>
      <c r="Y600">
        <v>75</v>
      </c>
      <c r="Z600">
        <v>429000</v>
      </c>
      <c r="AA600">
        <v>575840</v>
      </c>
      <c r="AB600">
        <v>195</v>
      </c>
      <c r="AD600" t="s">
        <v>238</v>
      </c>
      <c r="AE600">
        <v>2</v>
      </c>
      <c r="AF600">
        <v>0</v>
      </c>
      <c r="AI600">
        <v>0</v>
      </c>
      <c r="AJ600">
        <v>110</v>
      </c>
      <c r="AK600">
        <v>110</v>
      </c>
      <c r="AL600">
        <v>976</v>
      </c>
      <c r="AM600">
        <v>120</v>
      </c>
      <c r="AN600">
        <v>0</v>
      </c>
      <c r="AO600">
        <v>120</v>
      </c>
      <c r="AP600" t="s">
        <v>80</v>
      </c>
      <c r="AQ600" t="s">
        <v>176</v>
      </c>
      <c r="AR600" t="s">
        <v>86</v>
      </c>
      <c r="AS600" t="s">
        <v>261</v>
      </c>
      <c r="AT600" t="s">
        <v>86</v>
      </c>
      <c r="AU600" t="s">
        <v>86</v>
      </c>
      <c r="AV600" t="s">
        <v>2142</v>
      </c>
      <c r="AW600" t="s">
        <v>69</v>
      </c>
      <c r="AX600" t="s">
        <v>737</v>
      </c>
      <c r="AY600" t="s">
        <v>2143</v>
      </c>
      <c r="AZ600" t="s">
        <v>243</v>
      </c>
      <c r="BA600" t="s">
        <v>244</v>
      </c>
      <c r="BB600" t="s">
        <v>244</v>
      </c>
      <c r="BC600" t="s">
        <v>244</v>
      </c>
      <c r="BD600" t="s">
        <v>2147</v>
      </c>
      <c r="BE600" t="s">
        <v>2145</v>
      </c>
      <c r="BF600" t="s">
        <v>240</v>
      </c>
      <c r="BG600" t="s">
        <v>150</v>
      </c>
      <c r="BH600" t="str">
        <f>IF(COUNTIF(工作表1!A:A, $C600)&gt;0, "預購款", "非預購款")</f>
        <v>非預購款</v>
      </c>
    </row>
    <row r="601" spans="1:60" x14ac:dyDescent="0.25">
      <c r="A601" t="s">
        <v>2136</v>
      </c>
      <c r="B601" t="s">
        <v>678</v>
      </c>
      <c r="C601" t="s">
        <v>2137</v>
      </c>
      <c r="D601" t="s">
        <v>2138</v>
      </c>
      <c r="E601" t="s">
        <v>2139</v>
      </c>
      <c r="F601" t="s">
        <v>1631</v>
      </c>
      <c r="G601" t="s">
        <v>2140</v>
      </c>
      <c r="H601" t="s">
        <v>119</v>
      </c>
      <c r="I601" t="s">
        <v>288</v>
      </c>
      <c r="J601" t="s">
        <v>289</v>
      </c>
      <c r="K601" t="s">
        <v>69</v>
      </c>
      <c r="L601" t="s">
        <v>2141</v>
      </c>
      <c r="M601" t="s">
        <v>71</v>
      </c>
      <c r="N601" t="s">
        <v>100</v>
      </c>
      <c r="O601" t="s">
        <v>1900</v>
      </c>
      <c r="P601" t="s">
        <v>1901</v>
      </c>
      <c r="R601" t="s">
        <v>1902</v>
      </c>
      <c r="S601" t="s">
        <v>1893</v>
      </c>
      <c r="T601" t="s">
        <v>258</v>
      </c>
      <c r="U601" t="s">
        <v>104</v>
      </c>
      <c r="V601" t="s">
        <v>237</v>
      </c>
      <c r="W601">
        <v>590</v>
      </c>
      <c r="X601">
        <v>29.99</v>
      </c>
      <c r="Y601">
        <v>75</v>
      </c>
      <c r="Z601">
        <v>429000</v>
      </c>
      <c r="AA601">
        <v>575840</v>
      </c>
      <c r="AB601">
        <v>195</v>
      </c>
      <c r="AD601" t="s">
        <v>238</v>
      </c>
      <c r="AE601">
        <v>2</v>
      </c>
      <c r="AF601">
        <v>10</v>
      </c>
      <c r="AI601">
        <v>0</v>
      </c>
      <c r="AJ601">
        <v>220</v>
      </c>
      <c r="AK601">
        <v>230</v>
      </c>
      <c r="AL601">
        <v>976</v>
      </c>
      <c r="AM601">
        <v>240</v>
      </c>
      <c r="AN601">
        <v>0</v>
      </c>
      <c r="AO601">
        <v>240</v>
      </c>
      <c r="AP601" t="s">
        <v>80</v>
      </c>
      <c r="AQ601" t="s">
        <v>176</v>
      </c>
      <c r="AR601" t="s">
        <v>86</v>
      </c>
      <c r="AS601" t="s">
        <v>261</v>
      </c>
      <c r="AT601" t="s">
        <v>86</v>
      </c>
      <c r="AU601" t="s">
        <v>86</v>
      </c>
      <c r="AV601" t="s">
        <v>2142</v>
      </c>
      <c r="AW601" t="s">
        <v>69</v>
      </c>
      <c r="AX601" t="s">
        <v>737</v>
      </c>
      <c r="AY601" t="s">
        <v>2143</v>
      </c>
      <c r="AZ601" t="s">
        <v>243</v>
      </c>
      <c r="BA601" t="s">
        <v>244</v>
      </c>
      <c r="BB601" t="s">
        <v>244</v>
      </c>
      <c r="BC601" t="s">
        <v>244</v>
      </c>
      <c r="BD601" t="s">
        <v>2148</v>
      </c>
      <c r="BE601" t="s">
        <v>2145</v>
      </c>
      <c r="BF601" t="s">
        <v>240</v>
      </c>
      <c r="BG601" t="s">
        <v>150</v>
      </c>
      <c r="BH601" t="str">
        <f>IF(COUNTIF(工作表1!A:A, $C601)&gt;0, "預購款", "非預購款")</f>
        <v>非預購款</v>
      </c>
    </row>
    <row r="602" spans="1:60" x14ac:dyDescent="0.25">
      <c r="A602" t="s">
        <v>2136</v>
      </c>
      <c r="B602" t="s">
        <v>678</v>
      </c>
      <c r="C602" t="s">
        <v>2137</v>
      </c>
      <c r="D602" t="s">
        <v>2138</v>
      </c>
      <c r="E602" t="s">
        <v>2139</v>
      </c>
      <c r="F602" t="s">
        <v>1631</v>
      </c>
      <c r="G602" t="s">
        <v>2140</v>
      </c>
      <c r="H602" t="s">
        <v>130</v>
      </c>
      <c r="I602" t="s">
        <v>288</v>
      </c>
      <c r="J602" t="s">
        <v>289</v>
      </c>
      <c r="K602" t="s">
        <v>69</v>
      </c>
      <c r="L602" t="s">
        <v>2141</v>
      </c>
      <c r="M602" t="s">
        <v>71</v>
      </c>
      <c r="N602" t="s">
        <v>100</v>
      </c>
      <c r="O602" t="s">
        <v>1900</v>
      </c>
      <c r="P602" t="s">
        <v>1901</v>
      </c>
      <c r="R602" t="s">
        <v>1902</v>
      </c>
      <c r="S602" t="s">
        <v>1893</v>
      </c>
      <c r="T602" t="s">
        <v>258</v>
      </c>
      <c r="U602" t="s">
        <v>104</v>
      </c>
      <c r="V602" t="s">
        <v>237</v>
      </c>
      <c r="W602">
        <v>590</v>
      </c>
      <c r="X602">
        <v>29.99</v>
      </c>
      <c r="Y602">
        <v>75</v>
      </c>
      <c r="Z602">
        <v>429000</v>
      </c>
      <c r="AA602">
        <v>575840</v>
      </c>
      <c r="AB602">
        <v>195</v>
      </c>
      <c r="AD602" t="s">
        <v>238</v>
      </c>
      <c r="AE602">
        <v>2</v>
      </c>
      <c r="AF602">
        <v>8</v>
      </c>
      <c r="AI602">
        <v>0</v>
      </c>
      <c r="AJ602">
        <v>150</v>
      </c>
      <c r="AK602">
        <v>158</v>
      </c>
      <c r="AL602">
        <v>976</v>
      </c>
      <c r="AM602">
        <v>170</v>
      </c>
      <c r="AN602">
        <v>0</v>
      </c>
      <c r="AO602">
        <v>170</v>
      </c>
      <c r="AP602" t="s">
        <v>80</v>
      </c>
      <c r="AQ602" t="s">
        <v>176</v>
      </c>
      <c r="AR602" t="s">
        <v>86</v>
      </c>
      <c r="AS602" t="s">
        <v>261</v>
      </c>
      <c r="AT602" t="s">
        <v>86</v>
      </c>
      <c r="AU602" t="s">
        <v>86</v>
      </c>
      <c r="AV602" t="s">
        <v>2142</v>
      </c>
      <c r="AW602" t="s">
        <v>69</v>
      </c>
      <c r="AX602" t="s">
        <v>737</v>
      </c>
      <c r="AY602" t="s">
        <v>2143</v>
      </c>
      <c r="AZ602" t="s">
        <v>243</v>
      </c>
      <c r="BA602" t="s">
        <v>244</v>
      </c>
      <c r="BB602" t="s">
        <v>244</v>
      </c>
      <c r="BC602" t="s">
        <v>244</v>
      </c>
      <c r="BD602" t="s">
        <v>2149</v>
      </c>
      <c r="BE602" t="s">
        <v>2145</v>
      </c>
      <c r="BF602" t="s">
        <v>240</v>
      </c>
      <c r="BG602" t="s">
        <v>150</v>
      </c>
      <c r="BH602" t="str">
        <f>IF(COUNTIF(工作表1!A:A, $C602)&gt;0, "預購款", "非預購款")</f>
        <v>非預購款</v>
      </c>
    </row>
    <row r="603" spans="1:60" x14ac:dyDescent="0.25">
      <c r="A603" t="s">
        <v>2136</v>
      </c>
      <c r="B603" t="s">
        <v>678</v>
      </c>
      <c r="C603" t="s">
        <v>2137</v>
      </c>
      <c r="D603" t="s">
        <v>2138</v>
      </c>
      <c r="E603" t="s">
        <v>2139</v>
      </c>
      <c r="F603" t="s">
        <v>1631</v>
      </c>
      <c r="G603" t="s">
        <v>2140</v>
      </c>
      <c r="H603" t="s">
        <v>132</v>
      </c>
      <c r="I603" t="s">
        <v>288</v>
      </c>
      <c r="J603" t="s">
        <v>289</v>
      </c>
      <c r="K603" t="s">
        <v>69</v>
      </c>
      <c r="L603" t="s">
        <v>2141</v>
      </c>
      <c r="M603" t="s">
        <v>71</v>
      </c>
      <c r="N603" t="s">
        <v>100</v>
      </c>
      <c r="O603" t="s">
        <v>1900</v>
      </c>
      <c r="P603" t="s">
        <v>1901</v>
      </c>
      <c r="R603" t="s">
        <v>1902</v>
      </c>
      <c r="S603" t="s">
        <v>1893</v>
      </c>
      <c r="T603" t="s">
        <v>258</v>
      </c>
      <c r="U603" t="s">
        <v>104</v>
      </c>
      <c r="V603" t="s">
        <v>237</v>
      </c>
      <c r="W603">
        <v>590</v>
      </c>
      <c r="X603">
        <v>29.99</v>
      </c>
      <c r="Y603">
        <v>75</v>
      </c>
      <c r="Z603">
        <v>429000</v>
      </c>
      <c r="AA603">
        <v>575840</v>
      </c>
      <c r="AB603">
        <v>195</v>
      </c>
      <c r="AD603" t="s">
        <v>238</v>
      </c>
      <c r="AE603">
        <v>2</v>
      </c>
      <c r="AF603">
        <v>0</v>
      </c>
      <c r="AI603">
        <v>0</v>
      </c>
      <c r="AJ603">
        <v>80</v>
      </c>
      <c r="AK603">
        <v>80</v>
      </c>
      <c r="AL603">
        <v>976</v>
      </c>
      <c r="AM603">
        <v>88</v>
      </c>
      <c r="AN603">
        <v>0</v>
      </c>
      <c r="AO603">
        <v>88</v>
      </c>
      <c r="AP603" t="s">
        <v>80</v>
      </c>
      <c r="AQ603" t="s">
        <v>176</v>
      </c>
      <c r="AR603" t="s">
        <v>86</v>
      </c>
      <c r="AS603" t="s">
        <v>261</v>
      </c>
      <c r="AT603" t="s">
        <v>86</v>
      </c>
      <c r="AU603" t="s">
        <v>86</v>
      </c>
      <c r="AV603" t="s">
        <v>2142</v>
      </c>
      <c r="AW603" t="s">
        <v>69</v>
      </c>
      <c r="AX603" t="s">
        <v>737</v>
      </c>
      <c r="AY603" t="s">
        <v>2143</v>
      </c>
      <c r="AZ603" t="s">
        <v>243</v>
      </c>
      <c r="BA603" t="s">
        <v>244</v>
      </c>
      <c r="BB603" t="s">
        <v>244</v>
      </c>
      <c r="BC603" t="s">
        <v>244</v>
      </c>
      <c r="BD603" t="s">
        <v>2150</v>
      </c>
      <c r="BE603" t="s">
        <v>2145</v>
      </c>
      <c r="BF603" t="s">
        <v>240</v>
      </c>
      <c r="BG603" t="s">
        <v>150</v>
      </c>
      <c r="BH603" t="str">
        <f>IF(COUNTIF(工作表1!A:A, $C603)&gt;0, "預購款", "非預購款")</f>
        <v>非預購款</v>
      </c>
    </row>
    <row r="604" spans="1:60" x14ac:dyDescent="0.25">
      <c r="A604" t="s">
        <v>2151</v>
      </c>
      <c r="B604" t="s">
        <v>678</v>
      </c>
      <c r="C604" t="s">
        <v>2152</v>
      </c>
      <c r="D604" t="s">
        <v>2153</v>
      </c>
      <c r="E604" t="s">
        <v>2154</v>
      </c>
      <c r="F604" t="s">
        <v>1631</v>
      </c>
      <c r="G604" t="s">
        <v>2155</v>
      </c>
      <c r="H604" t="s">
        <v>273</v>
      </c>
      <c r="I604" t="s">
        <v>120</v>
      </c>
      <c r="J604" t="s">
        <v>121</v>
      </c>
      <c r="K604" t="s">
        <v>69</v>
      </c>
      <c r="L604" t="s">
        <v>2141</v>
      </c>
      <c r="M604" t="s">
        <v>71</v>
      </c>
      <c r="N604" t="s">
        <v>100</v>
      </c>
      <c r="O604" t="s">
        <v>1900</v>
      </c>
      <c r="P604" t="s">
        <v>1901</v>
      </c>
      <c r="R604" t="s">
        <v>1902</v>
      </c>
      <c r="S604" t="s">
        <v>1893</v>
      </c>
      <c r="T604" t="s">
        <v>274</v>
      </c>
      <c r="U604" t="s">
        <v>104</v>
      </c>
      <c r="V604" t="s">
        <v>292</v>
      </c>
      <c r="W604">
        <v>690</v>
      </c>
      <c r="X604">
        <v>29.99</v>
      </c>
      <c r="Y604">
        <v>89</v>
      </c>
      <c r="Z604">
        <v>499000</v>
      </c>
      <c r="AA604">
        <v>213900</v>
      </c>
      <c r="AB604">
        <v>242</v>
      </c>
      <c r="AD604" t="s">
        <v>238</v>
      </c>
      <c r="AE604">
        <v>1</v>
      </c>
      <c r="AF604">
        <v>0</v>
      </c>
      <c r="AI604">
        <v>0</v>
      </c>
      <c r="AJ604">
        <v>140</v>
      </c>
      <c r="AK604">
        <v>140</v>
      </c>
      <c r="AL604">
        <v>310</v>
      </c>
      <c r="AM604">
        <v>150</v>
      </c>
      <c r="AN604">
        <v>0</v>
      </c>
      <c r="AO604">
        <v>150</v>
      </c>
      <c r="AP604" t="s">
        <v>80</v>
      </c>
      <c r="AQ604" t="s">
        <v>176</v>
      </c>
      <c r="AT604" t="s">
        <v>86</v>
      </c>
      <c r="AU604" t="s">
        <v>86</v>
      </c>
      <c r="AV604" t="s">
        <v>2156</v>
      </c>
      <c r="AW604" t="s">
        <v>69</v>
      </c>
      <c r="AX604" t="s">
        <v>738</v>
      </c>
      <c r="AY604" t="s">
        <v>2157</v>
      </c>
      <c r="AZ604" t="s">
        <v>243</v>
      </c>
      <c r="BA604" t="s">
        <v>244</v>
      </c>
      <c r="BB604" t="s">
        <v>244</v>
      </c>
      <c r="BC604" t="s">
        <v>244</v>
      </c>
      <c r="BD604" t="s">
        <v>2158</v>
      </c>
      <c r="BE604" t="s">
        <v>2159</v>
      </c>
      <c r="BF604" t="s">
        <v>279</v>
      </c>
      <c r="BG604" t="s">
        <v>150</v>
      </c>
      <c r="BH604" t="str">
        <f>IF(COUNTIF(工作表1!A:A, $C604)&gt;0, "預購款", "非預購款")</f>
        <v>非預購款</v>
      </c>
    </row>
    <row r="605" spans="1:60" x14ac:dyDescent="0.25">
      <c r="A605" t="s">
        <v>2151</v>
      </c>
      <c r="B605" t="s">
        <v>678</v>
      </c>
      <c r="C605" t="s">
        <v>2152</v>
      </c>
      <c r="D605" t="s">
        <v>2153</v>
      </c>
      <c r="E605" t="s">
        <v>2154</v>
      </c>
      <c r="F605" t="s">
        <v>1631</v>
      </c>
      <c r="G605" t="s">
        <v>2155</v>
      </c>
      <c r="H605" t="s">
        <v>501</v>
      </c>
      <c r="I605" t="s">
        <v>120</v>
      </c>
      <c r="J605" t="s">
        <v>121</v>
      </c>
      <c r="K605" t="s">
        <v>69</v>
      </c>
      <c r="L605" t="s">
        <v>2141</v>
      </c>
      <c r="M605" t="s">
        <v>71</v>
      </c>
      <c r="N605" t="s">
        <v>100</v>
      </c>
      <c r="O605" t="s">
        <v>1900</v>
      </c>
      <c r="P605" t="s">
        <v>1901</v>
      </c>
      <c r="R605" t="s">
        <v>1902</v>
      </c>
      <c r="S605" t="s">
        <v>1893</v>
      </c>
      <c r="T605" t="s">
        <v>274</v>
      </c>
      <c r="U605" t="s">
        <v>104</v>
      </c>
      <c r="V605" t="s">
        <v>292</v>
      </c>
      <c r="W605">
        <v>690</v>
      </c>
      <c r="X605">
        <v>29.99</v>
      </c>
      <c r="Y605">
        <v>89</v>
      </c>
      <c r="Z605">
        <v>499000</v>
      </c>
      <c r="AA605">
        <v>213900</v>
      </c>
      <c r="AB605">
        <v>242</v>
      </c>
      <c r="AD605" t="s">
        <v>238</v>
      </c>
      <c r="AE605">
        <v>1</v>
      </c>
      <c r="AF605">
        <v>0</v>
      </c>
      <c r="AI605">
        <v>0</v>
      </c>
      <c r="AJ605">
        <v>80</v>
      </c>
      <c r="AK605">
        <v>80</v>
      </c>
      <c r="AL605">
        <v>310</v>
      </c>
      <c r="AM605">
        <v>88</v>
      </c>
      <c r="AN605">
        <v>0</v>
      </c>
      <c r="AO605">
        <v>88</v>
      </c>
      <c r="AP605" t="s">
        <v>80</v>
      </c>
      <c r="AQ605" t="s">
        <v>176</v>
      </c>
      <c r="AT605" t="s">
        <v>86</v>
      </c>
      <c r="AU605" t="s">
        <v>86</v>
      </c>
      <c r="AV605" t="s">
        <v>2156</v>
      </c>
      <c r="AW605" t="s">
        <v>69</v>
      </c>
      <c r="AX605" t="s">
        <v>738</v>
      </c>
      <c r="AY605" t="s">
        <v>2157</v>
      </c>
      <c r="AZ605" t="s">
        <v>243</v>
      </c>
      <c r="BA605" t="s">
        <v>244</v>
      </c>
      <c r="BB605" t="s">
        <v>244</v>
      </c>
      <c r="BC605" t="s">
        <v>244</v>
      </c>
      <c r="BD605" t="s">
        <v>2160</v>
      </c>
      <c r="BE605" t="s">
        <v>2159</v>
      </c>
      <c r="BF605" t="s">
        <v>279</v>
      </c>
      <c r="BG605" t="s">
        <v>150</v>
      </c>
      <c r="BH605" t="str">
        <f>IF(COUNTIF(工作表1!A:A, $C605)&gt;0, "預購款", "非預購款")</f>
        <v>非預購款</v>
      </c>
    </row>
    <row r="606" spans="1:60" x14ac:dyDescent="0.25">
      <c r="A606" t="s">
        <v>2151</v>
      </c>
      <c r="B606" t="s">
        <v>678</v>
      </c>
      <c r="C606" t="s">
        <v>2152</v>
      </c>
      <c r="D606" t="s">
        <v>2153</v>
      </c>
      <c r="E606" t="s">
        <v>2154</v>
      </c>
      <c r="F606" t="s">
        <v>1631</v>
      </c>
      <c r="G606" t="s">
        <v>2155</v>
      </c>
      <c r="H606" t="s">
        <v>280</v>
      </c>
      <c r="I606" t="s">
        <v>120</v>
      </c>
      <c r="J606" t="s">
        <v>121</v>
      </c>
      <c r="K606" t="s">
        <v>69</v>
      </c>
      <c r="L606" t="s">
        <v>2141</v>
      </c>
      <c r="M606" t="s">
        <v>71</v>
      </c>
      <c r="N606" t="s">
        <v>100</v>
      </c>
      <c r="O606" t="s">
        <v>1900</v>
      </c>
      <c r="P606" t="s">
        <v>1901</v>
      </c>
      <c r="R606" t="s">
        <v>1902</v>
      </c>
      <c r="S606" t="s">
        <v>1893</v>
      </c>
      <c r="T606" t="s">
        <v>274</v>
      </c>
      <c r="U606" t="s">
        <v>104</v>
      </c>
      <c r="V606" t="s">
        <v>292</v>
      </c>
      <c r="W606">
        <v>690</v>
      </c>
      <c r="X606">
        <v>29.99</v>
      </c>
      <c r="Y606">
        <v>89</v>
      </c>
      <c r="Z606">
        <v>499000</v>
      </c>
      <c r="AA606">
        <v>213900</v>
      </c>
      <c r="AB606">
        <v>242</v>
      </c>
      <c r="AD606" t="s">
        <v>238</v>
      </c>
      <c r="AE606">
        <v>1</v>
      </c>
      <c r="AF606">
        <v>0</v>
      </c>
      <c r="AI606">
        <v>0</v>
      </c>
      <c r="AJ606">
        <v>90</v>
      </c>
      <c r="AK606">
        <v>90</v>
      </c>
      <c r="AL606">
        <v>310</v>
      </c>
      <c r="AM606">
        <v>98</v>
      </c>
      <c r="AN606">
        <v>0</v>
      </c>
      <c r="AO606">
        <v>98</v>
      </c>
      <c r="AP606" t="s">
        <v>80</v>
      </c>
      <c r="AQ606" t="s">
        <v>176</v>
      </c>
      <c r="AT606" t="s">
        <v>86</v>
      </c>
      <c r="AU606" t="s">
        <v>86</v>
      </c>
      <c r="AV606" t="s">
        <v>2156</v>
      </c>
      <c r="AW606" t="s">
        <v>69</v>
      </c>
      <c r="AX606" t="s">
        <v>738</v>
      </c>
      <c r="AY606" t="s">
        <v>2157</v>
      </c>
      <c r="AZ606" t="s">
        <v>243</v>
      </c>
      <c r="BA606" t="s">
        <v>244</v>
      </c>
      <c r="BB606" t="s">
        <v>244</v>
      </c>
      <c r="BC606" t="s">
        <v>244</v>
      </c>
      <c r="BD606" t="s">
        <v>2161</v>
      </c>
      <c r="BE606" t="s">
        <v>2159</v>
      </c>
      <c r="BF606" t="s">
        <v>279</v>
      </c>
      <c r="BG606" t="s">
        <v>150</v>
      </c>
      <c r="BH606" t="str">
        <f>IF(COUNTIF(工作表1!A:A, $C606)&gt;0, "預購款", "非預購款")</f>
        <v>非預購款</v>
      </c>
    </row>
    <row r="607" spans="1:60" x14ac:dyDescent="0.25">
      <c r="A607" t="s">
        <v>1864</v>
      </c>
      <c r="B607" t="s">
        <v>678</v>
      </c>
      <c r="C607" t="s">
        <v>1865</v>
      </c>
      <c r="D607" t="s">
        <v>1866</v>
      </c>
      <c r="E607" t="s">
        <v>1867</v>
      </c>
      <c r="F607" t="s">
        <v>1631</v>
      </c>
      <c r="G607" t="s">
        <v>1868</v>
      </c>
      <c r="H607" t="s">
        <v>119</v>
      </c>
      <c r="I607" t="s">
        <v>67</v>
      </c>
      <c r="J607" t="s">
        <v>68</v>
      </c>
      <c r="K607" t="s">
        <v>69</v>
      </c>
      <c r="L607" t="s">
        <v>1869</v>
      </c>
      <c r="M607" t="s">
        <v>71</v>
      </c>
      <c r="N607" t="s">
        <v>100</v>
      </c>
      <c r="O607" t="s">
        <v>1648</v>
      </c>
      <c r="P607" t="s">
        <v>1649</v>
      </c>
      <c r="R607" t="s">
        <v>1650</v>
      </c>
      <c r="S607" t="s">
        <v>1893</v>
      </c>
      <c r="T607" t="s">
        <v>258</v>
      </c>
      <c r="U607" t="s">
        <v>502</v>
      </c>
      <c r="V607" t="s">
        <v>765</v>
      </c>
      <c r="W607">
        <v>1080</v>
      </c>
      <c r="X607">
        <v>44.99</v>
      </c>
      <c r="Y607">
        <v>139</v>
      </c>
      <c r="Z607">
        <v>779000</v>
      </c>
      <c r="AA607">
        <v>151200</v>
      </c>
      <c r="AB607">
        <v>650</v>
      </c>
      <c r="AD607" t="s">
        <v>238</v>
      </c>
      <c r="AE607">
        <v>1</v>
      </c>
      <c r="AF607">
        <v>0</v>
      </c>
      <c r="AI607">
        <v>0</v>
      </c>
      <c r="AJ607">
        <v>90</v>
      </c>
      <c r="AK607">
        <v>90</v>
      </c>
      <c r="AL607">
        <v>140</v>
      </c>
      <c r="AM607">
        <v>86</v>
      </c>
      <c r="AN607">
        <v>0</v>
      </c>
      <c r="AO607">
        <v>86</v>
      </c>
      <c r="AP607" t="s">
        <v>80</v>
      </c>
      <c r="AQ607" t="s">
        <v>187</v>
      </c>
      <c r="AR607" t="s">
        <v>86</v>
      </c>
      <c r="AS607" t="s">
        <v>240</v>
      </c>
      <c r="AT607" t="s">
        <v>86</v>
      </c>
      <c r="AU607" t="s">
        <v>86</v>
      </c>
      <c r="AV607" t="s">
        <v>1870</v>
      </c>
      <c r="AW607" t="s">
        <v>80</v>
      </c>
      <c r="AX607" t="s">
        <v>737</v>
      </c>
      <c r="AY607" t="s">
        <v>1871</v>
      </c>
      <c r="AZ607" t="s">
        <v>243</v>
      </c>
      <c r="BA607" t="s">
        <v>245</v>
      </c>
      <c r="BB607" t="s">
        <v>244</v>
      </c>
      <c r="BC607" t="s">
        <v>264</v>
      </c>
      <c r="BD607" t="s">
        <v>1872</v>
      </c>
      <c r="BE607" t="s">
        <v>2162</v>
      </c>
      <c r="BF607" t="s">
        <v>240</v>
      </c>
      <c r="BG607" t="s">
        <v>150</v>
      </c>
      <c r="BH607" t="str">
        <f>IF(COUNTIF(工作表1!A:A, $C607)&gt;0, "預購款", "非預購款")</f>
        <v>非預購款</v>
      </c>
    </row>
    <row r="608" spans="1:60" x14ac:dyDescent="0.25">
      <c r="A608" t="s">
        <v>1864</v>
      </c>
      <c r="B608" t="s">
        <v>678</v>
      </c>
      <c r="C608" t="s">
        <v>1865</v>
      </c>
      <c r="D608" t="s">
        <v>1866</v>
      </c>
      <c r="E608" t="s">
        <v>1867</v>
      </c>
      <c r="F608" t="s">
        <v>1631</v>
      </c>
      <c r="G608" t="s">
        <v>1868</v>
      </c>
      <c r="H608" t="s">
        <v>130</v>
      </c>
      <c r="I608" t="s">
        <v>67</v>
      </c>
      <c r="J608" t="s">
        <v>68</v>
      </c>
      <c r="K608" t="s">
        <v>69</v>
      </c>
      <c r="L608" t="s">
        <v>1869</v>
      </c>
      <c r="M608" t="s">
        <v>71</v>
      </c>
      <c r="N608" t="s">
        <v>100</v>
      </c>
      <c r="O608" t="s">
        <v>1648</v>
      </c>
      <c r="P608" t="s">
        <v>1649</v>
      </c>
      <c r="R608" t="s">
        <v>1650</v>
      </c>
      <c r="S608" t="s">
        <v>1893</v>
      </c>
      <c r="T608" t="s">
        <v>258</v>
      </c>
      <c r="U608" t="s">
        <v>502</v>
      </c>
      <c r="V608" t="s">
        <v>765</v>
      </c>
      <c r="W608">
        <v>1080</v>
      </c>
      <c r="X608">
        <v>44.99</v>
      </c>
      <c r="Y608">
        <v>139</v>
      </c>
      <c r="Z608">
        <v>779000</v>
      </c>
      <c r="AA608">
        <v>151200</v>
      </c>
      <c r="AB608">
        <v>650</v>
      </c>
      <c r="AD608" t="s">
        <v>238</v>
      </c>
      <c r="AE608">
        <v>1</v>
      </c>
      <c r="AF608">
        <v>0</v>
      </c>
      <c r="AI608">
        <v>0</v>
      </c>
      <c r="AJ608">
        <v>30</v>
      </c>
      <c r="AK608">
        <v>30</v>
      </c>
      <c r="AL608">
        <v>140</v>
      </c>
      <c r="AM608">
        <v>31</v>
      </c>
      <c r="AN608">
        <v>0</v>
      </c>
      <c r="AO608">
        <v>31</v>
      </c>
      <c r="AP608" t="s">
        <v>80</v>
      </c>
      <c r="AQ608" t="s">
        <v>187</v>
      </c>
      <c r="AR608" t="s">
        <v>86</v>
      </c>
      <c r="AS608" t="s">
        <v>240</v>
      </c>
      <c r="AT608" t="s">
        <v>86</v>
      </c>
      <c r="AU608" t="s">
        <v>86</v>
      </c>
      <c r="AV608" t="s">
        <v>1870</v>
      </c>
      <c r="AW608" t="s">
        <v>80</v>
      </c>
      <c r="AX608" t="s">
        <v>737</v>
      </c>
      <c r="AY608" t="s">
        <v>1871</v>
      </c>
      <c r="AZ608" t="s">
        <v>243</v>
      </c>
      <c r="BA608" t="s">
        <v>245</v>
      </c>
      <c r="BB608" t="s">
        <v>244</v>
      </c>
      <c r="BC608" t="s">
        <v>264</v>
      </c>
      <c r="BD608" t="s">
        <v>1873</v>
      </c>
      <c r="BE608" t="s">
        <v>2162</v>
      </c>
      <c r="BF608" t="s">
        <v>240</v>
      </c>
      <c r="BG608" t="s">
        <v>150</v>
      </c>
      <c r="BH608" t="str">
        <f>IF(COUNTIF(工作表1!A:A, $C608)&gt;0, "預購款", "非預購款")</f>
        <v>非預購款</v>
      </c>
    </row>
    <row r="609" spans="1:60" x14ac:dyDescent="0.25">
      <c r="A609" t="s">
        <v>1864</v>
      </c>
      <c r="B609" t="s">
        <v>678</v>
      </c>
      <c r="C609" t="s">
        <v>1865</v>
      </c>
      <c r="D609" t="s">
        <v>1866</v>
      </c>
      <c r="E609" t="s">
        <v>1867</v>
      </c>
      <c r="F609" t="s">
        <v>1631</v>
      </c>
      <c r="G609" t="s">
        <v>1868</v>
      </c>
      <c r="H609" t="s">
        <v>132</v>
      </c>
      <c r="I609" t="s">
        <v>67</v>
      </c>
      <c r="J609" t="s">
        <v>68</v>
      </c>
      <c r="K609" t="s">
        <v>69</v>
      </c>
      <c r="L609" t="s">
        <v>1869</v>
      </c>
      <c r="M609" t="s">
        <v>71</v>
      </c>
      <c r="N609" t="s">
        <v>100</v>
      </c>
      <c r="O609" t="s">
        <v>1648</v>
      </c>
      <c r="P609" t="s">
        <v>1649</v>
      </c>
      <c r="R609" t="s">
        <v>1650</v>
      </c>
      <c r="S609" t="s">
        <v>1893</v>
      </c>
      <c r="T609" t="s">
        <v>258</v>
      </c>
      <c r="U609" t="s">
        <v>502</v>
      </c>
      <c r="V609" t="s">
        <v>765</v>
      </c>
      <c r="W609">
        <v>1080</v>
      </c>
      <c r="X609">
        <v>44.99</v>
      </c>
      <c r="Y609">
        <v>139</v>
      </c>
      <c r="Z609">
        <v>779000</v>
      </c>
      <c r="AA609">
        <v>151200</v>
      </c>
      <c r="AB609">
        <v>650</v>
      </c>
      <c r="AD609" t="s">
        <v>238</v>
      </c>
      <c r="AE609">
        <v>1</v>
      </c>
      <c r="AF609">
        <v>0</v>
      </c>
      <c r="AI609">
        <v>0</v>
      </c>
      <c r="AJ609">
        <v>20</v>
      </c>
      <c r="AK609">
        <v>20</v>
      </c>
      <c r="AL609">
        <v>140</v>
      </c>
      <c r="AM609">
        <v>22</v>
      </c>
      <c r="AN609">
        <v>0</v>
      </c>
      <c r="AO609">
        <v>22</v>
      </c>
      <c r="AP609" t="s">
        <v>80</v>
      </c>
      <c r="AQ609" t="s">
        <v>187</v>
      </c>
      <c r="AR609" t="s">
        <v>86</v>
      </c>
      <c r="AS609" t="s">
        <v>240</v>
      </c>
      <c r="AT609" t="s">
        <v>86</v>
      </c>
      <c r="AU609" t="s">
        <v>86</v>
      </c>
      <c r="AV609" t="s">
        <v>1870</v>
      </c>
      <c r="AW609" t="s">
        <v>80</v>
      </c>
      <c r="AX609" t="s">
        <v>737</v>
      </c>
      <c r="AY609" t="s">
        <v>1871</v>
      </c>
      <c r="AZ609" t="s">
        <v>243</v>
      </c>
      <c r="BA609" t="s">
        <v>245</v>
      </c>
      <c r="BB609" t="s">
        <v>244</v>
      </c>
      <c r="BC609" t="s">
        <v>264</v>
      </c>
      <c r="BD609" t="s">
        <v>1874</v>
      </c>
      <c r="BE609" t="s">
        <v>2162</v>
      </c>
      <c r="BF609" t="s">
        <v>240</v>
      </c>
      <c r="BG609" t="s">
        <v>150</v>
      </c>
      <c r="BH609" t="str">
        <f>IF(COUNTIF(工作表1!A:A, $C609)&gt;0, "預購款", "非預購款")</f>
        <v>非預購款</v>
      </c>
    </row>
    <row r="610" spans="1:60" x14ac:dyDescent="0.25">
      <c r="A610" t="s">
        <v>2163</v>
      </c>
      <c r="B610" t="s">
        <v>678</v>
      </c>
      <c r="C610" t="s">
        <v>2164</v>
      </c>
      <c r="D610" t="s">
        <v>2165</v>
      </c>
      <c r="E610" t="s">
        <v>2166</v>
      </c>
      <c r="F610" t="s">
        <v>1631</v>
      </c>
      <c r="G610" t="s">
        <v>2167</v>
      </c>
      <c r="H610" t="s">
        <v>119</v>
      </c>
      <c r="I610" t="s">
        <v>97</v>
      </c>
      <c r="J610" t="s">
        <v>98</v>
      </c>
      <c r="K610" t="s">
        <v>69</v>
      </c>
      <c r="L610" t="s">
        <v>2168</v>
      </c>
      <c r="M610" t="s">
        <v>71</v>
      </c>
      <c r="N610" t="s">
        <v>100</v>
      </c>
      <c r="O610" t="s">
        <v>1900</v>
      </c>
      <c r="P610" t="s">
        <v>1901</v>
      </c>
      <c r="R610" t="s">
        <v>1902</v>
      </c>
      <c r="S610" t="s">
        <v>1893</v>
      </c>
      <c r="T610" t="s">
        <v>258</v>
      </c>
      <c r="U610" t="s">
        <v>684</v>
      </c>
      <c r="V610" t="s">
        <v>1799</v>
      </c>
      <c r="W610">
        <v>690</v>
      </c>
      <c r="X610">
        <v>29.99</v>
      </c>
      <c r="Y610">
        <v>89</v>
      </c>
      <c r="Z610">
        <v>499000</v>
      </c>
      <c r="AA610">
        <v>247020</v>
      </c>
      <c r="AB610">
        <v>140</v>
      </c>
      <c r="AD610" t="s">
        <v>238</v>
      </c>
      <c r="AE610">
        <v>1</v>
      </c>
      <c r="AF610">
        <v>10</v>
      </c>
      <c r="AI610">
        <v>0</v>
      </c>
      <c r="AJ610">
        <v>130</v>
      </c>
      <c r="AK610">
        <v>140</v>
      </c>
      <c r="AL610">
        <v>358</v>
      </c>
      <c r="AM610">
        <v>150</v>
      </c>
      <c r="AN610">
        <v>0</v>
      </c>
      <c r="AO610">
        <v>150</v>
      </c>
      <c r="AP610" t="s">
        <v>80</v>
      </c>
      <c r="AQ610" t="s">
        <v>176</v>
      </c>
      <c r="AR610" t="s">
        <v>86</v>
      </c>
      <c r="AS610" t="s">
        <v>261</v>
      </c>
      <c r="AT610" t="s">
        <v>240</v>
      </c>
      <c r="AU610" t="s">
        <v>86</v>
      </c>
      <c r="AV610" t="s">
        <v>81</v>
      </c>
      <c r="AW610" t="s">
        <v>69</v>
      </c>
      <c r="AX610" t="s">
        <v>262</v>
      </c>
      <c r="AY610" t="s">
        <v>2169</v>
      </c>
      <c r="AZ610" t="s">
        <v>264</v>
      </c>
      <c r="BA610" t="s">
        <v>244</v>
      </c>
      <c r="BB610" t="s">
        <v>244</v>
      </c>
      <c r="BC610" t="s">
        <v>245</v>
      </c>
      <c r="BD610" t="s">
        <v>2170</v>
      </c>
      <c r="BE610" t="s">
        <v>2171</v>
      </c>
      <c r="BF610" t="s">
        <v>240</v>
      </c>
      <c r="BG610" t="s">
        <v>110</v>
      </c>
      <c r="BH610" t="str">
        <f>IF(COUNTIF(工作表1!A:A, $C610)&gt;0, "預購款", "非預購款")</f>
        <v>非預購款</v>
      </c>
    </row>
    <row r="611" spans="1:60" x14ac:dyDescent="0.25">
      <c r="A611" t="s">
        <v>2163</v>
      </c>
      <c r="B611" t="s">
        <v>678</v>
      </c>
      <c r="C611" t="s">
        <v>2164</v>
      </c>
      <c r="D611" t="s">
        <v>2165</v>
      </c>
      <c r="E611" t="s">
        <v>2166</v>
      </c>
      <c r="F611" t="s">
        <v>1631</v>
      </c>
      <c r="G611" t="s">
        <v>2167</v>
      </c>
      <c r="H611" t="s">
        <v>130</v>
      </c>
      <c r="I611" t="s">
        <v>97</v>
      </c>
      <c r="J611" t="s">
        <v>98</v>
      </c>
      <c r="K611" t="s">
        <v>69</v>
      </c>
      <c r="L611" t="s">
        <v>2168</v>
      </c>
      <c r="M611" t="s">
        <v>71</v>
      </c>
      <c r="N611" t="s">
        <v>100</v>
      </c>
      <c r="O611" t="s">
        <v>1900</v>
      </c>
      <c r="P611" t="s">
        <v>1901</v>
      </c>
      <c r="R611" t="s">
        <v>1902</v>
      </c>
      <c r="S611" t="s">
        <v>1893</v>
      </c>
      <c r="T611" t="s">
        <v>258</v>
      </c>
      <c r="U611" t="s">
        <v>684</v>
      </c>
      <c r="V611" t="s">
        <v>1799</v>
      </c>
      <c r="W611">
        <v>690</v>
      </c>
      <c r="X611">
        <v>29.99</v>
      </c>
      <c r="Y611">
        <v>89</v>
      </c>
      <c r="Z611">
        <v>499000</v>
      </c>
      <c r="AA611">
        <v>247020</v>
      </c>
      <c r="AB611">
        <v>140</v>
      </c>
      <c r="AD611" t="s">
        <v>238</v>
      </c>
      <c r="AE611">
        <v>1</v>
      </c>
      <c r="AF611">
        <v>8</v>
      </c>
      <c r="AI611">
        <v>0</v>
      </c>
      <c r="AJ611">
        <v>150</v>
      </c>
      <c r="AK611">
        <v>158</v>
      </c>
      <c r="AL611">
        <v>358</v>
      </c>
      <c r="AM611">
        <v>170</v>
      </c>
      <c r="AN611">
        <v>0</v>
      </c>
      <c r="AO611">
        <v>170</v>
      </c>
      <c r="AP611" t="s">
        <v>80</v>
      </c>
      <c r="AQ611" t="s">
        <v>176</v>
      </c>
      <c r="AR611" t="s">
        <v>86</v>
      </c>
      <c r="AS611" t="s">
        <v>261</v>
      </c>
      <c r="AT611" t="s">
        <v>240</v>
      </c>
      <c r="AU611" t="s">
        <v>86</v>
      </c>
      <c r="AV611" t="s">
        <v>81</v>
      </c>
      <c r="AW611" t="s">
        <v>69</v>
      </c>
      <c r="AX611" t="s">
        <v>262</v>
      </c>
      <c r="AY611" t="s">
        <v>2169</v>
      </c>
      <c r="AZ611" t="s">
        <v>264</v>
      </c>
      <c r="BA611" t="s">
        <v>244</v>
      </c>
      <c r="BB611" t="s">
        <v>244</v>
      </c>
      <c r="BC611" t="s">
        <v>245</v>
      </c>
      <c r="BD611" t="s">
        <v>2172</v>
      </c>
      <c r="BE611" t="s">
        <v>2171</v>
      </c>
      <c r="BF611" t="s">
        <v>240</v>
      </c>
      <c r="BG611" t="s">
        <v>110</v>
      </c>
      <c r="BH611" t="str">
        <f>IF(COUNTIF(工作表1!A:A, $C611)&gt;0, "預購款", "非預購款")</f>
        <v>非預購款</v>
      </c>
    </row>
    <row r="612" spans="1:60" x14ac:dyDescent="0.25">
      <c r="A612" t="s">
        <v>2163</v>
      </c>
      <c r="B612" t="s">
        <v>678</v>
      </c>
      <c r="C612" t="s">
        <v>2164</v>
      </c>
      <c r="D612" t="s">
        <v>2165</v>
      </c>
      <c r="E612" t="s">
        <v>2166</v>
      </c>
      <c r="F612" t="s">
        <v>1631</v>
      </c>
      <c r="G612" t="s">
        <v>2167</v>
      </c>
      <c r="H612" t="s">
        <v>132</v>
      </c>
      <c r="I612" t="s">
        <v>97</v>
      </c>
      <c r="J612" t="s">
        <v>98</v>
      </c>
      <c r="K612" t="s">
        <v>69</v>
      </c>
      <c r="L612" t="s">
        <v>2168</v>
      </c>
      <c r="M612" t="s">
        <v>71</v>
      </c>
      <c r="N612" t="s">
        <v>100</v>
      </c>
      <c r="O612" t="s">
        <v>1900</v>
      </c>
      <c r="P612" t="s">
        <v>1901</v>
      </c>
      <c r="R612" t="s">
        <v>1902</v>
      </c>
      <c r="S612" t="s">
        <v>1893</v>
      </c>
      <c r="T612" t="s">
        <v>258</v>
      </c>
      <c r="U612" t="s">
        <v>684</v>
      </c>
      <c r="V612" t="s">
        <v>1799</v>
      </c>
      <c r="W612">
        <v>690</v>
      </c>
      <c r="X612">
        <v>29.99</v>
      </c>
      <c r="Y612">
        <v>89</v>
      </c>
      <c r="Z612">
        <v>499000</v>
      </c>
      <c r="AA612">
        <v>247020</v>
      </c>
      <c r="AB612">
        <v>140</v>
      </c>
      <c r="AD612" t="s">
        <v>238</v>
      </c>
      <c r="AE612">
        <v>1</v>
      </c>
      <c r="AF612">
        <v>0</v>
      </c>
      <c r="AI612">
        <v>0</v>
      </c>
      <c r="AJ612">
        <v>60</v>
      </c>
      <c r="AK612">
        <v>60</v>
      </c>
      <c r="AL612">
        <v>358</v>
      </c>
      <c r="AM612">
        <v>66</v>
      </c>
      <c r="AN612">
        <v>0</v>
      </c>
      <c r="AO612">
        <v>66</v>
      </c>
      <c r="AP612" t="s">
        <v>80</v>
      </c>
      <c r="AQ612" t="s">
        <v>176</v>
      </c>
      <c r="AR612" t="s">
        <v>86</v>
      </c>
      <c r="AS612" t="s">
        <v>261</v>
      </c>
      <c r="AT612" t="s">
        <v>240</v>
      </c>
      <c r="AU612" t="s">
        <v>86</v>
      </c>
      <c r="AV612" t="s">
        <v>81</v>
      </c>
      <c r="AW612" t="s">
        <v>69</v>
      </c>
      <c r="AX612" t="s">
        <v>262</v>
      </c>
      <c r="AY612" t="s">
        <v>2169</v>
      </c>
      <c r="AZ612" t="s">
        <v>264</v>
      </c>
      <c r="BA612" t="s">
        <v>244</v>
      </c>
      <c r="BB612" t="s">
        <v>244</v>
      </c>
      <c r="BC612" t="s">
        <v>245</v>
      </c>
      <c r="BD612" t="s">
        <v>2173</v>
      </c>
      <c r="BE612" t="s">
        <v>2171</v>
      </c>
      <c r="BF612" t="s">
        <v>240</v>
      </c>
      <c r="BG612" t="s">
        <v>110</v>
      </c>
      <c r="BH612" t="str">
        <f>IF(COUNTIF(工作表1!A:A, $C612)&gt;0, "預購款", "非預購款")</f>
        <v>非預購款</v>
      </c>
    </row>
    <row r="613" spans="1:60" x14ac:dyDescent="0.25">
      <c r="A613" t="s">
        <v>2175</v>
      </c>
      <c r="B613" t="s">
        <v>2174</v>
      </c>
      <c r="C613" t="s">
        <v>2176</v>
      </c>
      <c r="D613" t="s">
        <v>2177</v>
      </c>
      <c r="E613" t="s">
        <v>2178</v>
      </c>
      <c r="F613" t="s">
        <v>1631</v>
      </c>
      <c r="G613" t="s">
        <v>2179</v>
      </c>
      <c r="H613" t="s">
        <v>119</v>
      </c>
      <c r="I613" t="s">
        <v>97</v>
      </c>
      <c r="J613" t="s">
        <v>98</v>
      </c>
      <c r="K613" t="s">
        <v>69</v>
      </c>
      <c r="L613" t="s">
        <v>2180</v>
      </c>
      <c r="M613" t="s">
        <v>71</v>
      </c>
      <c r="N613" t="s">
        <v>100</v>
      </c>
      <c r="O613" t="s">
        <v>1900</v>
      </c>
      <c r="P613" t="s">
        <v>1901</v>
      </c>
      <c r="R613" t="s">
        <v>1902</v>
      </c>
      <c r="S613" t="s">
        <v>1893</v>
      </c>
      <c r="T613" t="s">
        <v>76</v>
      </c>
      <c r="U613" t="s">
        <v>150</v>
      </c>
      <c r="V613" t="s">
        <v>1634</v>
      </c>
      <c r="W613">
        <v>590</v>
      </c>
      <c r="X613">
        <v>29.99</v>
      </c>
      <c r="Y613">
        <v>75</v>
      </c>
      <c r="Z613">
        <v>429000</v>
      </c>
      <c r="AA613">
        <v>1003000</v>
      </c>
      <c r="AB613">
        <v>148</v>
      </c>
      <c r="AD613" t="s">
        <v>238</v>
      </c>
      <c r="AE613">
        <v>2</v>
      </c>
      <c r="AF613">
        <v>15</v>
      </c>
      <c r="AI613">
        <v>40</v>
      </c>
      <c r="AJ613">
        <v>300</v>
      </c>
      <c r="AK613">
        <v>355</v>
      </c>
      <c r="AL613">
        <v>1700</v>
      </c>
      <c r="AM613">
        <v>370</v>
      </c>
      <c r="AN613">
        <v>0</v>
      </c>
      <c r="AO613">
        <v>370</v>
      </c>
      <c r="AP613" t="s">
        <v>80</v>
      </c>
      <c r="AQ613" t="s">
        <v>176</v>
      </c>
      <c r="AR613" t="s">
        <v>86</v>
      </c>
      <c r="AS613" t="s">
        <v>86</v>
      </c>
      <c r="AT613" t="s">
        <v>240</v>
      </c>
      <c r="AU613" t="s">
        <v>86</v>
      </c>
      <c r="AV613" t="s">
        <v>81</v>
      </c>
      <c r="AW613" t="s">
        <v>69</v>
      </c>
      <c r="AX613" t="s">
        <v>126</v>
      </c>
      <c r="AY613" t="s">
        <v>2181</v>
      </c>
      <c r="AZ613" t="s">
        <v>243</v>
      </c>
      <c r="BA613" t="s">
        <v>264</v>
      </c>
      <c r="BB613" t="s">
        <v>244</v>
      </c>
      <c r="BC613" t="s">
        <v>243</v>
      </c>
      <c r="BD613" t="s">
        <v>2182</v>
      </c>
      <c r="BE613" t="s">
        <v>2183</v>
      </c>
      <c r="BF613" t="s">
        <v>86</v>
      </c>
      <c r="BG613" t="s">
        <v>87</v>
      </c>
      <c r="BH613" t="str">
        <f>IF(COUNTIF(工作表1!A:A, $C613)&gt;0, "預購款", "非預購款")</f>
        <v>非預購款</v>
      </c>
    </row>
    <row r="614" spans="1:60" x14ac:dyDescent="0.25">
      <c r="A614" t="s">
        <v>2175</v>
      </c>
      <c r="B614" t="s">
        <v>2174</v>
      </c>
      <c r="C614" t="s">
        <v>2176</v>
      </c>
      <c r="D614" t="s">
        <v>2177</v>
      </c>
      <c r="E614" t="s">
        <v>2178</v>
      </c>
      <c r="F614" t="s">
        <v>1631</v>
      </c>
      <c r="G614" t="s">
        <v>2179</v>
      </c>
      <c r="H614" t="s">
        <v>130</v>
      </c>
      <c r="I614" t="s">
        <v>97</v>
      </c>
      <c r="J614" t="s">
        <v>98</v>
      </c>
      <c r="K614" t="s">
        <v>69</v>
      </c>
      <c r="L614" t="s">
        <v>2180</v>
      </c>
      <c r="M614" t="s">
        <v>71</v>
      </c>
      <c r="N614" t="s">
        <v>100</v>
      </c>
      <c r="O614" t="s">
        <v>1900</v>
      </c>
      <c r="P614" t="s">
        <v>1901</v>
      </c>
      <c r="R614" t="s">
        <v>1902</v>
      </c>
      <c r="S614" t="s">
        <v>1893</v>
      </c>
      <c r="T614" t="s">
        <v>76</v>
      </c>
      <c r="U614" t="s">
        <v>150</v>
      </c>
      <c r="V614" t="s">
        <v>1634</v>
      </c>
      <c r="W614">
        <v>590</v>
      </c>
      <c r="X614">
        <v>29.99</v>
      </c>
      <c r="Y614">
        <v>75</v>
      </c>
      <c r="Z614">
        <v>429000</v>
      </c>
      <c r="AA614">
        <v>1003000</v>
      </c>
      <c r="AB614">
        <v>148</v>
      </c>
      <c r="AD614" t="s">
        <v>238</v>
      </c>
      <c r="AE614">
        <v>2</v>
      </c>
      <c r="AF614">
        <v>10</v>
      </c>
      <c r="AI614">
        <v>50</v>
      </c>
      <c r="AJ614">
        <v>270</v>
      </c>
      <c r="AK614">
        <v>330</v>
      </c>
      <c r="AL614">
        <v>1700</v>
      </c>
      <c r="AM614">
        <v>340</v>
      </c>
      <c r="AN614">
        <v>0</v>
      </c>
      <c r="AO614">
        <v>340</v>
      </c>
      <c r="AP614" t="s">
        <v>80</v>
      </c>
      <c r="AQ614" t="s">
        <v>176</v>
      </c>
      <c r="AR614" t="s">
        <v>86</v>
      </c>
      <c r="AS614" t="s">
        <v>86</v>
      </c>
      <c r="AT614" t="s">
        <v>240</v>
      </c>
      <c r="AU614" t="s">
        <v>86</v>
      </c>
      <c r="AV614" t="s">
        <v>81</v>
      </c>
      <c r="AW614" t="s">
        <v>69</v>
      </c>
      <c r="AX614" t="s">
        <v>126</v>
      </c>
      <c r="AY614" t="s">
        <v>2181</v>
      </c>
      <c r="AZ614" t="s">
        <v>243</v>
      </c>
      <c r="BA614" t="s">
        <v>264</v>
      </c>
      <c r="BB614" t="s">
        <v>244</v>
      </c>
      <c r="BC614" t="s">
        <v>243</v>
      </c>
      <c r="BD614" t="s">
        <v>2184</v>
      </c>
      <c r="BE614" t="s">
        <v>2183</v>
      </c>
      <c r="BF614" t="s">
        <v>86</v>
      </c>
      <c r="BG614" t="s">
        <v>87</v>
      </c>
      <c r="BH614" t="str">
        <f>IF(COUNTIF(工作表1!A:A, $C614)&gt;0, "預購款", "非預購款")</f>
        <v>非預購款</v>
      </c>
    </row>
    <row r="615" spans="1:60" x14ac:dyDescent="0.25">
      <c r="A615" t="s">
        <v>2175</v>
      </c>
      <c r="B615" t="s">
        <v>2174</v>
      </c>
      <c r="C615" t="s">
        <v>2176</v>
      </c>
      <c r="D615" t="s">
        <v>2177</v>
      </c>
      <c r="E615" t="s">
        <v>2178</v>
      </c>
      <c r="F615" t="s">
        <v>1631</v>
      </c>
      <c r="G615" t="s">
        <v>2179</v>
      </c>
      <c r="H615" t="s">
        <v>119</v>
      </c>
      <c r="I615" t="s">
        <v>88</v>
      </c>
      <c r="J615" t="s">
        <v>89</v>
      </c>
      <c r="K615" t="s">
        <v>69</v>
      </c>
      <c r="L615" t="s">
        <v>2180</v>
      </c>
      <c r="M615" t="s">
        <v>71</v>
      </c>
      <c r="N615" t="s">
        <v>100</v>
      </c>
      <c r="O615" t="s">
        <v>1900</v>
      </c>
      <c r="P615" t="s">
        <v>1901</v>
      </c>
      <c r="R615" t="s">
        <v>1902</v>
      </c>
      <c r="S615" t="s">
        <v>1893</v>
      </c>
      <c r="T615" t="s">
        <v>76</v>
      </c>
      <c r="U615" t="s">
        <v>150</v>
      </c>
      <c r="V615" t="s">
        <v>1634</v>
      </c>
      <c r="W615">
        <v>590</v>
      </c>
      <c r="X615">
        <v>29.99</v>
      </c>
      <c r="Y615">
        <v>75</v>
      </c>
      <c r="Z615">
        <v>429000</v>
      </c>
      <c r="AA615">
        <v>1003000</v>
      </c>
      <c r="AB615">
        <v>148</v>
      </c>
      <c r="AD615" t="s">
        <v>238</v>
      </c>
      <c r="AE615">
        <v>2</v>
      </c>
      <c r="AF615">
        <v>15</v>
      </c>
      <c r="AI615">
        <v>70</v>
      </c>
      <c r="AJ615">
        <v>430</v>
      </c>
      <c r="AK615">
        <v>515</v>
      </c>
      <c r="AL615">
        <v>1700</v>
      </c>
      <c r="AM615">
        <v>530</v>
      </c>
      <c r="AN615">
        <v>0</v>
      </c>
      <c r="AO615">
        <v>530</v>
      </c>
      <c r="AP615" t="s">
        <v>80</v>
      </c>
      <c r="AQ615" t="s">
        <v>176</v>
      </c>
      <c r="AR615" t="s">
        <v>86</v>
      </c>
      <c r="AS615" t="s">
        <v>86</v>
      </c>
      <c r="AT615" t="s">
        <v>240</v>
      </c>
      <c r="AU615" t="s">
        <v>86</v>
      </c>
      <c r="AV615" t="s">
        <v>81</v>
      </c>
      <c r="AW615" t="s">
        <v>69</v>
      </c>
      <c r="AX615" t="s">
        <v>126</v>
      </c>
      <c r="AY615" t="s">
        <v>2181</v>
      </c>
      <c r="AZ615" t="s">
        <v>243</v>
      </c>
      <c r="BA615" t="s">
        <v>264</v>
      </c>
      <c r="BB615" t="s">
        <v>244</v>
      </c>
      <c r="BC615" t="s">
        <v>243</v>
      </c>
      <c r="BD615" t="s">
        <v>2185</v>
      </c>
      <c r="BE615" t="s">
        <v>2183</v>
      </c>
      <c r="BF615" t="s">
        <v>86</v>
      </c>
      <c r="BG615" t="s">
        <v>87</v>
      </c>
      <c r="BH615" t="str">
        <f>IF(COUNTIF(工作表1!A:A, $C615)&gt;0, "預購款", "非預購款")</f>
        <v>非預購款</v>
      </c>
    </row>
    <row r="616" spans="1:60" x14ac:dyDescent="0.25">
      <c r="A616" t="s">
        <v>2175</v>
      </c>
      <c r="B616" t="s">
        <v>2174</v>
      </c>
      <c r="C616" t="s">
        <v>2176</v>
      </c>
      <c r="D616" t="s">
        <v>2177</v>
      </c>
      <c r="E616" t="s">
        <v>2178</v>
      </c>
      <c r="F616" t="s">
        <v>1631</v>
      </c>
      <c r="G616" t="s">
        <v>2179</v>
      </c>
      <c r="H616" t="s">
        <v>130</v>
      </c>
      <c r="I616" t="s">
        <v>88</v>
      </c>
      <c r="J616" t="s">
        <v>89</v>
      </c>
      <c r="K616" t="s">
        <v>69</v>
      </c>
      <c r="L616" t="s">
        <v>2180</v>
      </c>
      <c r="M616" t="s">
        <v>71</v>
      </c>
      <c r="N616" t="s">
        <v>100</v>
      </c>
      <c r="O616" t="s">
        <v>1900</v>
      </c>
      <c r="P616" t="s">
        <v>1901</v>
      </c>
      <c r="R616" t="s">
        <v>1902</v>
      </c>
      <c r="S616" t="s">
        <v>1893</v>
      </c>
      <c r="T616" t="s">
        <v>76</v>
      </c>
      <c r="U616" t="s">
        <v>150</v>
      </c>
      <c r="V616" t="s">
        <v>1634</v>
      </c>
      <c r="W616">
        <v>590</v>
      </c>
      <c r="X616">
        <v>29.99</v>
      </c>
      <c r="Y616">
        <v>75</v>
      </c>
      <c r="Z616">
        <v>429000</v>
      </c>
      <c r="AA616">
        <v>1003000</v>
      </c>
      <c r="AB616">
        <v>148</v>
      </c>
      <c r="AD616" t="s">
        <v>238</v>
      </c>
      <c r="AE616">
        <v>2</v>
      </c>
      <c r="AF616">
        <v>10</v>
      </c>
      <c r="AI616">
        <v>50</v>
      </c>
      <c r="AJ616">
        <v>440</v>
      </c>
      <c r="AK616">
        <v>500</v>
      </c>
      <c r="AL616">
        <v>1700</v>
      </c>
      <c r="AM616">
        <v>510</v>
      </c>
      <c r="AN616">
        <v>0</v>
      </c>
      <c r="AO616">
        <v>510</v>
      </c>
      <c r="AP616" t="s">
        <v>80</v>
      </c>
      <c r="AQ616" t="s">
        <v>176</v>
      </c>
      <c r="AR616" t="s">
        <v>86</v>
      </c>
      <c r="AS616" t="s">
        <v>86</v>
      </c>
      <c r="AT616" t="s">
        <v>240</v>
      </c>
      <c r="AU616" t="s">
        <v>86</v>
      </c>
      <c r="AV616" t="s">
        <v>81</v>
      </c>
      <c r="AW616" t="s">
        <v>69</v>
      </c>
      <c r="AX616" t="s">
        <v>126</v>
      </c>
      <c r="AY616" t="s">
        <v>2181</v>
      </c>
      <c r="AZ616" t="s">
        <v>243</v>
      </c>
      <c r="BA616" t="s">
        <v>264</v>
      </c>
      <c r="BB616" t="s">
        <v>244</v>
      </c>
      <c r="BC616" t="s">
        <v>243</v>
      </c>
      <c r="BD616" t="s">
        <v>2186</v>
      </c>
      <c r="BE616" t="s">
        <v>2183</v>
      </c>
      <c r="BF616" t="s">
        <v>86</v>
      </c>
      <c r="BG616" t="s">
        <v>87</v>
      </c>
      <c r="BH616" t="str">
        <f>IF(COUNTIF(工作表1!A:A, $C616)&gt;0, "預購款", "非預購款")</f>
        <v>非預購款</v>
      </c>
    </row>
    <row r="617" spans="1:60" x14ac:dyDescent="0.25">
      <c r="A617" t="s">
        <v>1574</v>
      </c>
      <c r="B617" t="s">
        <v>315</v>
      </c>
      <c r="C617" t="s">
        <v>1575</v>
      </c>
      <c r="D617" t="s">
        <v>1576</v>
      </c>
      <c r="E617" t="s">
        <v>1577</v>
      </c>
      <c r="F617" t="s">
        <v>1631</v>
      </c>
      <c r="G617" t="s">
        <v>1578</v>
      </c>
      <c r="H617" t="s">
        <v>119</v>
      </c>
      <c r="I617" t="s">
        <v>67</v>
      </c>
      <c r="J617" t="s">
        <v>68</v>
      </c>
      <c r="K617" t="s">
        <v>69</v>
      </c>
      <c r="L617" t="s">
        <v>1579</v>
      </c>
      <c r="M617" t="s">
        <v>71</v>
      </c>
      <c r="N617" t="s">
        <v>100</v>
      </c>
      <c r="O617" t="s">
        <v>1391</v>
      </c>
      <c r="P617" t="s">
        <v>1392</v>
      </c>
      <c r="R617" t="s">
        <v>1393</v>
      </c>
      <c r="S617" t="s">
        <v>1893</v>
      </c>
      <c r="T617" t="s">
        <v>258</v>
      </c>
      <c r="U617" t="s">
        <v>150</v>
      </c>
      <c r="V617" t="s">
        <v>641</v>
      </c>
      <c r="W617">
        <v>790</v>
      </c>
      <c r="X617">
        <v>34.99</v>
      </c>
      <c r="Y617">
        <v>99</v>
      </c>
      <c r="Z617">
        <v>569000</v>
      </c>
      <c r="AA617">
        <v>288350</v>
      </c>
      <c r="AB617">
        <v>190</v>
      </c>
      <c r="AD617" t="s">
        <v>238</v>
      </c>
      <c r="AE617">
        <v>2</v>
      </c>
      <c r="AF617">
        <v>35</v>
      </c>
      <c r="AI617">
        <v>0</v>
      </c>
      <c r="AJ617">
        <v>115</v>
      </c>
      <c r="AK617">
        <v>150</v>
      </c>
      <c r="AL617">
        <v>365</v>
      </c>
      <c r="AM617">
        <v>154</v>
      </c>
      <c r="AN617">
        <v>0</v>
      </c>
      <c r="AO617">
        <v>154</v>
      </c>
      <c r="AP617" t="s">
        <v>80</v>
      </c>
      <c r="AQ617" t="s">
        <v>176</v>
      </c>
      <c r="AR617" t="s">
        <v>261</v>
      </c>
      <c r="AS617" t="s">
        <v>261</v>
      </c>
      <c r="AT617" t="s">
        <v>86</v>
      </c>
      <c r="AU617" t="s">
        <v>86</v>
      </c>
      <c r="AV617" t="s">
        <v>1580</v>
      </c>
      <c r="AW617" t="s">
        <v>69</v>
      </c>
      <c r="AX617" t="s">
        <v>737</v>
      </c>
      <c r="AY617" t="s">
        <v>1581</v>
      </c>
      <c r="AZ617" t="s">
        <v>245</v>
      </c>
      <c r="BA617" t="s">
        <v>244</v>
      </c>
      <c r="BB617" t="s">
        <v>244</v>
      </c>
      <c r="BC617" t="s">
        <v>244</v>
      </c>
      <c r="BD617" t="s">
        <v>1828</v>
      </c>
      <c r="BE617" t="s">
        <v>2187</v>
      </c>
      <c r="BF617" t="s">
        <v>240</v>
      </c>
      <c r="BG617" t="s">
        <v>87</v>
      </c>
      <c r="BH617" t="str">
        <f>IF(COUNTIF(工作表1!A:A, $C617)&gt;0, "預購款", "非預購款")</f>
        <v>非預購款</v>
      </c>
    </row>
    <row r="618" spans="1:60" x14ac:dyDescent="0.25">
      <c r="A618" t="s">
        <v>1574</v>
      </c>
      <c r="B618" t="s">
        <v>315</v>
      </c>
      <c r="C618" t="s">
        <v>1575</v>
      </c>
      <c r="D618" t="s">
        <v>1576</v>
      </c>
      <c r="E618" t="s">
        <v>1577</v>
      </c>
      <c r="F618" t="s">
        <v>1631</v>
      </c>
      <c r="G618" t="s">
        <v>1578</v>
      </c>
      <c r="H618" t="s">
        <v>130</v>
      </c>
      <c r="I618" t="s">
        <v>67</v>
      </c>
      <c r="J618" t="s">
        <v>68</v>
      </c>
      <c r="K618" t="s">
        <v>69</v>
      </c>
      <c r="L618" t="s">
        <v>1579</v>
      </c>
      <c r="M618" t="s">
        <v>71</v>
      </c>
      <c r="N618" t="s">
        <v>100</v>
      </c>
      <c r="O618" t="s">
        <v>1391</v>
      </c>
      <c r="P618" t="s">
        <v>1392</v>
      </c>
      <c r="R618" t="s">
        <v>1393</v>
      </c>
      <c r="S618" t="s">
        <v>1893</v>
      </c>
      <c r="T618" t="s">
        <v>258</v>
      </c>
      <c r="U618" t="s">
        <v>150</v>
      </c>
      <c r="V618" t="s">
        <v>641</v>
      </c>
      <c r="W618">
        <v>790</v>
      </c>
      <c r="X618">
        <v>34.99</v>
      </c>
      <c r="Y618">
        <v>99</v>
      </c>
      <c r="Z618">
        <v>569000</v>
      </c>
      <c r="AA618">
        <v>288350</v>
      </c>
      <c r="AB618">
        <v>190</v>
      </c>
      <c r="AD618" t="s">
        <v>238</v>
      </c>
      <c r="AE618">
        <v>2</v>
      </c>
      <c r="AF618">
        <v>20</v>
      </c>
      <c r="AI618">
        <v>0</v>
      </c>
      <c r="AJ618">
        <v>70</v>
      </c>
      <c r="AK618">
        <v>90</v>
      </c>
      <c r="AL618">
        <v>365</v>
      </c>
      <c r="AM618">
        <v>95</v>
      </c>
      <c r="AN618">
        <v>0</v>
      </c>
      <c r="AO618">
        <v>95</v>
      </c>
      <c r="AP618" t="s">
        <v>80</v>
      </c>
      <c r="AQ618" t="s">
        <v>176</v>
      </c>
      <c r="AR618" t="s">
        <v>261</v>
      </c>
      <c r="AS618" t="s">
        <v>261</v>
      </c>
      <c r="AT618" t="s">
        <v>86</v>
      </c>
      <c r="AU618" t="s">
        <v>86</v>
      </c>
      <c r="AV618" t="s">
        <v>1580</v>
      </c>
      <c r="AW618" t="s">
        <v>69</v>
      </c>
      <c r="AX618" t="s">
        <v>737</v>
      </c>
      <c r="AY618" t="s">
        <v>1581</v>
      </c>
      <c r="AZ618" t="s">
        <v>245</v>
      </c>
      <c r="BA618" t="s">
        <v>244</v>
      </c>
      <c r="BB618" t="s">
        <v>244</v>
      </c>
      <c r="BC618" t="s">
        <v>244</v>
      </c>
      <c r="BD618" t="s">
        <v>1829</v>
      </c>
      <c r="BE618" t="s">
        <v>2187</v>
      </c>
      <c r="BF618" t="s">
        <v>240</v>
      </c>
      <c r="BG618" t="s">
        <v>87</v>
      </c>
      <c r="BH618" t="str">
        <f>IF(COUNTIF(工作表1!A:A, $C618)&gt;0, "預購款", "非預購款")</f>
        <v>非預購款</v>
      </c>
    </row>
    <row r="619" spans="1:60" x14ac:dyDescent="0.25">
      <c r="A619" t="s">
        <v>2188</v>
      </c>
      <c r="B619" t="s">
        <v>315</v>
      </c>
      <c r="C619" t="s">
        <v>2189</v>
      </c>
      <c r="D619" t="s">
        <v>2190</v>
      </c>
      <c r="E619" t="s">
        <v>2191</v>
      </c>
      <c r="F619" t="s">
        <v>1631</v>
      </c>
      <c r="G619" t="s">
        <v>2192</v>
      </c>
      <c r="H619" t="s">
        <v>119</v>
      </c>
      <c r="I619" t="s">
        <v>97</v>
      </c>
      <c r="J619" t="s">
        <v>98</v>
      </c>
      <c r="K619" t="s">
        <v>69</v>
      </c>
      <c r="L619" t="s">
        <v>2193</v>
      </c>
      <c r="M619" t="s">
        <v>71</v>
      </c>
      <c r="N619" t="s">
        <v>100</v>
      </c>
      <c r="O619" t="s">
        <v>1648</v>
      </c>
      <c r="P619" t="s">
        <v>1649</v>
      </c>
      <c r="R619" t="s">
        <v>1650</v>
      </c>
      <c r="S619" t="s">
        <v>1893</v>
      </c>
      <c r="T619" t="s">
        <v>76</v>
      </c>
      <c r="U619" t="s">
        <v>383</v>
      </c>
      <c r="V619" t="s">
        <v>384</v>
      </c>
      <c r="W619">
        <v>990</v>
      </c>
      <c r="X619">
        <v>39.99</v>
      </c>
      <c r="Y619">
        <v>129</v>
      </c>
      <c r="Z619">
        <v>709000</v>
      </c>
      <c r="AA619">
        <v>198000</v>
      </c>
      <c r="AB619">
        <v>630</v>
      </c>
      <c r="AD619" t="s">
        <v>238</v>
      </c>
      <c r="AE619">
        <v>1</v>
      </c>
      <c r="AF619">
        <v>0</v>
      </c>
      <c r="AI619">
        <v>30</v>
      </c>
      <c r="AJ619">
        <v>85</v>
      </c>
      <c r="AK619">
        <v>115</v>
      </c>
      <c r="AL619">
        <v>200</v>
      </c>
      <c r="AM619">
        <v>106</v>
      </c>
      <c r="AN619">
        <v>0</v>
      </c>
      <c r="AO619">
        <v>106</v>
      </c>
      <c r="AP619" t="s">
        <v>80</v>
      </c>
      <c r="AQ619" t="s">
        <v>187</v>
      </c>
      <c r="AT619" t="s">
        <v>86</v>
      </c>
      <c r="AU619" t="s">
        <v>261</v>
      </c>
      <c r="AV619" t="s">
        <v>81</v>
      </c>
      <c r="AW619" t="s">
        <v>69</v>
      </c>
      <c r="AX619" t="s">
        <v>1836</v>
      </c>
      <c r="AY619" t="s">
        <v>858</v>
      </c>
      <c r="AZ619" t="s">
        <v>264</v>
      </c>
      <c r="BA619" t="s">
        <v>245</v>
      </c>
      <c r="BB619" t="s">
        <v>243</v>
      </c>
      <c r="BC619" t="s">
        <v>245</v>
      </c>
      <c r="BD619" t="s">
        <v>2194</v>
      </c>
      <c r="BE619" t="s">
        <v>2195</v>
      </c>
      <c r="BF619" t="s">
        <v>86</v>
      </c>
      <c r="BG619" t="s">
        <v>110</v>
      </c>
      <c r="BH619" t="str">
        <f>IF(COUNTIF(工作表1!A:A, $C619)&gt;0, "預購款", "非預購款")</f>
        <v>非預購款</v>
      </c>
    </row>
    <row r="620" spans="1:60" x14ac:dyDescent="0.25">
      <c r="A620" t="s">
        <v>2188</v>
      </c>
      <c r="B620" t="s">
        <v>315</v>
      </c>
      <c r="C620" t="s">
        <v>2189</v>
      </c>
      <c r="D620" t="s">
        <v>2190</v>
      </c>
      <c r="E620" t="s">
        <v>2191</v>
      </c>
      <c r="F620" t="s">
        <v>1631</v>
      </c>
      <c r="G620" t="s">
        <v>2192</v>
      </c>
      <c r="H620" t="s">
        <v>130</v>
      </c>
      <c r="I620" t="s">
        <v>97</v>
      </c>
      <c r="J620" t="s">
        <v>98</v>
      </c>
      <c r="K620" t="s">
        <v>69</v>
      </c>
      <c r="L620" t="s">
        <v>2193</v>
      </c>
      <c r="M620" t="s">
        <v>71</v>
      </c>
      <c r="N620" t="s">
        <v>100</v>
      </c>
      <c r="O620" t="s">
        <v>1648</v>
      </c>
      <c r="P620" t="s">
        <v>1649</v>
      </c>
      <c r="R620" t="s">
        <v>1650</v>
      </c>
      <c r="S620" t="s">
        <v>1893</v>
      </c>
      <c r="T620" t="s">
        <v>76</v>
      </c>
      <c r="U620" t="s">
        <v>383</v>
      </c>
      <c r="V620" t="s">
        <v>384</v>
      </c>
      <c r="W620">
        <v>990</v>
      </c>
      <c r="X620">
        <v>39.99</v>
      </c>
      <c r="Y620">
        <v>129</v>
      </c>
      <c r="Z620">
        <v>709000</v>
      </c>
      <c r="AA620">
        <v>198000</v>
      </c>
      <c r="AB620">
        <v>630</v>
      </c>
      <c r="AD620" t="s">
        <v>238</v>
      </c>
      <c r="AE620">
        <v>1</v>
      </c>
      <c r="AF620">
        <v>0</v>
      </c>
      <c r="AI620">
        <v>30</v>
      </c>
      <c r="AJ620">
        <v>35</v>
      </c>
      <c r="AK620">
        <v>65</v>
      </c>
      <c r="AL620">
        <v>200</v>
      </c>
      <c r="AM620">
        <v>59</v>
      </c>
      <c r="AN620">
        <v>0</v>
      </c>
      <c r="AO620">
        <v>59</v>
      </c>
      <c r="AP620" t="s">
        <v>80</v>
      </c>
      <c r="AQ620" t="s">
        <v>187</v>
      </c>
      <c r="AT620" t="s">
        <v>86</v>
      </c>
      <c r="AU620" t="s">
        <v>261</v>
      </c>
      <c r="AV620" t="s">
        <v>81</v>
      </c>
      <c r="AW620" t="s">
        <v>69</v>
      </c>
      <c r="AX620" t="s">
        <v>1836</v>
      </c>
      <c r="AY620" t="s">
        <v>858</v>
      </c>
      <c r="AZ620" t="s">
        <v>264</v>
      </c>
      <c r="BA620" t="s">
        <v>245</v>
      </c>
      <c r="BB620" t="s">
        <v>243</v>
      </c>
      <c r="BC620" t="s">
        <v>245</v>
      </c>
      <c r="BD620" t="s">
        <v>2196</v>
      </c>
      <c r="BE620" t="s">
        <v>2195</v>
      </c>
      <c r="BF620" t="s">
        <v>86</v>
      </c>
      <c r="BG620" t="s">
        <v>110</v>
      </c>
      <c r="BH620" t="str">
        <f>IF(COUNTIF(工作表1!A:A, $C620)&gt;0, "預購款", "非預購款")</f>
        <v>非預購款</v>
      </c>
    </row>
    <row r="621" spans="1:60" x14ac:dyDescent="0.25">
      <c r="A621" t="s">
        <v>2188</v>
      </c>
      <c r="B621" t="s">
        <v>315</v>
      </c>
      <c r="C621" t="s">
        <v>2189</v>
      </c>
      <c r="D621" t="s">
        <v>2190</v>
      </c>
      <c r="E621" t="s">
        <v>2191</v>
      </c>
      <c r="F621" t="s">
        <v>1631</v>
      </c>
      <c r="G621" t="s">
        <v>2192</v>
      </c>
      <c r="H621" t="s">
        <v>132</v>
      </c>
      <c r="I621" t="s">
        <v>97</v>
      </c>
      <c r="J621" t="s">
        <v>98</v>
      </c>
      <c r="K621" t="s">
        <v>69</v>
      </c>
      <c r="L621" t="s">
        <v>2193</v>
      </c>
      <c r="M621" t="s">
        <v>71</v>
      </c>
      <c r="N621" t="s">
        <v>100</v>
      </c>
      <c r="O621" t="s">
        <v>1648</v>
      </c>
      <c r="P621" t="s">
        <v>1649</v>
      </c>
      <c r="R621" t="s">
        <v>1650</v>
      </c>
      <c r="S621" t="s">
        <v>1893</v>
      </c>
      <c r="T621" t="s">
        <v>76</v>
      </c>
      <c r="U621" t="s">
        <v>383</v>
      </c>
      <c r="V621" t="s">
        <v>384</v>
      </c>
      <c r="W621">
        <v>990</v>
      </c>
      <c r="X621">
        <v>39.99</v>
      </c>
      <c r="Y621">
        <v>129</v>
      </c>
      <c r="Z621">
        <v>709000</v>
      </c>
      <c r="AA621">
        <v>198000</v>
      </c>
      <c r="AB621">
        <v>630</v>
      </c>
      <c r="AD621" t="s">
        <v>238</v>
      </c>
      <c r="AE621">
        <v>1</v>
      </c>
      <c r="AF621">
        <v>0</v>
      </c>
      <c r="AI621">
        <v>10</v>
      </c>
      <c r="AJ621">
        <v>10</v>
      </c>
      <c r="AK621">
        <v>20</v>
      </c>
      <c r="AL621">
        <v>200</v>
      </c>
      <c r="AM621">
        <v>20</v>
      </c>
      <c r="AN621">
        <v>0</v>
      </c>
      <c r="AO621">
        <v>20</v>
      </c>
      <c r="AP621" t="s">
        <v>80</v>
      </c>
      <c r="AQ621" t="s">
        <v>187</v>
      </c>
      <c r="AT621" t="s">
        <v>86</v>
      </c>
      <c r="AU621" t="s">
        <v>261</v>
      </c>
      <c r="AV621" t="s">
        <v>81</v>
      </c>
      <c r="AW621" t="s">
        <v>69</v>
      </c>
      <c r="AX621" t="s">
        <v>1836</v>
      </c>
      <c r="AY621" t="s">
        <v>858</v>
      </c>
      <c r="AZ621" t="s">
        <v>264</v>
      </c>
      <c r="BA621" t="s">
        <v>245</v>
      </c>
      <c r="BB621" t="s">
        <v>243</v>
      </c>
      <c r="BC621" t="s">
        <v>245</v>
      </c>
      <c r="BD621" t="s">
        <v>2197</v>
      </c>
      <c r="BE621" t="s">
        <v>2195</v>
      </c>
      <c r="BF621" t="s">
        <v>86</v>
      </c>
      <c r="BG621" t="s">
        <v>110</v>
      </c>
      <c r="BH621" t="str">
        <f>IF(COUNTIF(工作表1!A:A, $C621)&gt;0, "預購款", "非預購款")</f>
        <v>非預購款</v>
      </c>
    </row>
    <row r="622" spans="1:60" x14ac:dyDescent="0.25">
      <c r="A622" t="s">
        <v>2198</v>
      </c>
      <c r="B622" t="s">
        <v>576</v>
      </c>
      <c r="C622" t="s">
        <v>2199</v>
      </c>
      <c r="D622" t="s">
        <v>2200</v>
      </c>
      <c r="E622" t="s">
        <v>2201</v>
      </c>
      <c r="F622" t="s">
        <v>1631</v>
      </c>
      <c r="G622" t="s">
        <v>2202</v>
      </c>
      <c r="H622" t="s">
        <v>66</v>
      </c>
      <c r="I622" t="s">
        <v>88</v>
      </c>
      <c r="J622" t="s">
        <v>89</v>
      </c>
      <c r="K622" t="s">
        <v>69</v>
      </c>
      <c r="L622" t="s">
        <v>1390</v>
      </c>
      <c r="M622" t="s">
        <v>71</v>
      </c>
      <c r="N622" t="s">
        <v>100</v>
      </c>
      <c r="O622" t="s">
        <v>1391</v>
      </c>
      <c r="P622" t="s">
        <v>1392</v>
      </c>
      <c r="R622" t="s">
        <v>1393</v>
      </c>
      <c r="S622" t="s">
        <v>1893</v>
      </c>
      <c r="T622" t="s">
        <v>258</v>
      </c>
      <c r="U622" t="s">
        <v>104</v>
      </c>
      <c r="V622" t="s">
        <v>99</v>
      </c>
      <c r="W622">
        <v>790</v>
      </c>
      <c r="X622">
        <v>34.99</v>
      </c>
      <c r="Y622">
        <v>99</v>
      </c>
      <c r="Z622">
        <v>569000</v>
      </c>
      <c r="AA622">
        <v>173800</v>
      </c>
      <c r="AB622">
        <v>165</v>
      </c>
      <c r="AD622" t="s">
        <v>238</v>
      </c>
      <c r="AE622">
        <v>1</v>
      </c>
      <c r="AF622">
        <v>0</v>
      </c>
      <c r="AI622">
        <v>0</v>
      </c>
      <c r="AJ622">
        <v>220</v>
      </c>
      <c r="AK622">
        <v>220</v>
      </c>
      <c r="AL622">
        <v>220</v>
      </c>
      <c r="AM622">
        <v>216</v>
      </c>
      <c r="AN622">
        <v>0</v>
      </c>
      <c r="AO622">
        <v>216</v>
      </c>
      <c r="AP622" t="s">
        <v>80</v>
      </c>
      <c r="AQ622" t="s">
        <v>179</v>
      </c>
      <c r="AR622" t="s">
        <v>240</v>
      </c>
      <c r="AS622" t="s">
        <v>86</v>
      </c>
      <c r="AT622" t="s">
        <v>240</v>
      </c>
      <c r="AU622" t="s">
        <v>86</v>
      </c>
      <c r="AV622" t="s">
        <v>2203</v>
      </c>
      <c r="AW622" t="s">
        <v>69</v>
      </c>
      <c r="AX622" t="s">
        <v>262</v>
      </c>
      <c r="AY622" t="s">
        <v>2204</v>
      </c>
      <c r="AZ622" t="s">
        <v>264</v>
      </c>
      <c r="BA622" t="s">
        <v>243</v>
      </c>
      <c r="BB622" t="s">
        <v>264</v>
      </c>
      <c r="BC622" t="s">
        <v>264</v>
      </c>
      <c r="BD622" t="s">
        <v>2205</v>
      </c>
      <c r="BE622" t="s">
        <v>2206</v>
      </c>
      <c r="BF622" t="s">
        <v>240</v>
      </c>
      <c r="BG622" t="s">
        <v>110</v>
      </c>
      <c r="BH622" t="str">
        <f>IF(COUNTIF(工作表1!A:A, $C622)&gt;0, "預購款", "非預購款")</f>
        <v>非預購款</v>
      </c>
    </row>
    <row r="623" spans="1:60" x14ac:dyDescent="0.25">
      <c r="A623" t="s">
        <v>2207</v>
      </c>
      <c r="B623" t="s">
        <v>576</v>
      </c>
      <c r="C623" t="s">
        <v>2208</v>
      </c>
      <c r="D623" t="s">
        <v>2209</v>
      </c>
      <c r="E623" t="s">
        <v>2210</v>
      </c>
      <c r="F623" t="s">
        <v>1631</v>
      </c>
      <c r="G623" t="s">
        <v>2211</v>
      </c>
      <c r="H623" t="s">
        <v>66</v>
      </c>
      <c r="I623" t="s">
        <v>97</v>
      </c>
      <c r="J623" t="s">
        <v>98</v>
      </c>
      <c r="K623" t="s">
        <v>80</v>
      </c>
      <c r="L623" t="s">
        <v>2212</v>
      </c>
      <c r="M623" t="s">
        <v>71</v>
      </c>
      <c r="N623" t="s">
        <v>100</v>
      </c>
      <c r="O623" t="s">
        <v>1900</v>
      </c>
      <c r="P623" t="s">
        <v>1901</v>
      </c>
      <c r="R623" t="s">
        <v>1902</v>
      </c>
      <c r="S623" t="s">
        <v>1893</v>
      </c>
      <c r="T623" t="s">
        <v>291</v>
      </c>
      <c r="U623" t="s">
        <v>104</v>
      </c>
      <c r="V623" t="s">
        <v>2213</v>
      </c>
      <c r="W623">
        <v>790</v>
      </c>
      <c r="X623">
        <v>34.99</v>
      </c>
      <c r="Y623">
        <v>99</v>
      </c>
      <c r="Z623">
        <v>569000</v>
      </c>
      <c r="AA623">
        <v>292300</v>
      </c>
      <c r="AB623">
        <v>370</v>
      </c>
      <c r="AD623" t="s">
        <v>238</v>
      </c>
      <c r="AE623">
        <v>2</v>
      </c>
      <c r="AF623">
        <v>0</v>
      </c>
      <c r="AI623">
        <v>0</v>
      </c>
      <c r="AJ623">
        <v>100</v>
      </c>
      <c r="AK623">
        <v>100</v>
      </c>
      <c r="AL623">
        <v>370</v>
      </c>
      <c r="AM623">
        <v>102</v>
      </c>
      <c r="AN623">
        <v>0</v>
      </c>
      <c r="AO623">
        <v>102</v>
      </c>
      <c r="AP623" t="s">
        <v>80</v>
      </c>
      <c r="AQ623" t="s">
        <v>179</v>
      </c>
      <c r="AT623" t="s">
        <v>86</v>
      </c>
      <c r="AU623" t="s">
        <v>240</v>
      </c>
      <c r="AV623" t="s">
        <v>2214</v>
      </c>
      <c r="AW623" t="s">
        <v>69</v>
      </c>
      <c r="AX623" t="s">
        <v>126</v>
      </c>
      <c r="AY623" t="s">
        <v>2215</v>
      </c>
      <c r="AZ623" t="s">
        <v>264</v>
      </c>
      <c r="BA623" t="s">
        <v>310</v>
      </c>
      <c r="BB623" t="s">
        <v>244</v>
      </c>
      <c r="BC623" t="s">
        <v>244</v>
      </c>
      <c r="BD623" t="s">
        <v>2216</v>
      </c>
      <c r="BE623" t="s">
        <v>2217</v>
      </c>
      <c r="BF623" t="s">
        <v>291</v>
      </c>
      <c r="BG623" t="s">
        <v>110</v>
      </c>
      <c r="BH623" t="str">
        <f>IF(COUNTIF(工作表1!A:A, $C623)&gt;0, "預購款", "非預購款")</f>
        <v>非預購款</v>
      </c>
    </row>
    <row r="624" spans="1:60" x14ac:dyDescent="0.25">
      <c r="A624" t="s">
        <v>2207</v>
      </c>
      <c r="B624" t="s">
        <v>576</v>
      </c>
      <c r="C624" t="s">
        <v>2208</v>
      </c>
      <c r="D624" t="s">
        <v>2209</v>
      </c>
      <c r="E624" t="s">
        <v>2210</v>
      </c>
      <c r="F624" t="s">
        <v>1631</v>
      </c>
      <c r="G624" t="s">
        <v>2211</v>
      </c>
      <c r="H624" t="s">
        <v>66</v>
      </c>
      <c r="I624" t="s">
        <v>111</v>
      </c>
      <c r="J624" t="s">
        <v>112</v>
      </c>
      <c r="K624" t="s">
        <v>69</v>
      </c>
      <c r="L624" t="s">
        <v>2212</v>
      </c>
      <c r="M624" t="s">
        <v>71</v>
      </c>
      <c r="N624" t="s">
        <v>100</v>
      </c>
      <c r="O624" t="s">
        <v>1900</v>
      </c>
      <c r="P624" t="s">
        <v>1901</v>
      </c>
      <c r="R624" t="s">
        <v>1902</v>
      </c>
      <c r="S624" t="s">
        <v>1893</v>
      </c>
      <c r="T624" t="s">
        <v>291</v>
      </c>
      <c r="U624" t="s">
        <v>104</v>
      </c>
      <c r="V624" t="s">
        <v>2213</v>
      </c>
      <c r="W624">
        <v>790</v>
      </c>
      <c r="X624">
        <v>34.99</v>
      </c>
      <c r="Y624">
        <v>99</v>
      </c>
      <c r="Z624">
        <v>569000</v>
      </c>
      <c r="AA624">
        <v>292300</v>
      </c>
      <c r="AB624">
        <v>370</v>
      </c>
      <c r="AD624" t="s">
        <v>238</v>
      </c>
      <c r="AE624">
        <v>2</v>
      </c>
      <c r="AF624">
        <v>0</v>
      </c>
      <c r="AI624">
        <v>0</v>
      </c>
      <c r="AJ624">
        <v>270</v>
      </c>
      <c r="AK624">
        <v>270</v>
      </c>
      <c r="AL624">
        <v>370</v>
      </c>
      <c r="AM624">
        <v>276</v>
      </c>
      <c r="AN624">
        <v>0</v>
      </c>
      <c r="AO624">
        <v>276</v>
      </c>
      <c r="AP624" t="s">
        <v>80</v>
      </c>
      <c r="AQ624" t="s">
        <v>179</v>
      </c>
      <c r="AT624" t="s">
        <v>86</v>
      </c>
      <c r="AU624" t="s">
        <v>240</v>
      </c>
      <c r="AV624" t="s">
        <v>2214</v>
      </c>
      <c r="AW624" t="s">
        <v>69</v>
      </c>
      <c r="AX624" t="s">
        <v>126</v>
      </c>
      <c r="AY624" t="s">
        <v>2215</v>
      </c>
      <c r="AZ624" t="s">
        <v>264</v>
      </c>
      <c r="BA624" t="s">
        <v>310</v>
      </c>
      <c r="BB624" t="s">
        <v>244</v>
      </c>
      <c r="BC624" t="s">
        <v>244</v>
      </c>
      <c r="BD624" t="s">
        <v>2218</v>
      </c>
      <c r="BE624" t="s">
        <v>2217</v>
      </c>
      <c r="BF624" t="s">
        <v>291</v>
      </c>
      <c r="BG624" t="s">
        <v>110</v>
      </c>
      <c r="BH624" t="str">
        <f>IF(COUNTIF(工作表1!A:A, $C624)&gt;0, "預購款", "非預購款")</f>
        <v>非預購款</v>
      </c>
    </row>
    <row r="625" spans="1:60" x14ac:dyDescent="0.25">
      <c r="A625" t="s">
        <v>2219</v>
      </c>
      <c r="B625" t="s">
        <v>576</v>
      </c>
      <c r="C625" t="s">
        <v>2220</v>
      </c>
      <c r="D625" t="s">
        <v>2221</v>
      </c>
      <c r="E625" t="s">
        <v>2222</v>
      </c>
      <c r="F625" t="s">
        <v>1631</v>
      </c>
      <c r="G625" t="s">
        <v>2223</v>
      </c>
      <c r="H625" t="s">
        <v>119</v>
      </c>
      <c r="I625" t="s">
        <v>97</v>
      </c>
      <c r="J625" t="s">
        <v>98</v>
      </c>
      <c r="K625" t="s">
        <v>80</v>
      </c>
      <c r="L625" t="s">
        <v>2224</v>
      </c>
      <c r="M625" t="s">
        <v>71</v>
      </c>
      <c r="N625" t="s">
        <v>100</v>
      </c>
      <c r="O625" t="s">
        <v>1900</v>
      </c>
      <c r="P625" t="s">
        <v>1901</v>
      </c>
      <c r="R625" t="s">
        <v>1902</v>
      </c>
      <c r="S625" t="s">
        <v>1893</v>
      </c>
      <c r="T625" t="s">
        <v>291</v>
      </c>
      <c r="U625" t="s">
        <v>383</v>
      </c>
      <c r="V625" t="s">
        <v>384</v>
      </c>
      <c r="W625">
        <v>890</v>
      </c>
      <c r="X625">
        <v>39.99</v>
      </c>
      <c r="Y625">
        <v>115</v>
      </c>
      <c r="Z625">
        <v>639000</v>
      </c>
      <c r="AA625">
        <v>329300</v>
      </c>
      <c r="AB625">
        <v>470</v>
      </c>
      <c r="AD625" t="s">
        <v>238</v>
      </c>
      <c r="AE625">
        <v>2</v>
      </c>
      <c r="AF625">
        <v>0</v>
      </c>
      <c r="AI625">
        <v>0</v>
      </c>
      <c r="AJ625">
        <v>60</v>
      </c>
      <c r="AK625">
        <v>60</v>
      </c>
      <c r="AL625">
        <v>370</v>
      </c>
      <c r="AM625">
        <v>68</v>
      </c>
      <c r="AN625">
        <v>0</v>
      </c>
      <c r="AO625">
        <v>68</v>
      </c>
      <c r="AP625" t="s">
        <v>80</v>
      </c>
      <c r="AQ625" t="s">
        <v>179</v>
      </c>
      <c r="AT625" t="s">
        <v>86</v>
      </c>
      <c r="AU625" t="s">
        <v>86</v>
      </c>
      <c r="AV625" t="s">
        <v>2225</v>
      </c>
      <c r="AW625" t="s">
        <v>69</v>
      </c>
      <c r="AX625" t="s">
        <v>126</v>
      </c>
      <c r="AY625" t="s">
        <v>2226</v>
      </c>
      <c r="AZ625" t="s">
        <v>264</v>
      </c>
      <c r="BA625" t="s">
        <v>245</v>
      </c>
      <c r="BB625" t="s">
        <v>244</v>
      </c>
      <c r="BC625" t="s">
        <v>244</v>
      </c>
      <c r="BD625" t="s">
        <v>2227</v>
      </c>
      <c r="BE625" t="s">
        <v>2228</v>
      </c>
      <c r="BF625" t="s">
        <v>291</v>
      </c>
      <c r="BG625" t="s">
        <v>110</v>
      </c>
      <c r="BH625" t="str">
        <f>IF(COUNTIF(工作表1!A:A, $C625)&gt;0, "預購款", "非預購款")</f>
        <v>非預購款</v>
      </c>
    </row>
    <row r="626" spans="1:60" x14ac:dyDescent="0.25">
      <c r="A626" t="s">
        <v>2219</v>
      </c>
      <c r="B626" t="s">
        <v>576</v>
      </c>
      <c r="C626" t="s">
        <v>2220</v>
      </c>
      <c r="D626" t="s">
        <v>2221</v>
      </c>
      <c r="E626" t="s">
        <v>2222</v>
      </c>
      <c r="F626" t="s">
        <v>1631</v>
      </c>
      <c r="G626" t="s">
        <v>2223</v>
      </c>
      <c r="H626" t="s">
        <v>130</v>
      </c>
      <c r="I626" t="s">
        <v>97</v>
      </c>
      <c r="J626" t="s">
        <v>98</v>
      </c>
      <c r="K626" t="s">
        <v>80</v>
      </c>
      <c r="L626" t="s">
        <v>2224</v>
      </c>
      <c r="M626" t="s">
        <v>71</v>
      </c>
      <c r="N626" t="s">
        <v>100</v>
      </c>
      <c r="O626" t="s">
        <v>1900</v>
      </c>
      <c r="P626" t="s">
        <v>1901</v>
      </c>
      <c r="R626" t="s">
        <v>1902</v>
      </c>
      <c r="S626" t="s">
        <v>1893</v>
      </c>
      <c r="T626" t="s">
        <v>291</v>
      </c>
      <c r="U626" t="s">
        <v>383</v>
      </c>
      <c r="V626" t="s">
        <v>384</v>
      </c>
      <c r="W626">
        <v>890</v>
      </c>
      <c r="X626">
        <v>39.99</v>
      </c>
      <c r="Y626">
        <v>115</v>
      </c>
      <c r="Z626">
        <v>639000</v>
      </c>
      <c r="AA626">
        <v>329300</v>
      </c>
      <c r="AB626">
        <v>470</v>
      </c>
      <c r="AD626" t="s">
        <v>238</v>
      </c>
      <c r="AE626">
        <v>2</v>
      </c>
      <c r="AF626">
        <v>0</v>
      </c>
      <c r="AI626">
        <v>0</v>
      </c>
      <c r="AJ626">
        <v>30</v>
      </c>
      <c r="AK626">
        <v>30</v>
      </c>
      <c r="AL626">
        <v>370</v>
      </c>
      <c r="AM626">
        <v>34</v>
      </c>
      <c r="AN626">
        <v>0</v>
      </c>
      <c r="AO626">
        <v>34</v>
      </c>
      <c r="AP626" t="s">
        <v>80</v>
      </c>
      <c r="AQ626" t="s">
        <v>179</v>
      </c>
      <c r="AT626" t="s">
        <v>86</v>
      </c>
      <c r="AU626" t="s">
        <v>86</v>
      </c>
      <c r="AV626" t="s">
        <v>2225</v>
      </c>
      <c r="AW626" t="s">
        <v>69</v>
      </c>
      <c r="AX626" t="s">
        <v>126</v>
      </c>
      <c r="AY626" t="s">
        <v>2226</v>
      </c>
      <c r="AZ626" t="s">
        <v>264</v>
      </c>
      <c r="BA626" t="s">
        <v>245</v>
      </c>
      <c r="BB626" t="s">
        <v>244</v>
      </c>
      <c r="BC626" t="s">
        <v>244</v>
      </c>
      <c r="BD626" t="s">
        <v>2229</v>
      </c>
      <c r="BE626" t="s">
        <v>2228</v>
      </c>
      <c r="BF626" t="s">
        <v>291</v>
      </c>
      <c r="BG626" t="s">
        <v>110</v>
      </c>
      <c r="BH626" t="str">
        <f>IF(COUNTIF(工作表1!A:A, $C626)&gt;0, "預購款", "非預購款")</f>
        <v>非預購款</v>
      </c>
    </row>
    <row r="627" spans="1:60" x14ac:dyDescent="0.25">
      <c r="A627" t="s">
        <v>2219</v>
      </c>
      <c r="B627" t="s">
        <v>576</v>
      </c>
      <c r="C627" t="s">
        <v>2220</v>
      </c>
      <c r="D627" t="s">
        <v>2221</v>
      </c>
      <c r="E627" t="s">
        <v>2222</v>
      </c>
      <c r="F627" t="s">
        <v>1631</v>
      </c>
      <c r="G627" t="s">
        <v>2223</v>
      </c>
      <c r="H627" t="s">
        <v>132</v>
      </c>
      <c r="I627" t="s">
        <v>97</v>
      </c>
      <c r="J627" t="s">
        <v>98</v>
      </c>
      <c r="K627" t="s">
        <v>80</v>
      </c>
      <c r="L627" t="s">
        <v>2224</v>
      </c>
      <c r="M627" t="s">
        <v>71</v>
      </c>
      <c r="N627" t="s">
        <v>100</v>
      </c>
      <c r="O627" t="s">
        <v>1900</v>
      </c>
      <c r="P627" t="s">
        <v>1901</v>
      </c>
      <c r="R627" t="s">
        <v>1902</v>
      </c>
      <c r="S627" t="s">
        <v>1893</v>
      </c>
      <c r="T627" t="s">
        <v>291</v>
      </c>
      <c r="U627" t="s">
        <v>383</v>
      </c>
      <c r="V627" t="s">
        <v>384</v>
      </c>
      <c r="W627">
        <v>890</v>
      </c>
      <c r="X627">
        <v>39.99</v>
      </c>
      <c r="Y627">
        <v>115</v>
      </c>
      <c r="Z627">
        <v>639000</v>
      </c>
      <c r="AA627">
        <v>329300</v>
      </c>
      <c r="AB627">
        <v>470</v>
      </c>
      <c r="AD627" t="s">
        <v>238</v>
      </c>
      <c r="AE627">
        <v>2</v>
      </c>
      <c r="AF627">
        <v>0</v>
      </c>
      <c r="AI627">
        <v>0</v>
      </c>
      <c r="AJ627">
        <v>20</v>
      </c>
      <c r="AK627">
        <v>20</v>
      </c>
      <c r="AL627">
        <v>370</v>
      </c>
      <c r="AM627">
        <v>24</v>
      </c>
      <c r="AN627">
        <v>0</v>
      </c>
      <c r="AO627">
        <v>24</v>
      </c>
      <c r="AP627" t="s">
        <v>80</v>
      </c>
      <c r="AQ627" t="s">
        <v>179</v>
      </c>
      <c r="AT627" t="s">
        <v>86</v>
      </c>
      <c r="AU627" t="s">
        <v>86</v>
      </c>
      <c r="AV627" t="s">
        <v>2225</v>
      </c>
      <c r="AW627" t="s">
        <v>69</v>
      </c>
      <c r="AX627" t="s">
        <v>126</v>
      </c>
      <c r="AY627" t="s">
        <v>2226</v>
      </c>
      <c r="AZ627" t="s">
        <v>264</v>
      </c>
      <c r="BA627" t="s">
        <v>245</v>
      </c>
      <c r="BB627" t="s">
        <v>244</v>
      </c>
      <c r="BC627" t="s">
        <v>244</v>
      </c>
      <c r="BD627" t="s">
        <v>2230</v>
      </c>
      <c r="BE627" t="s">
        <v>2228</v>
      </c>
      <c r="BF627" t="s">
        <v>291</v>
      </c>
      <c r="BG627" t="s">
        <v>110</v>
      </c>
      <c r="BH627" t="str">
        <f>IF(COUNTIF(工作表1!A:A, $C627)&gt;0, "預購款", "非預購款")</f>
        <v>非預購款</v>
      </c>
    </row>
    <row r="628" spans="1:60" x14ac:dyDescent="0.25">
      <c r="A628" t="s">
        <v>2219</v>
      </c>
      <c r="B628" t="s">
        <v>576</v>
      </c>
      <c r="C628" t="s">
        <v>2220</v>
      </c>
      <c r="D628" t="s">
        <v>2221</v>
      </c>
      <c r="E628" t="s">
        <v>2222</v>
      </c>
      <c r="F628" t="s">
        <v>1631</v>
      </c>
      <c r="G628" t="s">
        <v>2223</v>
      </c>
      <c r="H628" t="s">
        <v>119</v>
      </c>
      <c r="I628" t="s">
        <v>111</v>
      </c>
      <c r="J628" t="s">
        <v>112</v>
      </c>
      <c r="K628" t="s">
        <v>69</v>
      </c>
      <c r="L628" t="s">
        <v>2224</v>
      </c>
      <c r="M628" t="s">
        <v>71</v>
      </c>
      <c r="N628" t="s">
        <v>100</v>
      </c>
      <c r="O628" t="s">
        <v>1900</v>
      </c>
      <c r="P628" t="s">
        <v>1901</v>
      </c>
      <c r="R628" t="s">
        <v>1902</v>
      </c>
      <c r="S628" t="s">
        <v>1893</v>
      </c>
      <c r="T628" t="s">
        <v>291</v>
      </c>
      <c r="U628" t="s">
        <v>383</v>
      </c>
      <c r="V628" t="s">
        <v>384</v>
      </c>
      <c r="W628">
        <v>890</v>
      </c>
      <c r="X628">
        <v>39.99</v>
      </c>
      <c r="Y628">
        <v>115</v>
      </c>
      <c r="Z628">
        <v>639000</v>
      </c>
      <c r="AA628">
        <v>329300</v>
      </c>
      <c r="AB628">
        <v>470</v>
      </c>
      <c r="AD628" t="s">
        <v>238</v>
      </c>
      <c r="AE628">
        <v>2</v>
      </c>
      <c r="AF628">
        <v>0</v>
      </c>
      <c r="AI628">
        <v>0</v>
      </c>
      <c r="AJ628">
        <v>130</v>
      </c>
      <c r="AK628">
        <v>130</v>
      </c>
      <c r="AL628">
        <v>370</v>
      </c>
      <c r="AM628">
        <v>140</v>
      </c>
      <c r="AN628">
        <v>0</v>
      </c>
      <c r="AO628">
        <v>140</v>
      </c>
      <c r="AP628" t="s">
        <v>80</v>
      </c>
      <c r="AQ628" t="s">
        <v>179</v>
      </c>
      <c r="AT628" t="s">
        <v>86</v>
      </c>
      <c r="AU628" t="s">
        <v>86</v>
      </c>
      <c r="AV628" t="s">
        <v>2225</v>
      </c>
      <c r="AW628" t="s">
        <v>69</v>
      </c>
      <c r="AX628" t="s">
        <v>126</v>
      </c>
      <c r="AY628" t="s">
        <v>2226</v>
      </c>
      <c r="AZ628" t="s">
        <v>264</v>
      </c>
      <c r="BA628" t="s">
        <v>245</v>
      </c>
      <c r="BB628" t="s">
        <v>244</v>
      </c>
      <c r="BC628" t="s">
        <v>244</v>
      </c>
      <c r="BD628" t="s">
        <v>2231</v>
      </c>
      <c r="BE628" t="s">
        <v>2228</v>
      </c>
      <c r="BF628" t="s">
        <v>291</v>
      </c>
      <c r="BG628" t="s">
        <v>110</v>
      </c>
      <c r="BH628" t="str">
        <f>IF(COUNTIF(工作表1!A:A, $C628)&gt;0, "預購款", "非預購款")</f>
        <v>非預購款</v>
      </c>
    </row>
    <row r="629" spans="1:60" x14ac:dyDescent="0.25">
      <c r="A629" t="s">
        <v>2219</v>
      </c>
      <c r="B629" t="s">
        <v>576</v>
      </c>
      <c r="C629" t="s">
        <v>2220</v>
      </c>
      <c r="D629" t="s">
        <v>2221</v>
      </c>
      <c r="E629" t="s">
        <v>2222</v>
      </c>
      <c r="F629" t="s">
        <v>1631</v>
      </c>
      <c r="G629" t="s">
        <v>2223</v>
      </c>
      <c r="H629" t="s">
        <v>130</v>
      </c>
      <c r="I629" t="s">
        <v>111</v>
      </c>
      <c r="J629" t="s">
        <v>112</v>
      </c>
      <c r="K629" t="s">
        <v>69</v>
      </c>
      <c r="L629" t="s">
        <v>2224</v>
      </c>
      <c r="M629" t="s">
        <v>71</v>
      </c>
      <c r="N629" t="s">
        <v>100</v>
      </c>
      <c r="O629" t="s">
        <v>1900</v>
      </c>
      <c r="P629" t="s">
        <v>1901</v>
      </c>
      <c r="R629" t="s">
        <v>1902</v>
      </c>
      <c r="S629" t="s">
        <v>1893</v>
      </c>
      <c r="T629" t="s">
        <v>291</v>
      </c>
      <c r="U629" t="s">
        <v>383</v>
      </c>
      <c r="V629" t="s">
        <v>384</v>
      </c>
      <c r="W629">
        <v>890</v>
      </c>
      <c r="X629">
        <v>39.99</v>
      </c>
      <c r="Y629">
        <v>115</v>
      </c>
      <c r="Z629">
        <v>639000</v>
      </c>
      <c r="AA629">
        <v>329300</v>
      </c>
      <c r="AB629">
        <v>470</v>
      </c>
      <c r="AD629" t="s">
        <v>238</v>
      </c>
      <c r="AE629">
        <v>2</v>
      </c>
      <c r="AF629">
        <v>0</v>
      </c>
      <c r="AI629">
        <v>0</v>
      </c>
      <c r="AJ629">
        <v>70</v>
      </c>
      <c r="AK629">
        <v>70</v>
      </c>
      <c r="AL629">
        <v>370</v>
      </c>
      <c r="AM629">
        <v>80</v>
      </c>
      <c r="AN629">
        <v>0</v>
      </c>
      <c r="AO629">
        <v>80</v>
      </c>
      <c r="AP629" t="s">
        <v>80</v>
      </c>
      <c r="AQ629" t="s">
        <v>179</v>
      </c>
      <c r="AT629" t="s">
        <v>86</v>
      </c>
      <c r="AU629" t="s">
        <v>86</v>
      </c>
      <c r="AV629" t="s">
        <v>2225</v>
      </c>
      <c r="AW629" t="s">
        <v>69</v>
      </c>
      <c r="AX629" t="s">
        <v>126</v>
      </c>
      <c r="AY629" t="s">
        <v>2226</v>
      </c>
      <c r="AZ629" t="s">
        <v>264</v>
      </c>
      <c r="BA629" t="s">
        <v>245</v>
      </c>
      <c r="BB629" t="s">
        <v>244</v>
      </c>
      <c r="BC629" t="s">
        <v>244</v>
      </c>
      <c r="BD629" t="s">
        <v>2232</v>
      </c>
      <c r="BE629" t="s">
        <v>2228</v>
      </c>
      <c r="BF629" t="s">
        <v>291</v>
      </c>
      <c r="BG629" t="s">
        <v>110</v>
      </c>
      <c r="BH629" t="str">
        <f>IF(COUNTIF(工作表1!A:A, $C629)&gt;0, "預購款", "非預購款")</f>
        <v>非預購款</v>
      </c>
    </row>
    <row r="630" spans="1:60" x14ac:dyDescent="0.25">
      <c r="A630" t="s">
        <v>2219</v>
      </c>
      <c r="B630" t="s">
        <v>576</v>
      </c>
      <c r="C630" t="s">
        <v>2220</v>
      </c>
      <c r="D630" t="s">
        <v>2221</v>
      </c>
      <c r="E630" t="s">
        <v>2222</v>
      </c>
      <c r="F630" t="s">
        <v>1631</v>
      </c>
      <c r="G630" t="s">
        <v>2223</v>
      </c>
      <c r="H630" t="s">
        <v>132</v>
      </c>
      <c r="I630" t="s">
        <v>111</v>
      </c>
      <c r="J630" t="s">
        <v>112</v>
      </c>
      <c r="K630" t="s">
        <v>69</v>
      </c>
      <c r="L630" t="s">
        <v>2224</v>
      </c>
      <c r="M630" t="s">
        <v>71</v>
      </c>
      <c r="N630" t="s">
        <v>100</v>
      </c>
      <c r="O630" t="s">
        <v>1900</v>
      </c>
      <c r="P630" t="s">
        <v>1901</v>
      </c>
      <c r="R630" t="s">
        <v>1902</v>
      </c>
      <c r="S630" t="s">
        <v>1893</v>
      </c>
      <c r="T630" t="s">
        <v>291</v>
      </c>
      <c r="U630" t="s">
        <v>383</v>
      </c>
      <c r="V630" t="s">
        <v>384</v>
      </c>
      <c r="W630">
        <v>890</v>
      </c>
      <c r="X630">
        <v>39.99</v>
      </c>
      <c r="Y630">
        <v>115</v>
      </c>
      <c r="Z630">
        <v>639000</v>
      </c>
      <c r="AA630">
        <v>329300</v>
      </c>
      <c r="AB630">
        <v>470</v>
      </c>
      <c r="AD630" t="s">
        <v>238</v>
      </c>
      <c r="AE630">
        <v>2</v>
      </c>
      <c r="AF630">
        <v>0</v>
      </c>
      <c r="AI630">
        <v>0</v>
      </c>
      <c r="AJ630">
        <v>60</v>
      </c>
      <c r="AK630">
        <v>60</v>
      </c>
      <c r="AL630">
        <v>370</v>
      </c>
      <c r="AM630">
        <v>69</v>
      </c>
      <c r="AN630">
        <v>0</v>
      </c>
      <c r="AO630">
        <v>69</v>
      </c>
      <c r="AP630" t="s">
        <v>80</v>
      </c>
      <c r="AQ630" t="s">
        <v>179</v>
      </c>
      <c r="AT630" t="s">
        <v>86</v>
      </c>
      <c r="AU630" t="s">
        <v>86</v>
      </c>
      <c r="AV630" t="s">
        <v>2225</v>
      </c>
      <c r="AW630" t="s">
        <v>69</v>
      </c>
      <c r="AX630" t="s">
        <v>126</v>
      </c>
      <c r="AY630" t="s">
        <v>2226</v>
      </c>
      <c r="AZ630" t="s">
        <v>264</v>
      </c>
      <c r="BA630" t="s">
        <v>245</v>
      </c>
      <c r="BB630" t="s">
        <v>244</v>
      </c>
      <c r="BC630" t="s">
        <v>244</v>
      </c>
      <c r="BD630" t="s">
        <v>2233</v>
      </c>
      <c r="BE630" t="s">
        <v>2228</v>
      </c>
      <c r="BF630" t="s">
        <v>291</v>
      </c>
      <c r="BG630" t="s">
        <v>110</v>
      </c>
      <c r="BH630" t="str">
        <f>IF(COUNTIF(工作表1!A:A, $C630)&gt;0, "預購款", "非預購款")</f>
        <v>非預購款</v>
      </c>
    </row>
    <row r="631" spans="1:60" x14ac:dyDescent="0.25">
      <c r="A631" t="s">
        <v>2234</v>
      </c>
      <c r="B631" t="s">
        <v>576</v>
      </c>
      <c r="C631" t="s">
        <v>2235</v>
      </c>
      <c r="D631" t="s">
        <v>2236</v>
      </c>
      <c r="E631" t="s">
        <v>2237</v>
      </c>
      <c r="F631" t="s">
        <v>1631</v>
      </c>
      <c r="G631" t="s">
        <v>2238</v>
      </c>
      <c r="H631" t="s">
        <v>119</v>
      </c>
      <c r="I631" t="s">
        <v>120</v>
      </c>
      <c r="J631" t="s">
        <v>121</v>
      </c>
      <c r="K631" t="s">
        <v>69</v>
      </c>
      <c r="L631" t="s">
        <v>2239</v>
      </c>
      <c r="M631" t="s">
        <v>71</v>
      </c>
      <c r="N631" t="s">
        <v>100</v>
      </c>
      <c r="O631" t="s">
        <v>1900</v>
      </c>
      <c r="P631" t="s">
        <v>1901</v>
      </c>
      <c r="R631" t="s">
        <v>1902</v>
      </c>
      <c r="S631" t="s">
        <v>1893</v>
      </c>
      <c r="T631" t="s">
        <v>76</v>
      </c>
      <c r="U631" t="s">
        <v>383</v>
      </c>
      <c r="V631" t="s">
        <v>124</v>
      </c>
      <c r="W631">
        <v>690</v>
      </c>
      <c r="X631">
        <v>29.99</v>
      </c>
      <c r="Y631">
        <v>89</v>
      </c>
      <c r="Z631">
        <v>499000</v>
      </c>
      <c r="AA631">
        <v>372600</v>
      </c>
      <c r="AB631">
        <v>246</v>
      </c>
      <c r="AD631" t="s">
        <v>238</v>
      </c>
      <c r="AE631">
        <v>2</v>
      </c>
      <c r="AF631">
        <v>35</v>
      </c>
      <c r="AI631">
        <v>10</v>
      </c>
      <c r="AJ631">
        <v>85</v>
      </c>
      <c r="AK631">
        <v>130</v>
      </c>
      <c r="AL631">
        <v>540</v>
      </c>
      <c r="AM631">
        <v>121</v>
      </c>
      <c r="AN631">
        <v>0</v>
      </c>
      <c r="AO631">
        <v>121</v>
      </c>
      <c r="AP631" t="s">
        <v>80</v>
      </c>
      <c r="AQ631" t="s">
        <v>176</v>
      </c>
      <c r="AR631" t="s">
        <v>261</v>
      </c>
      <c r="AS631" t="s">
        <v>261</v>
      </c>
      <c r="AT631" t="s">
        <v>261</v>
      </c>
      <c r="AU631" t="s">
        <v>261</v>
      </c>
      <c r="AV631" t="s">
        <v>2240</v>
      </c>
      <c r="AW631" t="s">
        <v>69</v>
      </c>
      <c r="AX631" t="s">
        <v>126</v>
      </c>
      <c r="AY631" t="s">
        <v>2241</v>
      </c>
      <c r="AZ631" t="s">
        <v>244</v>
      </c>
      <c r="BA631" t="s">
        <v>264</v>
      </c>
      <c r="BB631" t="s">
        <v>245</v>
      </c>
      <c r="BC631" t="s">
        <v>243</v>
      </c>
      <c r="BD631" t="s">
        <v>2242</v>
      </c>
      <c r="BE631" t="s">
        <v>2243</v>
      </c>
      <c r="BF631" t="s">
        <v>86</v>
      </c>
      <c r="BG631" t="s">
        <v>110</v>
      </c>
      <c r="BH631" t="str">
        <f>IF(COUNTIF(工作表1!A:A, $C631)&gt;0, "預購款", "非預購款")</f>
        <v>非預購款</v>
      </c>
    </row>
    <row r="632" spans="1:60" x14ac:dyDescent="0.25">
      <c r="A632" t="s">
        <v>2234</v>
      </c>
      <c r="B632" t="s">
        <v>576</v>
      </c>
      <c r="C632" t="s">
        <v>2235</v>
      </c>
      <c r="D632" t="s">
        <v>2236</v>
      </c>
      <c r="E632" t="s">
        <v>2237</v>
      </c>
      <c r="F632" t="s">
        <v>1631</v>
      </c>
      <c r="G632" t="s">
        <v>2238</v>
      </c>
      <c r="H632" t="s">
        <v>130</v>
      </c>
      <c r="I632" t="s">
        <v>120</v>
      </c>
      <c r="J632" t="s">
        <v>121</v>
      </c>
      <c r="K632" t="s">
        <v>69</v>
      </c>
      <c r="L632" t="s">
        <v>2239</v>
      </c>
      <c r="M632" t="s">
        <v>71</v>
      </c>
      <c r="N632" t="s">
        <v>100</v>
      </c>
      <c r="O632" t="s">
        <v>1900</v>
      </c>
      <c r="P632" t="s">
        <v>1901</v>
      </c>
      <c r="R632" t="s">
        <v>1902</v>
      </c>
      <c r="S632" t="s">
        <v>1893</v>
      </c>
      <c r="T632" t="s">
        <v>76</v>
      </c>
      <c r="U632" t="s">
        <v>383</v>
      </c>
      <c r="V632" t="s">
        <v>124</v>
      </c>
      <c r="W632">
        <v>690</v>
      </c>
      <c r="X632">
        <v>29.99</v>
      </c>
      <c r="Y632">
        <v>89</v>
      </c>
      <c r="Z632">
        <v>499000</v>
      </c>
      <c r="AA632">
        <v>372600</v>
      </c>
      <c r="AB632">
        <v>246</v>
      </c>
      <c r="AD632" t="s">
        <v>238</v>
      </c>
      <c r="AE632">
        <v>2</v>
      </c>
      <c r="AF632">
        <v>25</v>
      </c>
      <c r="AI632">
        <v>20</v>
      </c>
      <c r="AJ632">
        <v>45</v>
      </c>
      <c r="AK632">
        <v>90</v>
      </c>
      <c r="AL632">
        <v>540</v>
      </c>
      <c r="AM632">
        <v>88</v>
      </c>
      <c r="AN632">
        <v>0</v>
      </c>
      <c r="AO632">
        <v>88</v>
      </c>
      <c r="AP632" t="s">
        <v>80</v>
      </c>
      <c r="AQ632" t="s">
        <v>176</v>
      </c>
      <c r="AR632" t="s">
        <v>261</v>
      </c>
      <c r="AS632" t="s">
        <v>261</v>
      </c>
      <c r="AT632" t="s">
        <v>261</v>
      </c>
      <c r="AU632" t="s">
        <v>261</v>
      </c>
      <c r="AV632" t="s">
        <v>2240</v>
      </c>
      <c r="AW632" t="s">
        <v>69</v>
      </c>
      <c r="AX632" t="s">
        <v>126</v>
      </c>
      <c r="AY632" t="s">
        <v>2241</v>
      </c>
      <c r="AZ632" t="s">
        <v>244</v>
      </c>
      <c r="BA632" t="s">
        <v>264</v>
      </c>
      <c r="BB632" t="s">
        <v>245</v>
      </c>
      <c r="BC632" t="s">
        <v>243</v>
      </c>
      <c r="BD632" t="s">
        <v>2244</v>
      </c>
      <c r="BE632" t="s">
        <v>2243</v>
      </c>
      <c r="BF632" t="s">
        <v>86</v>
      </c>
      <c r="BG632" t="s">
        <v>110</v>
      </c>
      <c r="BH632" t="str">
        <f>IF(COUNTIF(工作表1!A:A, $C632)&gt;0, "預購款", "非預購款")</f>
        <v>非預購款</v>
      </c>
    </row>
    <row r="633" spans="1:60" x14ac:dyDescent="0.25">
      <c r="A633" t="s">
        <v>2234</v>
      </c>
      <c r="B633" t="s">
        <v>576</v>
      </c>
      <c r="C633" t="s">
        <v>2235</v>
      </c>
      <c r="D633" t="s">
        <v>2236</v>
      </c>
      <c r="E633" t="s">
        <v>2237</v>
      </c>
      <c r="F633" t="s">
        <v>1631</v>
      </c>
      <c r="G633" t="s">
        <v>2238</v>
      </c>
      <c r="H633" t="s">
        <v>132</v>
      </c>
      <c r="I633" t="s">
        <v>120</v>
      </c>
      <c r="J633" t="s">
        <v>121</v>
      </c>
      <c r="K633" t="s">
        <v>69</v>
      </c>
      <c r="L633" t="s">
        <v>2239</v>
      </c>
      <c r="M633" t="s">
        <v>71</v>
      </c>
      <c r="N633" t="s">
        <v>100</v>
      </c>
      <c r="O633" t="s">
        <v>1900</v>
      </c>
      <c r="P633" t="s">
        <v>1901</v>
      </c>
      <c r="R633" t="s">
        <v>1902</v>
      </c>
      <c r="S633" t="s">
        <v>1893</v>
      </c>
      <c r="T633" t="s">
        <v>76</v>
      </c>
      <c r="U633" t="s">
        <v>383</v>
      </c>
      <c r="V633" t="s">
        <v>124</v>
      </c>
      <c r="W633">
        <v>690</v>
      </c>
      <c r="X633">
        <v>29.99</v>
      </c>
      <c r="Y633">
        <v>89</v>
      </c>
      <c r="Z633">
        <v>499000</v>
      </c>
      <c r="AA633">
        <v>372600</v>
      </c>
      <c r="AB633">
        <v>246</v>
      </c>
      <c r="AD633" t="s">
        <v>238</v>
      </c>
      <c r="AE633">
        <v>2</v>
      </c>
      <c r="AF633">
        <v>15</v>
      </c>
      <c r="AI633">
        <v>20</v>
      </c>
      <c r="AJ633">
        <v>10</v>
      </c>
      <c r="AK633">
        <v>45</v>
      </c>
      <c r="AL633">
        <v>540</v>
      </c>
      <c r="AM633">
        <v>42</v>
      </c>
      <c r="AN633">
        <v>0</v>
      </c>
      <c r="AO633">
        <v>42</v>
      </c>
      <c r="AP633" t="s">
        <v>80</v>
      </c>
      <c r="AQ633" t="s">
        <v>176</v>
      </c>
      <c r="AR633" t="s">
        <v>261</v>
      </c>
      <c r="AS633" t="s">
        <v>261</v>
      </c>
      <c r="AT633" t="s">
        <v>261</v>
      </c>
      <c r="AU633" t="s">
        <v>261</v>
      </c>
      <c r="AV633" t="s">
        <v>2240</v>
      </c>
      <c r="AW633" t="s">
        <v>69</v>
      </c>
      <c r="AX633" t="s">
        <v>126</v>
      </c>
      <c r="AY633" t="s">
        <v>2241</v>
      </c>
      <c r="AZ633" t="s">
        <v>244</v>
      </c>
      <c r="BA633" t="s">
        <v>264</v>
      </c>
      <c r="BB633" t="s">
        <v>245</v>
      </c>
      <c r="BC633" t="s">
        <v>243</v>
      </c>
      <c r="BD633" t="s">
        <v>2245</v>
      </c>
      <c r="BE633" t="s">
        <v>2243</v>
      </c>
      <c r="BF633" t="s">
        <v>86</v>
      </c>
      <c r="BG633" t="s">
        <v>110</v>
      </c>
      <c r="BH633" t="str">
        <f>IF(COUNTIF(工作表1!A:A, $C633)&gt;0, "預購款", "非預購款")</f>
        <v>非預購款</v>
      </c>
    </row>
    <row r="634" spans="1:60" x14ac:dyDescent="0.25">
      <c r="A634" t="s">
        <v>2234</v>
      </c>
      <c r="B634" t="s">
        <v>576</v>
      </c>
      <c r="C634" t="s">
        <v>2235</v>
      </c>
      <c r="D634" t="s">
        <v>2236</v>
      </c>
      <c r="E634" t="s">
        <v>2237</v>
      </c>
      <c r="F634" t="s">
        <v>1631</v>
      </c>
      <c r="G634" t="s">
        <v>2238</v>
      </c>
      <c r="H634" t="s">
        <v>119</v>
      </c>
      <c r="I634" t="s">
        <v>97</v>
      </c>
      <c r="J634" t="s">
        <v>98</v>
      </c>
      <c r="K634" t="s">
        <v>69</v>
      </c>
      <c r="L634" t="s">
        <v>2239</v>
      </c>
      <c r="M634" t="s">
        <v>71</v>
      </c>
      <c r="N634" t="s">
        <v>100</v>
      </c>
      <c r="O634" t="s">
        <v>1900</v>
      </c>
      <c r="P634" t="s">
        <v>1901</v>
      </c>
      <c r="R634" t="s">
        <v>1902</v>
      </c>
      <c r="S634" t="s">
        <v>1893</v>
      </c>
      <c r="T634" t="s">
        <v>76</v>
      </c>
      <c r="U634" t="s">
        <v>383</v>
      </c>
      <c r="V634" t="s">
        <v>124</v>
      </c>
      <c r="W634">
        <v>690</v>
      </c>
      <c r="X634">
        <v>29.99</v>
      </c>
      <c r="Y634">
        <v>89</v>
      </c>
      <c r="Z634">
        <v>499000</v>
      </c>
      <c r="AA634">
        <v>372600</v>
      </c>
      <c r="AB634">
        <v>246</v>
      </c>
      <c r="AD634" t="s">
        <v>238</v>
      </c>
      <c r="AE634">
        <v>2</v>
      </c>
      <c r="AF634">
        <v>30</v>
      </c>
      <c r="AI634">
        <v>20</v>
      </c>
      <c r="AJ634">
        <v>80</v>
      </c>
      <c r="AK634">
        <v>130</v>
      </c>
      <c r="AL634">
        <v>540</v>
      </c>
      <c r="AM634">
        <v>132</v>
      </c>
      <c r="AN634">
        <v>0</v>
      </c>
      <c r="AO634">
        <v>132</v>
      </c>
      <c r="AP634" t="s">
        <v>80</v>
      </c>
      <c r="AQ634" t="s">
        <v>176</v>
      </c>
      <c r="AR634" t="s">
        <v>261</v>
      </c>
      <c r="AS634" t="s">
        <v>261</v>
      </c>
      <c r="AT634" t="s">
        <v>261</v>
      </c>
      <c r="AU634" t="s">
        <v>261</v>
      </c>
      <c r="AV634" t="s">
        <v>2240</v>
      </c>
      <c r="AW634" t="s">
        <v>69</v>
      </c>
      <c r="AX634" t="s">
        <v>126</v>
      </c>
      <c r="AY634" t="s">
        <v>2241</v>
      </c>
      <c r="AZ634" t="s">
        <v>244</v>
      </c>
      <c r="BA634" t="s">
        <v>264</v>
      </c>
      <c r="BB634" t="s">
        <v>245</v>
      </c>
      <c r="BC634" t="s">
        <v>243</v>
      </c>
      <c r="BD634" t="s">
        <v>2246</v>
      </c>
      <c r="BE634" t="s">
        <v>2243</v>
      </c>
      <c r="BF634" t="s">
        <v>86</v>
      </c>
      <c r="BG634" t="s">
        <v>110</v>
      </c>
      <c r="BH634" t="str">
        <f>IF(COUNTIF(工作表1!A:A, $C634)&gt;0, "預購款", "非預購款")</f>
        <v>非預購款</v>
      </c>
    </row>
    <row r="635" spans="1:60" x14ac:dyDescent="0.25">
      <c r="A635" t="s">
        <v>2234</v>
      </c>
      <c r="B635" t="s">
        <v>576</v>
      </c>
      <c r="C635" t="s">
        <v>2235</v>
      </c>
      <c r="D635" t="s">
        <v>2236</v>
      </c>
      <c r="E635" t="s">
        <v>2237</v>
      </c>
      <c r="F635" t="s">
        <v>1631</v>
      </c>
      <c r="G635" t="s">
        <v>2238</v>
      </c>
      <c r="H635" t="s">
        <v>130</v>
      </c>
      <c r="I635" t="s">
        <v>97</v>
      </c>
      <c r="J635" t="s">
        <v>98</v>
      </c>
      <c r="K635" t="s">
        <v>69</v>
      </c>
      <c r="L635" t="s">
        <v>2239</v>
      </c>
      <c r="M635" t="s">
        <v>71</v>
      </c>
      <c r="N635" t="s">
        <v>100</v>
      </c>
      <c r="O635" t="s">
        <v>1900</v>
      </c>
      <c r="P635" t="s">
        <v>1901</v>
      </c>
      <c r="R635" t="s">
        <v>1902</v>
      </c>
      <c r="S635" t="s">
        <v>1893</v>
      </c>
      <c r="T635" t="s">
        <v>76</v>
      </c>
      <c r="U635" t="s">
        <v>383</v>
      </c>
      <c r="V635" t="s">
        <v>124</v>
      </c>
      <c r="W635">
        <v>690</v>
      </c>
      <c r="X635">
        <v>29.99</v>
      </c>
      <c r="Y635">
        <v>89</v>
      </c>
      <c r="Z635">
        <v>499000</v>
      </c>
      <c r="AA635">
        <v>372600</v>
      </c>
      <c r="AB635">
        <v>246</v>
      </c>
      <c r="AD635" t="s">
        <v>238</v>
      </c>
      <c r="AE635">
        <v>2</v>
      </c>
      <c r="AF635">
        <v>20</v>
      </c>
      <c r="AI635">
        <v>30</v>
      </c>
      <c r="AJ635">
        <v>50</v>
      </c>
      <c r="AK635">
        <v>100</v>
      </c>
      <c r="AL635">
        <v>540</v>
      </c>
      <c r="AM635">
        <v>96</v>
      </c>
      <c r="AN635">
        <v>0</v>
      </c>
      <c r="AO635">
        <v>96</v>
      </c>
      <c r="AP635" t="s">
        <v>80</v>
      </c>
      <c r="AQ635" t="s">
        <v>176</v>
      </c>
      <c r="AR635" t="s">
        <v>261</v>
      </c>
      <c r="AS635" t="s">
        <v>261</v>
      </c>
      <c r="AT635" t="s">
        <v>261</v>
      </c>
      <c r="AU635" t="s">
        <v>261</v>
      </c>
      <c r="AV635" t="s">
        <v>2240</v>
      </c>
      <c r="AW635" t="s">
        <v>69</v>
      </c>
      <c r="AX635" t="s">
        <v>126</v>
      </c>
      <c r="AY635" t="s">
        <v>2241</v>
      </c>
      <c r="AZ635" t="s">
        <v>244</v>
      </c>
      <c r="BA635" t="s">
        <v>264</v>
      </c>
      <c r="BB635" t="s">
        <v>245</v>
      </c>
      <c r="BC635" t="s">
        <v>243</v>
      </c>
      <c r="BD635" t="s">
        <v>2247</v>
      </c>
      <c r="BE635" t="s">
        <v>2243</v>
      </c>
      <c r="BF635" t="s">
        <v>86</v>
      </c>
      <c r="BG635" t="s">
        <v>110</v>
      </c>
      <c r="BH635" t="str">
        <f>IF(COUNTIF(工作表1!A:A, $C635)&gt;0, "預購款", "非預購款")</f>
        <v>非預購款</v>
      </c>
    </row>
    <row r="636" spans="1:60" x14ac:dyDescent="0.25">
      <c r="A636" t="s">
        <v>2234</v>
      </c>
      <c r="B636" t="s">
        <v>576</v>
      </c>
      <c r="C636" t="s">
        <v>2235</v>
      </c>
      <c r="D636" t="s">
        <v>2236</v>
      </c>
      <c r="E636" t="s">
        <v>2237</v>
      </c>
      <c r="F636" t="s">
        <v>1631</v>
      </c>
      <c r="G636" t="s">
        <v>2238</v>
      </c>
      <c r="H636" t="s">
        <v>132</v>
      </c>
      <c r="I636" t="s">
        <v>97</v>
      </c>
      <c r="J636" t="s">
        <v>98</v>
      </c>
      <c r="K636" t="s">
        <v>69</v>
      </c>
      <c r="L636" t="s">
        <v>2239</v>
      </c>
      <c r="M636" t="s">
        <v>71</v>
      </c>
      <c r="N636" t="s">
        <v>100</v>
      </c>
      <c r="O636" t="s">
        <v>1900</v>
      </c>
      <c r="P636" t="s">
        <v>1901</v>
      </c>
      <c r="R636" t="s">
        <v>1902</v>
      </c>
      <c r="S636" t="s">
        <v>1893</v>
      </c>
      <c r="T636" t="s">
        <v>76</v>
      </c>
      <c r="U636" t="s">
        <v>383</v>
      </c>
      <c r="V636" t="s">
        <v>124</v>
      </c>
      <c r="W636">
        <v>690</v>
      </c>
      <c r="X636">
        <v>29.99</v>
      </c>
      <c r="Y636">
        <v>89</v>
      </c>
      <c r="Z636">
        <v>499000</v>
      </c>
      <c r="AA636">
        <v>372600</v>
      </c>
      <c r="AB636">
        <v>246</v>
      </c>
      <c r="AD636" t="s">
        <v>238</v>
      </c>
      <c r="AE636">
        <v>2</v>
      </c>
      <c r="AF636">
        <v>10</v>
      </c>
      <c r="AI636">
        <v>20</v>
      </c>
      <c r="AJ636">
        <v>15</v>
      </c>
      <c r="AK636">
        <v>45</v>
      </c>
      <c r="AL636">
        <v>540</v>
      </c>
      <c r="AM636">
        <v>48</v>
      </c>
      <c r="AN636">
        <v>0</v>
      </c>
      <c r="AO636">
        <v>48</v>
      </c>
      <c r="AP636" t="s">
        <v>80</v>
      </c>
      <c r="AQ636" t="s">
        <v>176</v>
      </c>
      <c r="AR636" t="s">
        <v>261</v>
      </c>
      <c r="AS636" t="s">
        <v>261</v>
      </c>
      <c r="AT636" t="s">
        <v>261</v>
      </c>
      <c r="AU636" t="s">
        <v>261</v>
      </c>
      <c r="AV636" t="s">
        <v>2240</v>
      </c>
      <c r="AW636" t="s">
        <v>69</v>
      </c>
      <c r="AX636" t="s">
        <v>126</v>
      </c>
      <c r="AY636" t="s">
        <v>2241</v>
      </c>
      <c r="AZ636" t="s">
        <v>244</v>
      </c>
      <c r="BA636" t="s">
        <v>264</v>
      </c>
      <c r="BB636" t="s">
        <v>245</v>
      </c>
      <c r="BC636" t="s">
        <v>243</v>
      </c>
      <c r="BD636" t="s">
        <v>2248</v>
      </c>
      <c r="BE636" t="s">
        <v>2243</v>
      </c>
      <c r="BF636" t="s">
        <v>86</v>
      </c>
      <c r="BG636" t="s">
        <v>110</v>
      </c>
      <c r="BH636" t="str">
        <f>IF(COUNTIF(工作表1!A:A, $C636)&gt;0, "預購款", "非預購款")</f>
        <v>非預購款</v>
      </c>
    </row>
    <row r="637" spans="1:60" x14ac:dyDescent="0.25">
      <c r="A637" t="s">
        <v>719</v>
      </c>
      <c r="B637" t="s">
        <v>488</v>
      </c>
      <c r="C637" t="s">
        <v>720</v>
      </c>
      <c r="D637" t="s">
        <v>721</v>
      </c>
      <c r="E637" t="s">
        <v>722</v>
      </c>
      <c r="F637" t="s">
        <v>95</v>
      </c>
      <c r="G637" t="s">
        <v>723</v>
      </c>
      <c r="H637" t="s">
        <v>119</v>
      </c>
      <c r="I637" t="s">
        <v>111</v>
      </c>
      <c r="J637" t="s">
        <v>112</v>
      </c>
      <c r="K637" t="s">
        <v>69</v>
      </c>
      <c r="L637" t="s">
        <v>724</v>
      </c>
      <c r="M637" t="s">
        <v>71</v>
      </c>
      <c r="N637" t="s">
        <v>72</v>
      </c>
      <c r="O637" t="s">
        <v>725</v>
      </c>
      <c r="P637" t="s">
        <v>726</v>
      </c>
      <c r="R637" t="s">
        <v>727</v>
      </c>
      <c r="S637" t="s">
        <v>103</v>
      </c>
      <c r="T637" t="s">
        <v>258</v>
      </c>
      <c r="U637" t="s">
        <v>383</v>
      </c>
      <c r="V637" t="s">
        <v>384</v>
      </c>
      <c r="W637">
        <v>1180</v>
      </c>
      <c r="X637">
        <v>49.99</v>
      </c>
      <c r="Y637">
        <v>155</v>
      </c>
      <c r="Z637">
        <v>859000</v>
      </c>
      <c r="AA637">
        <v>3540</v>
      </c>
      <c r="AB637">
        <v>560</v>
      </c>
      <c r="AD637" t="s">
        <v>238</v>
      </c>
      <c r="AE637">
        <v>1</v>
      </c>
      <c r="AF637">
        <v>0</v>
      </c>
      <c r="AI637">
        <v>0</v>
      </c>
      <c r="AJ637">
        <v>1</v>
      </c>
      <c r="AK637">
        <v>1</v>
      </c>
      <c r="AL637">
        <v>3</v>
      </c>
      <c r="AM637">
        <v>1</v>
      </c>
      <c r="AN637">
        <v>0</v>
      </c>
      <c r="AO637">
        <v>1</v>
      </c>
      <c r="AP637" t="s">
        <v>80</v>
      </c>
      <c r="AQ637" t="s">
        <v>954</v>
      </c>
      <c r="AR637" t="s">
        <v>86</v>
      </c>
      <c r="AS637" t="s">
        <v>261</v>
      </c>
      <c r="AT637" t="s">
        <v>240</v>
      </c>
      <c r="AU637" t="s">
        <v>86</v>
      </c>
      <c r="AV637" t="s">
        <v>81</v>
      </c>
      <c r="AW637" t="s">
        <v>69</v>
      </c>
      <c r="AX637" t="s">
        <v>728</v>
      </c>
      <c r="AY637" t="s">
        <v>729</v>
      </c>
      <c r="AZ637" t="s">
        <v>245</v>
      </c>
      <c r="BA637" t="s">
        <v>245</v>
      </c>
      <c r="BB637" t="s">
        <v>244</v>
      </c>
      <c r="BC637" t="s">
        <v>245</v>
      </c>
      <c r="BD637" t="s">
        <v>730</v>
      </c>
      <c r="BE637" t="s">
        <v>2249</v>
      </c>
      <c r="BF637" t="s">
        <v>240</v>
      </c>
      <c r="BG637" t="s">
        <v>110</v>
      </c>
      <c r="BH637" t="str">
        <f>IF(COUNTIF(工作表1!A:A, $C637)&gt;0, "預購款", "非預購款")</f>
        <v>非預購款</v>
      </c>
    </row>
    <row r="638" spans="1:60" x14ac:dyDescent="0.25">
      <c r="A638" t="s">
        <v>719</v>
      </c>
      <c r="B638" t="s">
        <v>488</v>
      </c>
      <c r="C638" t="s">
        <v>720</v>
      </c>
      <c r="D638" t="s">
        <v>721</v>
      </c>
      <c r="E638" t="s">
        <v>722</v>
      </c>
      <c r="F638" t="s">
        <v>95</v>
      </c>
      <c r="G638" t="s">
        <v>723</v>
      </c>
      <c r="H638" t="s">
        <v>130</v>
      </c>
      <c r="I638" t="s">
        <v>111</v>
      </c>
      <c r="J638" t="s">
        <v>112</v>
      </c>
      <c r="K638" t="s">
        <v>69</v>
      </c>
      <c r="L638" t="s">
        <v>724</v>
      </c>
      <c r="M638" t="s">
        <v>71</v>
      </c>
      <c r="N638" t="s">
        <v>72</v>
      </c>
      <c r="O638" t="s">
        <v>725</v>
      </c>
      <c r="P638" t="s">
        <v>726</v>
      </c>
      <c r="R638" t="s">
        <v>727</v>
      </c>
      <c r="S638" t="s">
        <v>103</v>
      </c>
      <c r="T638" t="s">
        <v>258</v>
      </c>
      <c r="U638" t="s">
        <v>383</v>
      </c>
      <c r="V638" t="s">
        <v>384</v>
      </c>
      <c r="W638">
        <v>1180</v>
      </c>
      <c r="X638">
        <v>49.99</v>
      </c>
      <c r="Y638">
        <v>155</v>
      </c>
      <c r="Z638">
        <v>859000</v>
      </c>
      <c r="AA638">
        <v>3540</v>
      </c>
      <c r="AB638">
        <v>560</v>
      </c>
      <c r="AD638" t="s">
        <v>238</v>
      </c>
      <c r="AE638">
        <v>1</v>
      </c>
      <c r="AF638">
        <v>0</v>
      </c>
      <c r="AI638">
        <v>0</v>
      </c>
      <c r="AJ638">
        <v>1</v>
      </c>
      <c r="AK638">
        <v>1</v>
      </c>
      <c r="AL638">
        <v>3</v>
      </c>
      <c r="AM638">
        <v>1</v>
      </c>
      <c r="AN638">
        <v>0</v>
      </c>
      <c r="AO638">
        <v>1</v>
      </c>
      <c r="AP638" t="s">
        <v>80</v>
      </c>
      <c r="AQ638" t="s">
        <v>954</v>
      </c>
      <c r="AR638" t="s">
        <v>86</v>
      </c>
      <c r="AS638" t="s">
        <v>261</v>
      </c>
      <c r="AT638" t="s">
        <v>240</v>
      </c>
      <c r="AU638" t="s">
        <v>86</v>
      </c>
      <c r="AV638" t="s">
        <v>81</v>
      </c>
      <c r="AW638" t="s">
        <v>69</v>
      </c>
      <c r="AX638" t="s">
        <v>728</v>
      </c>
      <c r="AY638" t="s">
        <v>729</v>
      </c>
      <c r="AZ638" t="s">
        <v>245</v>
      </c>
      <c r="BA638" t="s">
        <v>245</v>
      </c>
      <c r="BB638" t="s">
        <v>244</v>
      </c>
      <c r="BC638" t="s">
        <v>245</v>
      </c>
      <c r="BD638" t="s">
        <v>732</v>
      </c>
      <c r="BE638" t="s">
        <v>2249</v>
      </c>
      <c r="BF638" t="s">
        <v>240</v>
      </c>
      <c r="BG638" t="s">
        <v>110</v>
      </c>
      <c r="BH638" t="str">
        <f>IF(COUNTIF(工作表1!A:A, $C638)&gt;0, "預購款", "非預購款")</f>
        <v>非預購款</v>
      </c>
    </row>
    <row r="639" spans="1:60" x14ac:dyDescent="0.25">
      <c r="A639" t="s">
        <v>719</v>
      </c>
      <c r="B639" t="s">
        <v>488</v>
      </c>
      <c r="C639" t="s">
        <v>720</v>
      </c>
      <c r="D639" t="s">
        <v>721</v>
      </c>
      <c r="E639" t="s">
        <v>722</v>
      </c>
      <c r="F639" t="s">
        <v>95</v>
      </c>
      <c r="G639" t="s">
        <v>723</v>
      </c>
      <c r="H639" t="s">
        <v>132</v>
      </c>
      <c r="I639" t="s">
        <v>111</v>
      </c>
      <c r="J639" t="s">
        <v>112</v>
      </c>
      <c r="K639" t="s">
        <v>69</v>
      </c>
      <c r="L639" t="s">
        <v>724</v>
      </c>
      <c r="M639" t="s">
        <v>71</v>
      </c>
      <c r="N639" t="s">
        <v>72</v>
      </c>
      <c r="O639" t="s">
        <v>725</v>
      </c>
      <c r="P639" t="s">
        <v>726</v>
      </c>
      <c r="R639" t="s">
        <v>727</v>
      </c>
      <c r="S639" t="s">
        <v>103</v>
      </c>
      <c r="T639" t="s">
        <v>258</v>
      </c>
      <c r="U639" t="s">
        <v>383</v>
      </c>
      <c r="V639" t="s">
        <v>384</v>
      </c>
      <c r="W639">
        <v>1180</v>
      </c>
      <c r="X639">
        <v>49.99</v>
      </c>
      <c r="Y639">
        <v>155</v>
      </c>
      <c r="Z639">
        <v>859000</v>
      </c>
      <c r="AA639">
        <v>3540</v>
      </c>
      <c r="AB639">
        <v>560</v>
      </c>
      <c r="AD639" t="s">
        <v>238</v>
      </c>
      <c r="AE639">
        <v>1</v>
      </c>
      <c r="AF639">
        <v>0</v>
      </c>
      <c r="AI639">
        <v>0</v>
      </c>
      <c r="AJ639">
        <v>1</v>
      </c>
      <c r="AK639">
        <v>1</v>
      </c>
      <c r="AL639">
        <v>3</v>
      </c>
      <c r="AM639">
        <v>1</v>
      </c>
      <c r="AN639">
        <v>0</v>
      </c>
      <c r="AO639">
        <v>1</v>
      </c>
      <c r="AP639" t="s">
        <v>80</v>
      </c>
      <c r="AQ639" t="s">
        <v>954</v>
      </c>
      <c r="AR639" t="s">
        <v>86</v>
      </c>
      <c r="AS639" t="s">
        <v>261</v>
      </c>
      <c r="AT639" t="s">
        <v>240</v>
      </c>
      <c r="AU639" t="s">
        <v>86</v>
      </c>
      <c r="AV639" t="s">
        <v>81</v>
      </c>
      <c r="AW639" t="s">
        <v>69</v>
      </c>
      <c r="AX639" t="s">
        <v>728</v>
      </c>
      <c r="AY639" t="s">
        <v>729</v>
      </c>
      <c r="AZ639" t="s">
        <v>245</v>
      </c>
      <c r="BA639" t="s">
        <v>245</v>
      </c>
      <c r="BB639" t="s">
        <v>244</v>
      </c>
      <c r="BC639" t="s">
        <v>245</v>
      </c>
      <c r="BD639" t="s">
        <v>733</v>
      </c>
      <c r="BE639" t="s">
        <v>2249</v>
      </c>
      <c r="BF639" t="s">
        <v>240</v>
      </c>
      <c r="BG639" t="s">
        <v>110</v>
      </c>
      <c r="BH639" t="str">
        <f>IF(COUNTIF(工作表1!A:A, $C639)&gt;0, "預購款", "非預購款")</f>
        <v>非預購款</v>
      </c>
    </row>
    <row r="640" spans="1:60" x14ac:dyDescent="0.25">
      <c r="A640" t="s">
        <v>719</v>
      </c>
      <c r="B640" t="s">
        <v>488</v>
      </c>
      <c r="C640" t="s">
        <v>720</v>
      </c>
      <c r="D640" t="s">
        <v>721</v>
      </c>
      <c r="E640" t="s">
        <v>722</v>
      </c>
      <c r="F640" t="s">
        <v>142</v>
      </c>
      <c r="G640" t="s">
        <v>723</v>
      </c>
      <c r="H640" t="s">
        <v>119</v>
      </c>
      <c r="I640" t="s">
        <v>120</v>
      </c>
      <c r="J640" t="s">
        <v>121</v>
      </c>
      <c r="K640" t="s">
        <v>69</v>
      </c>
      <c r="L640" t="s">
        <v>724</v>
      </c>
      <c r="M640" t="s">
        <v>71</v>
      </c>
      <c r="N640" t="s">
        <v>72</v>
      </c>
      <c r="O640" t="s">
        <v>725</v>
      </c>
      <c r="P640" t="s">
        <v>726</v>
      </c>
      <c r="R640" t="s">
        <v>727</v>
      </c>
      <c r="S640" t="s">
        <v>145</v>
      </c>
      <c r="T640" t="s">
        <v>258</v>
      </c>
      <c r="U640" t="s">
        <v>383</v>
      </c>
      <c r="V640" t="s">
        <v>384</v>
      </c>
      <c r="W640">
        <v>1180</v>
      </c>
      <c r="X640">
        <v>49.99</v>
      </c>
      <c r="Y640">
        <v>155</v>
      </c>
      <c r="Z640">
        <v>859000</v>
      </c>
      <c r="AA640">
        <v>2360</v>
      </c>
      <c r="AB640">
        <v>560</v>
      </c>
      <c r="AD640" t="s">
        <v>238</v>
      </c>
      <c r="AE640">
        <v>1</v>
      </c>
      <c r="AF640">
        <v>0</v>
      </c>
      <c r="AI640">
        <v>0</v>
      </c>
      <c r="AJ640">
        <v>1</v>
      </c>
      <c r="AK640">
        <v>1</v>
      </c>
      <c r="AL640">
        <v>2</v>
      </c>
      <c r="AM640">
        <v>1</v>
      </c>
      <c r="AN640">
        <v>0</v>
      </c>
      <c r="AO640">
        <v>1</v>
      </c>
      <c r="AP640" t="s">
        <v>80</v>
      </c>
      <c r="AQ640" t="s">
        <v>954</v>
      </c>
      <c r="AR640" t="s">
        <v>86</v>
      </c>
      <c r="AS640" t="s">
        <v>261</v>
      </c>
      <c r="AT640" t="s">
        <v>240</v>
      </c>
      <c r="AU640" t="s">
        <v>86</v>
      </c>
      <c r="AV640" t="s">
        <v>81</v>
      </c>
      <c r="AW640" t="s">
        <v>69</v>
      </c>
      <c r="AX640" t="s">
        <v>728</v>
      </c>
      <c r="AY640" t="s">
        <v>729</v>
      </c>
      <c r="AZ640" t="s">
        <v>245</v>
      </c>
      <c r="BA640" t="s">
        <v>245</v>
      </c>
      <c r="BB640" t="s">
        <v>244</v>
      </c>
      <c r="BC640" t="s">
        <v>245</v>
      </c>
      <c r="BD640" t="s">
        <v>955</v>
      </c>
      <c r="BE640" t="s">
        <v>2250</v>
      </c>
      <c r="BF640" t="s">
        <v>240</v>
      </c>
      <c r="BG640" t="s">
        <v>110</v>
      </c>
      <c r="BH640" t="str">
        <f>IF(COUNTIF(工作表1!A:A, $C640)&gt;0, "預購款", "非預購款")</f>
        <v>非預購款</v>
      </c>
    </row>
    <row r="641" spans="1:60" x14ac:dyDescent="0.25">
      <c r="A641" t="s">
        <v>719</v>
      </c>
      <c r="B641" t="s">
        <v>488</v>
      </c>
      <c r="C641" t="s">
        <v>720</v>
      </c>
      <c r="D641" t="s">
        <v>721</v>
      </c>
      <c r="E641" t="s">
        <v>722</v>
      </c>
      <c r="F641" t="s">
        <v>142</v>
      </c>
      <c r="G641" t="s">
        <v>723</v>
      </c>
      <c r="H641" t="s">
        <v>132</v>
      </c>
      <c r="I641" t="s">
        <v>120</v>
      </c>
      <c r="J641" t="s">
        <v>121</v>
      </c>
      <c r="K641" t="s">
        <v>69</v>
      </c>
      <c r="L641" t="s">
        <v>724</v>
      </c>
      <c r="M641" t="s">
        <v>71</v>
      </c>
      <c r="N641" t="s">
        <v>72</v>
      </c>
      <c r="O641" t="s">
        <v>725</v>
      </c>
      <c r="P641" t="s">
        <v>726</v>
      </c>
      <c r="R641" t="s">
        <v>727</v>
      </c>
      <c r="S641" t="s">
        <v>145</v>
      </c>
      <c r="T641" t="s">
        <v>258</v>
      </c>
      <c r="U641" t="s">
        <v>383</v>
      </c>
      <c r="V641" t="s">
        <v>384</v>
      </c>
      <c r="W641">
        <v>1180</v>
      </c>
      <c r="X641">
        <v>49.99</v>
      </c>
      <c r="Y641">
        <v>155</v>
      </c>
      <c r="Z641">
        <v>859000</v>
      </c>
      <c r="AA641">
        <v>2360</v>
      </c>
      <c r="AB641">
        <v>560</v>
      </c>
      <c r="AD641" t="s">
        <v>238</v>
      </c>
      <c r="AE641">
        <v>1</v>
      </c>
      <c r="AF641">
        <v>0</v>
      </c>
      <c r="AI641">
        <v>0</v>
      </c>
      <c r="AJ641">
        <v>1</v>
      </c>
      <c r="AK641">
        <v>1</v>
      </c>
      <c r="AL641">
        <v>2</v>
      </c>
      <c r="AM641">
        <v>1</v>
      </c>
      <c r="AN641">
        <v>0</v>
      </c>
      <c r="AO641">
        <v>1</v>
      </c>
      <c r="AP641" t="s">
        <v>80</v>
      </c>
      <c r="AQ641" t="s">
        <v>954</v>
      </c>
      <c r="AR641" t="s">
        <v>86</v>
      </c>
      <c r="AS641" t="s">
        <v>261</v>
      </c>
      <c r="AT641" t="s">
        <v>240</v>
      </c>
      <c r="AU641" t="s">
        <v>86</v>
      </c>
      <c r="AV641" t="s">
        <v>81</v>
      </c>
      <c r="AW641" t="s">
        <v>69</v>
      </c>
      <c r="AX641" t="s">
        <v>728</v>
      </c>
      <c r="AY641" t="s">
        <v>729</v>
      </c>
      <c r="AZ641" t="s">
        <v>245</v>
      </c>
      <c r="BA641" t="s">
        <v>245</v>
      </c>
      <c r="BB641" t="s">
        <v>244</v>
      </c>
      <c r="BC641" t="s">
        <v>245</v>
      </c>
      <c r="BD641" t="s">
        <v>958</v>
      </c>
      <c r="BE641" t="s">
        <v>2250</v>
      </c>
      <c r="BF641" t="s">
        <v>240</v>
      </c>
      <c r="BG641" t="s">
        <v>110</v>
      </c>
      <c r="BH641" t="str">
        <f>IF(COUNTIF(工作表1!A:A, $C641)&gt;0, "預購款", "非預購款")</f>
        <v>非預購款</v>
      </c>
    </row>
    <row r="642" spans="1:60" x14ac:dyDescent="0.25">
      <c r="A642" t="s">
        <v>2251</v>
      </c>
      <c r="B642" t="s">
        <v>1875</v>
      </c>
      <c r="C642" t="s">
        <v>2252</v>
      </c>
      <c r="D642" t="s">
        <v>2253</v>
      </c>
      <c r="E642" t="s">
        <v>2254</v>
      </c>
      <c r="F642" t="s">
        <v>174</v>
      </c>
      <c r="G642" t="s">
        <v>2253</v>
      </c>
      <c r="H642" t="s">
        <v>132</v>
      </c>
      <c r="I642" t="s">
        <v>120</v>
      </c>
      <c r="J642" t="s">
        <v>121</v>
      </c>
      <c r="K642" t="s">
        <v>69</v>
      </c>
      <c r="L642" t="s">
        <v>2255</v>
      </c>
      <c r="M642" t="s">
        <v>71</v>
      </c>
      <c r="N642" t="s">
        <v>198</v>
      </c>
      <c r="O642" t="s">
        <v>1648</v>
      </c>
      <c r="P642" t="s">
        <v>1649</v>
      </c>
      <c r="R642" t="s">
        <v>1650</v>
      </c>
      <c r="S642" t="s">
        <v>175</v>
      </c>
      <c r="T642" t="s">
        <v>258</v>
      </c>
      <c r="U642" t="s">
        <v>1876</v>
      </c>
      <c r="V642" t="s">
        <v>2256</v>
      </c>
      <c r="W642">
        <v>990</v>
      </c>
      <c r="X642">
        <v>39.99</v>
      </c>
      <c r="Y642">
        <v>129</v>
      </c>
      <c r="Z642">
        <v>709000</v>
      </c>
      <c r="AA642">
        <v>89100</v>
      </c>
      <c r="AB642">
        <v>0</v>
      </c>
      <c r="AD642" t="s">
        <v>238</v>
      </c>
      <c r="AE642">
        <v>1</v>
      </c>
      <c r="AF642">
        <v>0</v>
      </c>
      <c r="AI642">
        <v>0</v>
      </c>
      <c r="AJ642">
        <v>30</v>
      </c>
      <c r="AK642">
        <v>30</v>
      </c>
      <c r="AL642">
        <v>90</v>
      </c>
      <c r="AM642">
        <v>30</v>
      </c>
      <c r="AN642">
        <v>0</v>
      </c>
      <c r="AO642">
        <v>30</v>
      </c>
      <c r="AP642" t="s">
        <v>80</v>
      </c>
      <c r="AQ642" t="s">
        <v>2257</v>
      </c>
      <c r="AS642" t="s">
        <v>86</v>
      </c>
      <c r="AT642" t="s">
        <v>240</v>
      </c>
      <c r="AU642" t="s">
        <v>264</v>
      </c>
      <c r="AV642" t="s">
        <v>2258</v>
      </c>
      <c r="AW642" t="s">
        <v>69</v>
      </c>
      <c r="AX642" t="s">
        <v>2259</v>
      </c>
      <c r="AY642" t="s">
        <v>2260</v>
      </c>
      <c r="BD642" t="s">
        <v>2262</v>
      </c>
      <c r="BE642" t="s">
        <v>2261</v>
      </c>
      <c r="BH642" t="str">
        <f>IF(COUNTIF(工作表1!A:A, $C642)&gt;0, "預購款", "非預購款")</f>
        <v>非預購款</v>
      </c>
    </row>
    <row r="643" spans="1:60" x14ac:dyDescent="0.25">
      <c r="A643" t="s">
        <v>2273</v>
      </c>
      <c r="B643" t="s">
        <v>1875</v>
      </c>
      <c r="C643" t="s">
        <v>2274</v>
      </c>
      <c r="D643" t="s">
        <v>2275</v>
      </c>
      <c r="E643" t="s">
        <v>2276</v>
      </c>
      <c r="F643" t="s">
        <v>174</v>
      </c>
      <c r="G643" t="s">
        <v>2275</v>
      </c>
      <c r="H643" t="s">
        <v>119</v>
      </c>
      <c r="I643" t="s">
        <v>2277</v>
      </c>
      <c r="J643" t="s">
        <v>2278</v>
      </c>
      <c r="K643" t="s">
        <v>69</v>
      </c>
      <c r="L643" t="s">
        <v>2279</v>
      </c>
      <c r="M643" t="s">
        <v>71</v>
      </c>
      <c r="N643" t="s">
        <v>198</v>
      </c>
      <c r="O643" t="s">
        <v>1648</v>
      </c>
      <c r="P643" t="s">
        <v>1649</v>
      </c>
      <c r="R643" t="s">
        <v>1650</v>
      </c>
      <c r="S643" t="s">
        <v>175</v>
      </c>
      <c r="T643" t="s">
        <v>258</v>
      </c>
      <c r="U643" t="s">
        <v>1876</v>
      </c>
      <c r="V643" t="s">
        <v>1877</v>
      </c>
      <c r="W643">
        <v>1880</v>
      </c>
      <c r="X643">
        <v>74.989999999999995</v>
      </c>
      <c r="Y643">
        <v>239</v>
      </c>
      <c r="Z643">
        <v>1359000</v>
      </c>
      <c r="AA643">
        <v>733200</v>
      </c>
      <c r="AB643">
        <v>1300</v>
      </c>
      <c r="AD643" t="s">
        <v>238</v>
      </c>
      <c r="AE643">
        <v>2</v>
      </c>
      <c r="AF643">
        <v>6</v>
      </c>
      <c r="AI643">
        <v>24</v>
      </c>
      <c r="AJ643">
        <v>30</v>
      </c>
      <c r="AK643">
        <v>60</v>
      </c>
      <c r="AL643">
        <v>390</v>
      </c>
      <c r="AM643">
        <v>0</v>
      </c>
      <c r="AN643">
        <v>0</v>
      </c>
      <c r="AO643">
        <v>0</v>
      </c>
      <c r="AP643" t="s">
        <v>69</v>
      </c>
      <c r="AS643" t="s">
        <v>86</v>
      </c>
      <c r="AT643" t="s">
        <v>240</v>
      </c>
      <c r="AU643" t="s">
        <v>240</v>
      </c>
      <c r="AV643" t="s">
        <v>2280</v>
      </c>
      <c r="AW643" t="s">
        <v>69</v>
      </c>
      <c r="AX643" t="s">
        <v>2281</v>
      </c>
      <c r="AY643" t="s">
        <v>2282</v>
      </c>
      <c r="BD643" t="s">
        <v>2283</v>
      </c>
      <c r="BE643" t="s">
        <v>2284</v>
      </c>
      <c r="BH643" t="str">
        <f>IF(COUNTIF(工作表1!A:A, $C643)&gt;0, "預購款", "非預購款")</f>
        <v>非預購款</v>
      </c>
    </row>
    <row r="644" spans="1:60" x14ac:dyDescent="0.25">
      <c r="A644" t="s">
        <v>2273</v>
      </c>
      <c r="B644" t="s">
        <v>1875</v>
      </c>
      <c r="C644" t="s">
        <v>2274</v>
      </c>
      <c r="D644" t="s">
        <v>2275</v>
      </c>
      <c r="E644" t="s">
        <v>2276</v>
      </c>
      <c r="F644" t="s">
        <v>174</v>
      </c>
      <c r="G644" t="s">
        <v>2275</v>
      </c>
      <c r="H644" t="s">
        <v>130</v>
      </c>
      <c r="I644" t="s">
        <v>2277</v>
      </c>
      <c r="J644" t="s">
        <v>2278</v>
      </c>
      <c r="K644" t="s">
        <v>69</v>
      </c>
      <c r="L644" t="s">
        <v>2279</v>
      </c>
      <c r="M644" t="s">
        <v>71</v>
      </c>
      <c r="N644" t="s">
        <v>198</v>
      </c>
      <c r="O644" t="s">
        <v>1648</v>
      </c>
      <c r="P644" t="s">
        <v>1649</v>
      </c>
      <c r="R644" t="s">
        <v>1650</v>
      </c>
      <c r="S644" t="s">
        <v>175</v>
      </c>
      <c r="T644" t="s">
        <v>258</v>
      </c>
      <c r="U644" t="s">
        <v>1876</v>
      </c>
      <c r="V644" t="s">
        <v>1877</v>
      </c>
      <c r="W644">
        <v>1880</v>
      </c>
      <c r="X644">
        <v>74.989999999999995</v>
      </c>
      <c r="Y644">
        <v>239</v>
      </c>
      <c r="Z644">
        <v>1359000</v>
      </c>
      <c r="AA644">
        <v>733200</v>
      </c>
      <c r="AB644">
        <v>1300</v>
      </c>
      <c r="AD644" t="s">
        <v>238</v>
      </c>
      <c r="AE644">
        <v>2</v>
      </c>
      <c r="AF644">
        <v>0</v>
      </c>
      <c r="AI644">
        <v>0</v>
      </c>
      <c r="AJ644">
        <v>120</v>
      </c>
      <c r="AK644">
        <v>120</v>
      </c>
      <c r="AL644">
        <v>390</v>
      </c>
      <c r="AM644">
        <v>0</v>
      </c>
      <c r="AN644">
        <v>0</v>
      </c>
      <c r="AO644">
        <v>0</v>
      </c>
      <c r="AP644" t="s">
        <v>69</v>
      </c>
      <c r="AS644" t="s">
        <v>86</v>
      </c>
      <c r="AT644" t="s">
        <v>240</v>
      </c>
      <c r="AU644" t="s">
        <v>240</v>
      </c>
      <c r="AV644" t="s">
        <v>2280</v>
      </c>
      <c r="AW644" t="s">
        <v>69</v>
      </c>
      <c r="AX644" t="s">
        <v>2281</v>
      </c>
      <c r="AY644" t="s">
        <v>2282</v>
      </c>
      <c r="BD644" t="s">
        <v>2285</v>
      </c>
      <c r="BE644" t="s">
        <v>2284</v>
      </c>
      <c r="BH644" t="str">
        <f>IF(COUNTIF(工作表1!A:A, $C644)&gt;0, "預購款", "非預購款")</f>
        <v>非預購款</v>
      </c>
    </row>
    <row r="645" spans="1:60" x14ac:dyDescent="0.25">
      <c r="A645" t="s">
        <v>2273</v>
      </c>
      <c r="B645" t="s">
        <v>1875</v>
      </c>
      <c r="C645" t="s">
        <v>2274</v>
      </c>
      <c r="D645" t="s">
        <v>2275</v>
      </c>
      <c r="E645" t="s">
        <v>2276</v>
      </c>
      <c r="F645" t="s">
        <v>174</v>
      </c>
      <c r="G645" t="s">
        <v>2275</v>
      </c>
      <c r="H645" t="s">
        <v>132</v>
      </c>
      <c r="I645" t="s">
        <v>2277</v>
      </c>
      <c r="J645" t="s">
        <v>2278</v>
      </c>
      <c r="K645" t="s">
        <v>69</v>
      </c>
      <c r="L645" t="s">
        <v>2279</v>
      </c>
      <c r="M645" t="s">
        <v>71</v>
      </c>
      <c r="N645" t="s">
        <v>198</v>
      </c>
      <c r="O645" t="s">
        <v>1648</v>
      </c>
      <c r="P645" t="s">
        <v>1649</v>
      </c>
      <c r="R645" t="s">
        <v>1650</v>
      </c>
      <c r="S645" t="s">
        <v>175</v>
      </c>
      <c r="T645" t="s">
        <v>258</v>
      </c>
      <c r="U645" t="s">
        <v>1876</v>
      </c>
      <c r="V645" t="s">
        <v>1877</v>
      </c>
      <c r="W645">
        <v>1880</v>
      </c>
      <c r="X645">
        <v>74.989999999999995</v>
      </c>
      <c r="Y645">
        <v>239</v>
      </c>
      <c r="Z645">
        <v>1359000</v>
      </c>
      <c r="AA645">
        <v>733200</v>
      </c>
      <c r="AB645">
        <v>1300</v>
      </c>
      <c r="AD645" t="s">
        <v>238</v>
      </c>
      <c r="AE645">
        <v>2</v>
      </c>
      <c r="AF645">
        <v>0</v>
      </c>
      <c r="AI645">
        <v>0</v>
      </c>
      <c r="AJ645">
        <v>60</v>
      </c>
      <c r="AK645">
        <v>60</v>
      </c>
      <c r="AL645">
        <v>390</v>
      </c>
      <c r="AM645">
        <v>0</v>
      </c>
      <c r="AN645">
        <v>0</v>
      </c>
      <c r="AO645">
        <v>0</v>
      </c>
      <c r="AP645" t="s">
        <v>69</v>
      </c>
      <c r="AS645" t="s">
        <v>86</v>
      </c>
      <c r="AT645" t="s">
        <v>240</v>
      </c>
      <c r="AU645" t="s">
        <v>240</v>
      </c>
      <c r="AV645" t="s">
        <v>2280</v>
      </c>
      <c r="AW645" t="s">
        <v>69</v>
      </c>
      <c r="AX645" t="s">
        <v>2281</v>
      </c>
      <c r="AY645" t="s">
        <v>2282</v>
      </c>
      <c r="BD645" t="s">
        <v>2286</v>
      </c>
      <c r="BE645" t="s">
        <v>2284</v>
      </c>
      <c r="BH645" t="str">
        <f>IF(COUNTIF(工作表1!A:A, $C645)&gt;0, "預購款", "非預購款")</f>
        <v>非預購款</v>
      </c>
    </row>
    <row r="646" spans="1:60" x14ac:dyDescent="0.25">
      <c r="A646" t="s">
        <v>2273</v>
      </c>
      <c r="B646" t="s">
        <v>1875</v>
      </c>
      <c r="C646" t="s">
        <v>2274</v>
      </c>
      <c r="D646" t="s">
        <v>2275</v>
      </c>
      <c r="E646" t="s">
        <v>2276</v>
      </c>
      <c r="F646" t="s">
        <v>174</v>
      </c>
      <c r="G646" t="s">
        <v>2275</v>
      </c>
      <c r="H646" t="s">
        <v>119</v>
      </c>
      <c r="I646" t="s">
        <v>171</v>
      </c>
      <c r="J646" t="s">
        <v>172</v>
      </c>
      <c r="K646" t="s">
        <v>69</v>
      </c>
      <c r="L646" t="s">
        <v>2279</v>
      </c>
      <c r="M646" t="s">
        <v>71</v>
      </c>
      <c r="N646" t="s">
        <v>198</v>
      </c>
      <c r="O646" t="s">
        <v>1648</v>
      </c>
      <c r="P646" t="s">
        <v>1649</v>
      </c>
      <c r="R646" t="s">
        <v>1650</v>
      </c>
      <c r="S646" t="s">
        <v>175</v>
      </c>
      <c r="T646" t="s">
        <v>258</v>
      </c>
      <c r="U646" t="s">
        <v>1876</v>
      </c>
      <c r="V646" t="s">
        <v>1877</v>
      </c>
      <c r="W646">
        <v>1880</v>
      </c>
      <c r="X646">
        <v>74.989999999999995</v>
      </c>
      <c r="Y646">
        <v>239</v>
      </c>
      <c r="Z646">
        <v>1359000</v>
      </c>
      <c r="AA646">
        <v>733200</v>
      </c>
      <c r="AB646">
        <v>1300</v>
      </c>
      <c r="AD646" t="s">
        <v>238</v>
      </c>
      <c r="AE646">
        <v>2</v>
      </c>
      <c r="AF646">
        <v>0</v>
      </c>
      <c r="AI646">
        <v>30</v>
      </c>
      <c r="AJ646">
        <v>60</v>
      </c>
      <c r="AK646">
        <v>90</v>
      </c>
      <c r="AL646">
        <v>390</v>
      </c>
      <c r="AM646">
        <v>0</v>
      </c>
      <c r="AN646">
        <v>0</v>
      </c>
      <c r="AO646">
        <v>0</v>
      </c>
      <c r="AP646" t="s">
        <v>69</v>
      </c>
      <c r="AT646" t="s">
        <v>240</v>
      </c>
      <c r="AU646" t="s">
        <v>240</v>
      </c>
      <c r="AV646" t="s">
        <v>2280</v>
      </c>
      <c r="AW646" t="s">
        <v>69</v>
      </c>
      <c r="AX646" t="s">
        <v>2281</v>
      </c>
      <c r="AY646" t="s">
        <v>2282</v>
      </c>
      <c r="BD646" t="s">
        <v>2287</v>
      </c>
      <c r="BE646" t="s">
        <v>2284</v>
      </c>
      <c r="BH646" t="str">
        <f>IF(COUNTIF(工作表1!A:A, $C646)&gt;0, "預購款", "非預購款")</f>
        <v>非預購款</v>
      </c>
    </row>
    <row r="647" spans="1:60" x14ac:dyDescent="0.25">
      <c r="A647" t="s">
        <v>2273</v>
      </c>
      <c r="B647" t="s">
        <v>1875</v>
      </c>
      <c r="C647" t="s">
        <v>2274</v>
      </c>
      <c r="D647" t="s">
        <v>2275</v>
      </c>
      <c r="E647" t="s">
        <v>2276</v>
      </c>
      <c r="F647" t="s">
        <v>174</v>
      </c>
      <c r="G647" t="s">
        <v>2275</v>
      </c>
      <c r="H647" t="s">
        <v>130</v>
      </c>
      <c r="I647" t="s">
        <v>171</v>
      </c>
      <c r="J647" t="s">
        <v>172</v>
      </c>
      <c r="K647" t="s">
        <v>69</v>
      </c>
      <c r="L647" t="s">
        <v>2279</v>
      </c>
      <c r="M647" t="s">
        <v>71</v>
      </c>
      <c r="N647" t="s">
        <v>198</v>
      </c>
      <c r="O647" t="s">
        <v>1648</v>
      </c>
      <c r="P647" t="s">
        <v>1649</v>
      </c>
      <c r="R647" t="s">
        <v>1650</v>
      </c>
      <c r="S647" t="s">
        <v>175</v>
      </c>
      <c r="T647" t="s">
        <v>258</v>
      </c>
      <c r="U647" t="s">
        <v>1876</v>
      </c>
      <c r="V647" t="s">
        <v>1877</v>
      </c>
      <c r="W647">
        <v>1880</v>
      </c>
      <c r="X647">
        <v>74.989999999999995</v>
      </c>
      <c r="Y647">
        <v>239</v>
      </c>
      <c r="Z647">
        <v>1359000</v>
      </c>
      <c r="AA647">
        <v>733200</v>
      </c>
      <c r="AB647">
        <v>1300</v>
      </c>
      <c r="AD647" t="s">
        <v>238</v>
      </c>
      <c r="AE647">
        <v>2</v>
      </c>
      <c r="AF647">
        <v>0</v>
      </c>
      <c r="AI647">
        <v>15</v>
      </c>
      <c r="AJ647">
        <v>15</v>
      </c>
      <c r="AK647">
        <v>30</v>
      </c>
      <c r="AL647">
        <v>390</v>
      </c>
      <c r="AM647">
        <v>0</v>
      </c>
      <c r="AN647">
        <v>0</v>
      </c>
      <c r="AO647">
        <v>0</v>
      </c>
      <c r="AP647" t="s">
        <v>69</v>
      </c>
      <c r="AT647" t="s">
        <v>240</v>
      </c>
      <c r="AU647" t="s">
        <v>240</v>
      </c>
      <c r="AV647" t="s">
        <v>2280</v>
      </c>
      <c r="AW647" t="s">
        <v>69</v>
      </c>
      <c r="AX647" t="s">
        <v>2281</v>
      </c>
      <c r="AY647" t="s">
        <v>2282</v>
      </c>
      <c r="BD647" t="s">
        <v>2288</v>
      </c>
      <c r="BE647" t="s">
        <v>2284</v>
      </c>
      <c r="BH647" t="str">
        <f>IF(COUNTIF(工作表1!A:A, $C647)&gt;0, "預購款", "非預購款")</f>
        <v>非預購款</v>
      </c>
    </row>
    <row r="648" spans="1:60" x14ac:dyDescent="0.25">
      <c r="A648" t="s">
        <v>2273</v>
      </c>
      <c r="B648" t="s">
        <v>1875</v>
      </c>
      <c r="C648" t="s">
        <v>2274</v>
      </c>
      <c r="D648" t="s">
        <v>2275</v>
      </c>
      <c r="E648" t="s">
        <v>2276</v>
      </c>
      <c r="F648" t="s">
        <v>174</v>
      </c>
      <c r="G648" t="s">
        <v>2275</v>
      </c>
      <c r="H648" t="s">
        <v>132</v>
      </c>
      <c r="I648" t="s">
        <v>171</v>
      </c>
      <c r="J648" t="s">
        <v>172</v>
      </c>
      <c r="K648" t="s">
        <v>69</v>
      </c>
      <c r="L648" t="s">
        <v>2279</v>
      </c>
      <c r="M648" t="s">
        <v>71</v>
      </c>
      <c r="N648" t="s">
        <v>198</v>
      </c>
      <c r="O648" t="s">
        <v>1648</v>
      </c>
      <c r="P648" t="s">
        <v>1649</v>
      </c>
      <c r="R648" t="s">
        <v>1650</v>
      </c>
      <c r="S648" t="s">
        <v>175</v>
      </c>
      <c r="T648" t="s">
        <v>258</v>
      </c>
      <c r="U648" t="s">
        <v>1876</v>
      </c>
      <c r="V648" t="s">
        <v>1877</v>
      </c>
      <c r="W648">
        <v>1880</v>
      </c>
      <c r="X648">
        <v>74.989999999999995</v>
      </c>
      <c r="Y648">
        <v>239</v>
      </c>
      <c r="Z648">
        <v>1359000</v>
      </c>
      <c r="AA648">
        <v>733200</v>
      </c>
      <c r="AB648">
        <v>1300</v>
      </c>
      <c r="AD648" t="s">
        <v>238</v>
      </c>
      <c r="AE648">
        <v>2</v>
      </c>
      <c r="AF648">
        <v>0</v>
      </c>
      <c r="AI648">
        <v>15</v>
      </c>
      <c r="AJ648">
        <v>15</v>
      </c>
      <c r="AK648">
        <v>30</v>
      </c>
      <c r="AL648">
        <v>390</v>
      </c>
      <c r="AM648">
        <v>0</v>
      </c>
      <c r="AN648">
        <v>0</v>
      </c>
      <c r="AO648">
        <v>0</v>
      </c>
      <c r="AP648" t="s">
        <v>69</v>
      </c>
      <c r="AT648" t="s">
        <v>240</v>
      </c>
      <c r="AU648" t="s">
        <v>240</v>
      </c>
      <c r="AV648" t="s">
        <v>2280</v>
      </c>
      <c r="AW648" t="s">
        <v>69</v>
      </c>
      <c r="AX648" t="s">
        <v>2281</v>
      </c>
      <c r="AY648" t="s">
        <v>2282</v>
      </c>
      <c r="BD648" t="s">
        <v>2289</v>
      </c>
      <c r="BE648" t="s">
        <v>2284</v>
      </c>
      <c r="BH648" t="str">
        <f>IF(COUNTIF(工作表1!A:A, $C648)&gt;0, "預購款", "非預購款")</f>
        <v>非預購款</v>
      </c>
    </row>
    <row r="649" spans="1:60" x14ac:dyDescent="0.25">
      <c r="A649" t="s">
        <v>1367</v>
      </c>
      <c r="B649" t="s">
        <v>576</v>
      </c>
      <c r="C649" t="s">
        <v>1368</v>
      </c>
      <c r="D649" t="s">
        <v>1369</v>
      </c>
      <c r="E649" t="s">
        <v>1370</v>
      </c>
      <c r="F649" t="s">
        <v>178</v>
      </c>
      <c r="G649" t="s">
        <v>1371</v>
      </c>
      <c r="H649" t="s">
        <v>119</v>
      </c>
      <c r="I649" t="s">
        <v>97</v>
      </c>
      <c r="J649" t="s">
        <v>98</v>
      </c>
      <c r="K649" t="s">
        <v>69</v>
      </c>
      <c r="L649" t="s">
        <v>1372</v>
      </c>
      <c r="M649" t="s">
        <v>71</v>
      </c>
      <c r="N649" t="s">
        <v>100</v>
      </c>
      <c r="O649" t="s">
        <v>1136</v>
      </c>
      <c r="P649" t="s">
        <v>1137</v>
      </c>
      <c r="R649" t="s">
        <v>1138</v>
      </c>
      <c r="S649" t="s">
        <v>179</v>
      </c>
      <c r="T649" t="s">
        <v>76</v>
      </c>
      <c r="U649" t="s">
        <v>123</v>
      </c>
      <c r="V649" t="s">
        <v>124</v>
      </c>
      <c r="W649">
        <v>690</v>
      </c>
      <c r="X649">
        <v>29.99</v>
      </c>
      <c r="Y649">
        <v>89</v>
      </c>
      <c r="Z649">
        <v>499000</v>
      </c>
      <c r="AA649">
        <v>75900</v>
      </c>
      <c r="AB649">
        <v>266</v>
      </c>
      <c r="AD649" t="s">
        <v>238</v>
      </c>
      <c r="AE649">
        <v>1</v>
      </c>
      <c r="AF649">
        <v>0</v>
      </c>
      <c r="AI649">
        <v>0</v>
      </c>
      <c r="AJ649">
        <v>80</v>
      </c>
      <c r="AK649">
        <v>80</v>
      </c>
      <c r="AL649">
        <v>110</v>
      </c>
      <c r="AM649">
        <v>84</v>
      </c>
      <c r="AN649">
        <v>0</v>
      </c>
      <c r="AO649">
        <v>84</v>
      </c>
      <c r="AP649" t="s">
        <v>80</v>
      </c>
      <c r="AQ649" t="s">
        <v>176</v>
      </c>
      <c r="AR649" t="s">
        <v>240</v>
      </c>
      <c r="AS649" t="s">
        <v>240</v>
      </c>
      <c r="AT649" t="s">
        <v>240</v>
      </c>
      <c r="AU649" t="s">
        <v>86</v>
      </c>
      <c r="AV649" t="s">
        <v>983</v>
      </c>
      <c r="AW649" t="s">
        <v>69</v>
      </c>
      <c r="AX649" t="s">
        <v>1373</v>
      </c>
      <c r="AY649" t="s">
        <v>858</v>
      </c>
      <c r="AZ649" t="s">
        <v>264</v>
      </c>
      <c r="BA649" t="s">
        <v>244</v>
      </c>
      <c r="BB649" t="s">
        <v>245</v>
      </c>
      <c r="BC649" t="s">
        <v>244</v>
      </c>
      <c r="BD649" t="s">
        <v>1637</v>
      </c>
      <c r="BE649" t="s">
        <v>2295</v>
      </c>
      <c r="BF649" t="s">
        <v>86</v>
      </c>
      <c r="BG649" t="s">
        <v>1374</v>
      </c>
      <c r="BH649" t="str">
        <f>IF(COUNTIF(工作表1!A:A, $C649)&gt;0, "預購款", "非預購款")</f>
        <v>非預購款</v>
      </c>
    </row>
    <row r="650" spans="1:60" x14ac:dyDescent="0.25">
      <c r="A650" t="s">
        <v>1367</v>
      </c>
      <c r="B650" t="s">
        <v>576</v>
      </c>
      <c r="C650" t="s">
        <v>1368</v>
      </c>
      <c r="D650" t="s">
        <v>1369</v>
      </c>
      <c r="E650" t="s">
        <v>1370</v>
      </c>
      <c r="F650" t="s">
        <v>178</v>
      </c>
      <c r="G650" t="s">
        <v>1371</v>
      </c>
      <c r="H650" t="s">
        <v>130</v>
      </c>
      <c r="I650" t="s">
        <v>97</v>
      </c>
      <c r="J650" t="s">
        <v>98</v>
      </c>
      <c r="K650" t="s">
        <v>69</v>
      </c>
      <c r="L650" t="s">
        <v>1372</v>
      </c>
      <c r="M650" t="s">
        <v>71</v>
      </c>
      <c r="N650" t="s">
        <v>100</v>
      </c>
      <c r="O650" t="s">
        <v>1136</v>
      </c>
      <c r="P650" t="s">
        <v>1137</v>
      </c>
      <c r="R650" t="s">
        <v>1138</v>
      </c>
      <c r="S650" t="s">
        <v>179</v>
      </c>
      <c r="T650" t="s">
        <v>76</v>
      </c>
      <c r="U650" t="s">
        <v>123</v>
      </c>
      <c r="V650" t="s">
        <v>124</v>
      </c>
      <c r="W650">
        <v>690</v>
      </c>
      <c r="X650">
        <v>29.99</v>
      </c>
      <c r="Y650">
        <v>89</v>
      </c>
      <c r="Z650">
        <v>499000</v>
      </c>
      <c r="AA650">
        <v>75900</v>
      </c>
      <c r="AB650">
        <v>266</v>
      </c>
      <c r="AD650" t="s">
        <v>238</v>
      </c>
      <c r="AE650">
        <v>1</v>
      </c>
      <c r="AF650">
        <v>0</v>
      </c>
      <c r="AI650">
        <v>0</v>
      </c>
      <c r="AJ650">
        <v>20</v>
      </c>
      <c r="AK650">
        <v>20</v>
      </c>
      <c r="AL650">
        <v>110</v>
      </c>
      <c r="AM650">
        <v>26</v>
      </c>
      <c r="AN650">
        <v>0</v>
      </c>
      <c r="AO650">
        <v>26</v>
      </c>
      <c r="AP650" t="s">
        <v>80</v>
      </c>
      <c r="AQ650" t="s">
        <v>176</v>
      </c>
      <c r="AR650" t="s">
        <v>240</v>
      </c>
      <c r="AS650" t="s">
        <v>240</v>
      </c>
      <c r="AT650" t="s">
        <v>240</v>
      </c>
      <c r="AU650" t="s">
        <v>86</v>
      </c>
      <c r="AV650" t="s">
        <v>983</v>
      </c>
      <c r="AW650" t="s">
        <v>69</v>
      </c>
      <c r="AX650" t="s">
        <v>1373</v>
      </c>
      <c r="AY650" t="s">
        <v>858</v>
      </c>
      <c r="AZ650" t="s">
        <v>264</v>
      </c>
      <c r="BA650" t="s">
        <v>244</v>
      </c>
      <c r="BB650" t="s">
        <v>245</v>
      </c>
      <c r="BC650" t="s">
        <v>244</v>
      </c>
      <c r="BD650" t="s">
        <v>1639</v>
      </c>
      <c r="BE650" t="s">
        <v>2295</v>
      </c>
      <c r="BF650" t="s">
        <v>86</v>
      </c>
      <c r="BG650" t="s">
        <v>1374</v>
      </c>
      <c r="BH650" t="str">
        <f>IF(COUNTIF(工作表1!A:A, $C650)&gt;0, "預購款", "非預購款")</f>
        <v>非預購款</v>
      </c>
    </row>
    <row r="651" spans="1:60" x14ac:dyDescent="0.25">
      <c r="A651" t="s">
        <v>1367</v>
      </c>
      <c r="B651" t="s">
        <v>576</v>
      </c>
      <c r="C651" t="s">
        <v>1368</v>
      </c>
      <c r="D651" t="s">
        <v>1369</v>
      </c>
      <c r="E651" t="s">
        <v>1370</v>
      </c>
      <c r="F651" t="s">
        <v>178</v>
      </c>
      <c r="G651" t="s">
        <v>1371</v>
      </c>
      <c r="H651" t="s">
        <v>132</v>
      </c>
      <c r="I651" t="s">
        <v>97</v>
      </c>
      <c r="J651" t="s">
        <v>98</v>
      </c>
      <c r="K651" t="s">
        <v>69</v>
      </c>
      <c r="L651" t="s">
        <v>1372</v>
      </c>
      <c r="M651" t="s">
        <v>71</v>
      </c>
      <c r="N651" t="s">
        <v>100</v>
      </c>
      <c r="O651" t="s">
        <v>1136</v>
      </c>
      <c r="P651" t="s">
        <v>1137</v>
      </c>
      <c r="R651" t="s">
        <v>1138</v>
      </c>
      <c r="S651" t="s">
        <v>179</v>
      </c>
      <c r="T651" t="s">
        <v>76</v>
      </c>
      <c r="U651" t="s">
        <v>123</v>
      </c>
      <c r="V651" t="s">
        <v>124</v>
      </c>
      <c r="W651">
        <v>690</v>
      </c>
      <c r="X651">
        <v>29.99</v>
      </c>
      <c r="Y651">
        <v>89</v>
      </c>
      <c r="Z651">
        <v>499000</v>
      </c>
      <c r="AA651">
        <v>75900</v>
      </c>
      <c r="AB651">
        <v>266</v>
      </c>
      <c r="AD651" t="s">
        <v>238</v>
      </c>
      <c r="AE651">
        <v>1</v>
      </c>
      <c r="AF651">
        <v>0</v>
      </c>
      <c r="AI651">
        <v>0</v>
      </c>
      <c r="AJ651">
        <v>10</v>
      </c>
      <c r="AK651">
        <v>10</v>
      </c>
      <c r="AL651">
        <v>110</v>
      </c>
      <c r="AM651">
        <v>15</v>
      </c>
      <c r="AN651">
        <v>0</v>
      </c>
      <c r="AO651">
        <v>15</v>
      </c>
      <c r="AP651" t="s">
        <v>80</v>
      </c>
      <c r="AQ651" t="s">
        <v>176</v>
      </c>
      <c r="AR651" t="s">
        <v>240</v>
      </c>
      <c r="AS651" t="s">
        <v>240</v>
      </c>
      <c r="AT651" t="s">
        <v>240</v>
      </c>
      <c r="AU651" t="s">
        <v>86</v>
      </c>
      <c r="AV651" t="s">
        <v>983</v>
      </c>
      <c r="AW651" t="s">
        <v>69</v>
      </c>
      <c r="AX651" t="s">
        <v>1373</v>
      </c>
      <c r="AY651" t="s">
        <v>858</v>
      </c>
      <c r="AZ651" t="s">
        <v>264</v>
      </c>
      <c r="BA651" t="s">
        <v>244</v>
      </c>
      <c r="BB651" t="s">
        <v>245</v>
      </c>
      <c r="BC651" t="s">
        <v>244</v>
      </c>
      <c r="BD651" t="s">
        <v>1640</v>
      </c>
      <c r="BE651" t="s">
        <v>2295</v>
      </c>
      <c r="BF651" t="s">
        <v>86</v>
      </c>
      <c r="BG651" t="s">
        <v>1374</v>
      </c>
      <c r="BH651" t="str">
        <f>IF(COUNTIF(工作表1!A:A, $C651)&gt;0, "預購款", "非預購款")</f>
        <v>非預購款</v>
      </c>
    </row>
    <row r="652" spans="1:60" x14ac:dyDescent="0.25">
      <c r="A652" t="s">
        <v>2198</v>
      </c>
      <c r="B652" t="s">
        <v>576</v>
      </c>
      <c r="C652" t="s">
        <v>2199</v>
      </c>
      <c r="D652" t="s">
        <v>2200</v>
      </c>
      <c r="E652" t="s">
        <v>2201</v>
      </c>
      <c r="F652" t="s">
        <v>178</v>
      </c>
      <c r="G652" t="s">
        <v>2202</v>
      </c>
      <c r="H652" t="s">
        <v>66</v>
      </c>
      <c r="I652" t="s">
        <v>97</v>
      </c>
      <c r="J652" t="s">
        <v>98</v>
      </c>
      <c r="K652" t="s">
        <v>69</v>
      </c>
      <c r="L652" t="s">
        <v>1390</v>
      </c>
      <c r="M652" t="s">
        <v>71</v>
      </c>
      <c r="N652" t="s">
        <v>100</v>
      </c>
      <c r="O652" t="s">
        <v>1391</v>
      </c>
      <c r="P652" t="s">
        <v>1392</v>
      </c>
      <c r="R652" t="s">
        <v>1393</v>
      </c>
      <c r="S652" t="s">
        <v>179</v>
      </c>
      <c r="T652" t="s">
        <v>258</v>
      </c>
      <c r="U652" t="s">
        <v>104</v>
      </c>
      <c r="V652" t="s">
        <v>99</v>
      </c>
      <c r="W652">
        <v>790</v>
      </c>
      <c r="X652">
        <v>34.99</v>
      </c>
      <c r="Y652">
        <v>99</v>
      </c>
      <c r="Z652">
        <v>569000</v>
      </c>
      <c r="AA652">
        <v>300200</v>
      </c>
      <c r="AB652">
        <v>165</v>
      </c>
      <c r="AD652" t="s">
        <v>238</v>
      </c>
      <c r="AE652">
        <v>3</v>
      </c>
      <c r="AF652">
        <v>0</v>
      </c>
      <c r="AI652">
        <v>0</v>
      </c>
      <c r="AJ652">
        <v>150</v>
      </c>
      <c r="AK652">
        <v>150</v>
      </c>
      <c r="AL652">
        <v>380</v>
      </c>
      <c r="AM652">
        <v>152</v>
      </c>
      <c r="AN652">
        <v>0</v>
      </c>
      <c r="AO652">
        <v>152</v>
      </c>
      <c r="AP652" t="s">
        <v>80</v>
      </c>
      <c r="AQ652" t="s">
        <v>176</v>
      </c>
      <c r="AR652" t="s">
        <v>240</v>
      </c>
      <c r="AS652" t="s">
        <v>86</v>
      </c>
      <c r="AT652" t="s">
        <v>240</v>
      </c>
      <c r="AU652" t="s">
        <v>86</v>
      </c>
      <c r="AV652" t="s">
        <v>2203</v>
      </c>
      <c r="AW652" t="s">
        <v>69</v>
      </c>
      <c r="AX652" t="s">
        <v>262</v>
      </c>
      <c r="AY652" t="s">
        <v>2204</v>
      </c>
      <c r="AZ652" t="s">
        <v>264</v>
      </c>
      <c r="BA652" t="s">
        <v>243</v>
      </c>
      <c r="BB652" t="s">
        <v>264</v>
      </c>
      <c r="BC652" t="s">
        <v>264</v>
      </c>
      <c r="BD652" t="s">
        <v>2296</v>
      </c>
      <c r="BE652" t="s">
        <v>2297</v>
      </c>
      <c r="BF652" t="s">
        <v>240</v>
      </c>
      <c r="BG652" t="s">
        <v>110</v>
      </c>
      <c r="BH652" t="str">
        <f>IF(COUNTIF(工作表1!A:A, $C652)&gt;0, "預購款", "非預購款")</f>
        <v>非預購款</v>
      </c>
    </row>
    <row r="653" spans="1:60" x14ac:dyDescent="0.25">
      <c r="A653" t="s">
        <v>2198</v>
      </c>
      <c r="B653" t="s">
        <v>576</v>
      </c>
      <c r="C653" t="s">
        <v>2199</v>
      </c>
      <c r="D653" t="s">
        <v>2200</v>
      </c>
      <c r="E653" t="s">
        <v>2201</v>
      </c>
      <c r="F653" t="s">
        <v>178</v>
      </c>
      <c r="G653" t="s">
        <v>2202</v>
      </c>
      <c r="H653" t="s">
        <v>66</v>
      </c>
      <c r="I653" t="s">
        <v>422</v>
      </c>
      <c r="J653" t="s">
        <v>423</v>
      </c>
      <c r="K653" t="s">
        <v>69</v>
      </c>
      <c r="L653" t="s">
        <v>1390</v>
      </c>
      <c r="M653" t="s">
        <v>71</v>
      </c>
      <c r="N653" t="s">
        <v>100</v>
      </c>
      <c r="O653" t="s">
        <v>1391</v>
      </c>
      <c r="P653" t="s">
        <v>1392</v>
      </c>
      <c r="R653" t="s">
        <v>1393</v>
      </c>
      <c r="S653" t="s">
        <v>179</v>
      </c>
      <c r="T653" t="s">
        <v>258</v>
      </c>
      <c r="U653" t="s">
        <v>104</v>
      </c>
      <c r="V653" t="s">
        <v>99</v>
      </c>
      <c r="W653">
        <v>790</v>
      </c>
      <c r="X653">
        <v>34.99</v>
      </c>
      <c r="Y653">
        <v>99</v>
      </c>
      <c r="Z653">
        <v>569000</v>
      </c>
      <c r="AA653">
        <v>300200</v>
      </c>
      <c r="AB653">
        <v>165</v>
      </c>
      <c r="AD653" t="s">
        <v>238</v>
      </c>
      <c r="AE653">
        <v>3</v>
      </c>
      <c r="AF653">
        <v>0</v>
      </c>
      <c r="AI653">
        <v>40</v>
      </c>
      <c r="AJ653">
        <v>100</v>
      </c>
      <c r="AK653">
        <v>140</v>
      </c>
      <c r="AL653">
        <v>380</v>
      </c>
      <c r="AM653">
        <v>150</v>
      </c>
      <c r="AN653">
        <v>0</v>
      </c>
      <c r="AO653">
        <v>150</v>
      </c>
      <c r="AP653" t="s">
        <v>80</v>
      </c>
      <c r="AQ653" t="s">
        <v>176</v>
      </c>
      <c r="AR653" t="s">
        <v>240</v>
      </c>
      <c r="AS653" t="s">
        <v>86</v>
      </c>
      <c r="AT653" t="s">
        <v>240</v>
      </c>
      <c r="AU653" t="s">
        <v>86</v>
      </c>
      <c r="AV653" t="s">
        <v>2203</v>
      </c>
      <c r="AW653" t="s">
        <v>69</v>
      </c>
      <c r="AX653" t="s">
        <v>262</v>
      </c>
      <c r="AY653" t="s">
        <v>2204</v>
      </c>
      <c r="AZ653" t="s">
        <v>264</v>
      </c>
      <c r="BA653" t="s">
        <v>243</v>
      </c>
      <c r="BB653" t="s">
        <v>264</v>
      </c>
      <c r="BC653" t="s">
        <v>264</v>
      </c>
      <c r="BD653" t="s">
        <v>2298</v>
      </c>
      <c r="BE653" t="s">
        <v>2297</v>
      </c>
      <c r="BF653" t="s">
        <v>240</v>
      </c>
      <c r="BG653" t="s">
        <v>110</v>
      </c>
      <c r="BH653" t="str">
        <f>IF(COUNTIF(工作表1!A:A, $C653)&gt;0, "預購款", "非預購款")</f>
        <v>非預購款</v>
      </c>
    </row>
    <row r="654" spans="1:60" x14ac:dyDescent="0.25">
      <c r="A654" t="s">
        <v>2198</v>
      </c>
      <c r="B654" t="s">
        <v>576</v>
      </c>
      <c r="C654" t="s">
        <v>2199</v>
      </c>
      <c r="D654" t="s">
        <v>2200</v>
      </c>
      <c r="E654" t="s">
        <v>2201</v>
      </c>
      <c r="F654" t="s">
        <v>178</v>
      </c>
      <c r="G654" t="s">
        <v>2202</v>
      </c>
      <c r="H654" t="s">
        <v>66</v>
      </c>
      <c r="I654" t="s">
        <v>88</v>
      </c>
      <c r="J654" t="s">
        <v>89</v>
      </c>
      <c r="K654" t="s">
        <v>69</v>
      </c>
      <c r="L654" t="s">
        <v>1390</v>
      </c>
      <c r="M654" t="s">
        <v>71</v>
      </c>
      <c r="N654" t="s">
        <v>100</v>
      </c>
      <c r="O654" t="s">
        <v>1391</v>
      </c>
      <c r="P654" t="s">
        <v>1392</v>
      </c>
      <c r="R654" t="s">
        <v>1393</v>
      </c>
      <c r="S654" t="s">
        <v>179</v>
      </c>
      <c r="T654" t="s">
        <v>258</v>
      </c>
      <c r="U654" t="s">
        <v>104</v>
      </c>
      <c r="V654" t="s">
        <v>99</v>
      </c>
      <c r="W654">
        <v>790</v>
      </c>
      <c r="X654">
        <v>34.99</v>
      </c>
      <c r="Y654">
        <v>99</v>
      </c>
      <c r="Z654">
        <v>569000</v>
      </c>
      <c r="AA654">
        <v>300200</v>
      </c>
      <c r="AB654">
        <v>165</v>
      </c>
      <c r="AD654" t="s">
        <v>238</v>
      </c>
      <c r="AE654">
        <v>3</v>
      </c>
      <c r="AF654">
        <v>0</v>
      </c>
      <c r="AI654">
        <v>20</v>
      </c>
      <c r="AJ654">
        <v>70</v>
      </c>
      <c r="AK654">
        <v>90</v>
      </c>
      <c r="AL654">
        <v>380</v>
      </c>
      <c r="AM654">
        <v>82</v>
      </c>
      <c r="AN654">
        <v>0</v>
      </c>
      <c r="AO654">
        <v>82</v>
      </c>
      <c r="AP654" t="s">
        <v>80</v>
      </c>
      <c r="AQ654" t="s">
        <v>176</v>
      </c>
      <c r="AR654" t="s">
        <v>240</v>
      </c>
      <c r="AS654" t="s">
        <v>86</v>
      </c>
      <c r="AT654" t="s">
        <v>240</v>
      </c>
      <c r="AU654" t="s">
        <v>86</v>
      </c>
      <c r="AV654" t="s">
        <v>2203</v>
      </c>
      <c r="AW654" t="s">
        <v>69</v>
      </c>
      <c r="AX654" t="s">
        <v>262</v>
      </c>
      <c r="AY654" t="s">
        <v>2204</v>
      </c>
      <c r="AZ654" t="s">
        <v>264</v>
      </c>
      <c r="BA654" t="s">
        <v>243</v>
      </c>
      <c r="BB654" t="s">
        <v>264</v>
      </c>
      <c r="BC654" t="s">
        <v>264</v>
      </c>
      <c r="BD654" t="s">
        <v>2205</v>
      </c>
      <c r="BE654" t="s">
        <v>2297</v>
      </c>
      <c r="BF654" t="s">
        <v>240</v>
      </c>
      <c r="BG654" t="s">
        <v>110</v>
      </c>
      <c r="BH654" t="str">
        <f>IF(COUNTIF(工作表1!A:A, $C654)&gt;0, "預購款", "非預購款")</f>
        <v>非預購款</v>
      </c>
    </row>
    <row r="655" spans="1:60" x14ac:dyDescent="0.25">
      <c r="A655" t="s">
        <v>2207</v>
      </c>
      <c r="B655" t="s">
        <v>576</v>
      </c>
      <c r="C655" t="s">
        <v>2208</v>
      </c>
      <c r="D655" t="s">
        <v>2209</v>
      </c>
      <c r="E655" t="s">
        <v>2210</v>
      </c>
      <c r="F655" t="s">
        <v>178</v>
      </c>
      <c r="G655" t="s">
        <v>2211</v>
      </c>
      <c r="H655" t="s">
        <v>66</v>
      </c>
      <c r="I655" t="s">
        <v>97</v>
      </c>
      <c r="J655" t="s">
        <v>98</v>
      </c>
      <c r="K655" t="s">
        <v>80</v>
      </c>
      <c r="L655" t="s">
        <v>2212</v>
      </c>
      <c r="M655" t="s">
        <v>71</v>
      </c>
      <c r="N655" t="s">
        <v>100</v>
      </c>
      <c r="O655" t="s">
        <v>1900</v>
      </c>
      <c r="P655" t="s">
        <v>1901</v>
      </c>
      <c r="R655" t="s">
        <v>1902</v>
      </c>
      <c r="S655" t="s">
        <v>179</v>
      </c>
      <c r="T655" t="s">
        <v>291</v>
      </c>
      <c r="U655" t="s">
        <v>104</v>
      </c>
      <c r="V655" t="s">
        <v>2213</v>
      </c>
      <c r="W655">
        <v>790</v>
      </c>
      <c r="X655">
        <v>34.99</v>
      </c>
      <c r="Y655">
        <v>99</v>
      </c>
      <c r="Z655">
        <v>569000</v>
      </c>
      <c r="AA655">
        <v>79000</v>
      </c>
      <c r="AB655">
        <v>370</v>
      </c>
      <c r="AD655" t="s">
        <v>238</v>
      </c>
      <c r="AE655">
        <v>1</v>
      </c>
      <c r="AF655">
        <v>0</v>
      </c>
      <c r="AI655">
        <v>0</v>
      </c>
      <c r="AJ655">
        <v>100</v>
      </c>
      <c r="AK655">
        <v>100</v>
      </c>
      <c r="AL655">
        <v>100</v>
      </c>
      <c r="AM655">
        <v>98</v>
      </c>
      <c r="AN655">
        <v>0</v>
      </c>
      <c r="AO655">
        <v>98</v>
      </c>
      <c r="AP655" t="s">
        <v>80</v>
      </c>
      <c r="AQ655" t="s">
        <v>176</v>
      </c>
      <c r="AT655" t="s">
        <v>86</v>
      </c>
      <c r="AU655" t="s">
        <v>240</v>
      </c>
      <c r="AV655" t="s">
        <v>2214</v>
      </c>
      <c r="AW655" t="s">
        <v>69</v>
      </c>
      <c r="AX655" t="s">
        <v>126</v>
      </c>
      <c r="AY655" t="s">
        <v>2215</v>
      </c>
      <c r="AZ655" t="s">
        <v>264</v>
      </c>
      <c r="BA655" t="s">
        <v>310</v>
      </c>
      <c r="BB655" t="s">
        <v>244</v>
      </c>
      <c r="BC655" t="s">
        <v>244</v>
      </c>
      <c r="BD655" t="s">
        <v>2216</v>
      </c>
      <c r="BE655" t="s">
        <v>2299</v>
      </c>
      <c r="BF655" t="s">
        <v>291</v>
      </c>
      <c r="BG655" t="s">
        <v>110</v>
      </c>
      <c r="BH655" t="str">
        <f>IF(COUNTIF(工作表1!A:A, $C655)&gt;0, "預購款", "非預購款")</f>
        <v>非預購款</v>
      </c>
    </row>
    <row r="656" spans="1:60" x14ac:dyDescent="0.25">
      <c r="A656" t="s">
        <v>2300</v>
      </c>
      <c r="B656" t="s">
        <v>576</v>
      </c>
      <c r="C656" t="s">
        <v>2301</v>
      </c>
      <c r="D656" t="s">
        <v>2302</v>
      </c>
      <c r="E656" t="s">
        <v>2303</v>
      </c>
      <c r="F656" t="s">
        <v>178</v>
      </c>
      <c r="G656" t="s">
        <v>2304</v>
      </c>
      <c r="H656" t="s">
        <v>119</v>
      </c>
      <c r="I656" t="s">
        <v>120</v>
      </c>
      <c r="J656" t="s">
        <v>121</v>
      </c>
      <c r="K656" t="s">
        <v>69</v>
      </c>
      <c r="L656" t="s">
        <v>2305</v>
      </c>
      <c r="M656" t="s">
        <v>71</v>
      </c>
      <c r="N656" t="s">
        <v>100</v>
      </c>
      <c r="O656" t="s">
        <v>2306</v>
      </c>
      <c r="P656" t="s">
        <v>2307</v>
      </c>
      <c r="R656" t="s">
        <v>1588</v>
      </c>
      <c r="S656" t="s">
        <v>179</v>
      </c>
      <c r="T656" t="s">
        <v>291</v>
      </c>
      <c r="U656" t="s">
        <v>104</v>
      </c>
      <c r="V656" t="s">
        <v>2047</v>
      </c>
      <c r="W656">
        <v>690</v>
      </c>
      <c r="X656">
        <v>29.99</v>
      </c>
      <c r="Y656">
        <v>89</v>
      </c>
      <c r="Z656">
        <v>499000</v>
      </c>
      <c r="AA656">
        <v>151800</v>
      </c>
      <c r="AB656">
        <v>240</v>
      </c>
      <c r="AD656" t="s">
        <v>238</v>
      </c>
      <c r="AE656">
        <v>1</v>
      </c>
      <c r="AF656">
        <v>0</v>
      </c>
      <c r="AI656">
        <v>0</v>
      </c>
      <c r="AJ656">
        <v>115</v>
      </c>
      <c r="AK656">
        <v>115</v>
      </c>
      <c r="AL656">
        <v>220</v>
      </c>
      <c r="AM656">
        <v>112</v>
      </c>
      <c r="AN656">
        <v>0</v>
      </c>
      <c r="AO656">
        <v>112</v>
      </c>
      <c r="AP656" t="s">
        <v>80</v>
      </c>
      <c r="AQ656" t="s">
        <v>179</v>
      </c>
      <c r="AT656" t="s">
        <v>240</v>
      </c>
      <c r="AU656" t="s">
        <v>240</v>
      </c>
      <c r="AV656" t="s">
        <v>2308</v>
      </c>
      <c r="AW656" t="s">
        <v>69</v>
      </c>
      <c r="AX656" t="s">
        <v>126</v>
      </c>
      <c r="AY656" t="s">
        <v>2309</v>
      </c>
      <c r="AZ656" t="s">
        <v>244</v>
      </c>
      <c r="BA656" t="s">
        <v>243</v>
      </c>
      <c r="BB656" t="s">
        <v>264</v>
      </c>
      <c r="BC656" t="s">
        <v>264</v>
      </c>
      <c r="BD656" t="s">
        <v>2310</v>
      </c>
      <c r="BE656" t="s">
        <v>2311</v>
      </c>
      <c r="BF656" t="s">
        <v>291</v>
      </c>
      <c r="BG656" t="s">
        <v>110</v>
      </c>
      <c r="BH656" t="str">
        <f>IF(COUNTIF(工作表1!A:A, $C656)&gt;0, "預購款", "非預購款")</f>
        <v>非預購款</v>
      </c>
    </row>
    <row r="657" spans="1:60" x14ac:dyDescent="0.25">
      <c r="A657" t="s">
        <v>2300</v>
      </c>
      <c r="B657" t="s">
        <v>576</v>
      </c>
      <c r="C657" t="s">
        <v>2301</v>
      </c>
      <c r="D657" t="s">
        <v>2302</v>
      </c>
      <c r="E657" t="s">
        <v>2303</v>
      </c>
      <c r="F657" t="s">
        <v>178</v>
      </c>
      <c r="G657" t="s">
        <v>2304</v>
      </c>
      <c r="H657" t="s">
        <v>130</v>
      </c>
      <c r="I657" t="s">
        <v>120</v>
      </c>
      <c r="J657" t="s">
        <v>121</v>
      </c>
      <c r="K657" t="s">
        <v>69</v>
      </c>
      <c r="L657" t="s">
        <v>2305</v>
      </c>
      <c r="M657" t="s">
        <v>71</v>
      </c>
      <c r="N657" t="s">
        <v>100</v>
      </c>
      <c r="O657" t="s">
        <v>2306</v>
      </c>
      <c r="P657" t="s">
        <v>2307</v>
      </c>
      <c r="R657" t="s">
        <v>1588</v>
      </c>
      <c r="S657" t="s">
        <v>179</v>
      </c>
      <c r="T657" t="s">
        <v>291</v>
      </c>
      <c r="U657" t="s">
        <v>104</v>
      </c>
      <c r="V657" t="s">
        <v>2047</v>
      </c>
      <c r="W657">
        <v>690</v>
      </c>
      <c r="X657">
        <v>29.99</v>
      </c>
      <c r="Y657">
        <v>89</v>
      </c>
      <c r="Z657">
        <v>499000</v>
      </c>
      <c r="AA657">
        <v>151800</v>
      </c>
      <c r="AB657">
        <v>240</v>
      </c>
      <c r="AD657" t="s">
        <v>238</v>
      </c>
      <c r="AE657">
        <v>1</v>
      </c>
      <c r="AF657">
        <v>0</v>
      </c>
      <c r="AI657">
        <v>0</v>
      </c>
      <c r="AJ657">
        <v>80</v>
      </c>
      <c r="AK657">
        <v>80</v>
      </c>
      <c r="AL657">
        <v>220</v>
      </c>
      <c r="AM657">
        <v>80</v>
      </c>
      <c r="AN657">
        <v>0</v>
      </c>
      <c r="AO657">
        <v>80</v>
      </c>
      <c r="AP657" t="s">
        <v>80</v>
      </c>
      <c r="AQ657" t="s">
        <v>179</v>
      </c>
      <c r="AT657" t="s">
        <v>240</v>
      </c>
      <c r="AU657" t="s">
        <v>240</v>
      </c>
      <c r="AV657" t="s">
        <v>2308</v>
      </c>
      <c r="AW657" t="s">
        <v>69</v>
      </c>
      <c r="AX657" t="s">
        <v>126</v>
      </c>
      <c r="AY657" t="s">
        <v>2309</v>
      </c>
      <c r="AZ657" t="s">
        <v>244</v>
      </c>
      <c r="BA657" t="s">
        <v>243</v>
      </c>
      <c r="BB657" t="s">
        <v>264</v>
      </c>
      <c r="BC657" t="s">
        <v>264</v>
      </c>
      <c r="BD657" t="s">
        <v>2312</v>
      </c>
      <c r="BE657" t="s">
        <v>2311</v>
      </c>
      <c r="BF657" t="s">
        <v>291</v>
      </c>
      <c r="BG657" t="s">
        <v>110</v>
      </c>
      <c r="BH657" t="str">
        <f>IF(COUNTIF(工作表1!A:A, $C657)&gt;0, "預購款", "非預購款")</f>
        <v>非預購款</v>
      </c>
    </row>
    <row r="658" spans="1:60" x14ac:dyDescent="0.25">
      <c r="A658" t="s">
        <v>2300</v>
      </c>
      <c r="B658" t="s">
        <v>576</v>
      </c>
      <c r="C658" t="s">
        <v>2301</v>
      </c>
      <c r="D658" t="s">
        <v>2302</v>
      </c>
      <c r="E658" t="s">
        <v>2303</v>
      </c>
      <c r="F658" t="s">
        <v>178</v>
      </c>
      <c r="G658" t="s">
        <v>2304</v>
      </c>
      <c r="H658" t="s">
        <v>132</v>
      </c>
      <c r="I658" t="s">
        <v>120</v>
      </c>
      <c r="J658" t="s">
        <v>121</v>
      </c>
      <c r="K658" t="s">
        <v>69</v>
      </c>
      <c r="L658" t="s">
        <v>2305</v>
      </c>
      <c r="M658" t="s">
        <v>71</v>
      </c>
      <c r="N658" t="s">
        <v>100</v>
      </c>
      <c r="O658" t="s">
        <v>2306</v>
      </c>
      <c r="P658" t="s">
        <v>2307</v>
      </c>
      <c r="R658" t="s">
        <v>1588</v>
      </c>
      <c r="S658" t="s">
        <v>179</v>
      </c>
      <c r="T658" t="s">
        <v>291</v>
      </c>
      <c r="U658" t="s">
        <v>104</v>
      </c>
      <c r="V658" t="s">
        <v>2047</v>
      </c>
      <c r="W658">
        <v>690</v>
      </c>
      <c r="X658">
        <v>29.99</v>
      </c>
      <c r="Y658">
        <v>89</v>
      </c>
      <c r="Z658">
        <v>499000</v>
      </c>
      <c r="AA658">
        <v>151800</v>
      </c>
      <c r="AB658">
        <v>240</v>
      </c>
      <c r="AD658" t="s">
        <v>238</v>
      </c>
      <c r="AE658">
        <v>1</v>
      </c>
      <c r="AF658">
        <v>0</v>
      </c>
      <c r="AI658">
        <v>0</v>
      </c>
      <c r="AJ658">
        <v>25</v>
      </c>
      <c r="AK658">
        <v>25</v>
      </c>
      <c r="AL658">
        <v>220</v>
      </c>
      <c r="AM658">
        <v>24</v>
      </c>
      <c r="AN658">
        <v>0</v>
      </c>
      <c r="AO658">
        <v>24</v>
      </c>
      <c r="AP658" t="s">
        <v>80</v>
      </c>
      <c r="AQ658" t="s">
        <v>179</v>
      </c>
      <c r="AT658" t="s">
        <v>240</v>
      </c>
      <c r="AU658" t="s">
        <v>240</v>
      </c>
      <c r="AV658" t="s">
        <v>2308</v>
      </c>
      <c r="AW658" t="s">
        <v>69</v>
      </c>
      <c r="AX658" t="s">
        <v>126</v>
      </c>
      <c r="AY658" t="s">
        <v>2309</v>
      </c>
      <c r="AZ658" t="s">
        <v>244</v>
      </c>
      <c r="BA658" t="s">
        <v>243</v>
      </c>
      <c r="BB658" t="s">
        <v>264</v>
      </c>
      <c r="BC658" t="s">
        <v>264</v>
      </c>
      <c r="BD658" t="s">
        <v>2313</v>
      </c>
      <c r="BE658" t="s">
        <v>2311</v>
      </c>
      <c r="BF658" t="s">
        <v>291</v>
      </c>
      <c r="BG658" t="s">
        <v>110</v>
      </c>
      <c r="BH658" t="str">
        <f>IF(COUNTIF(工作表1!A:A, $C658)&gt;0, "預購款", "非預購款")</f>
        <v>非預購款</v>
      </c>
    </row>
    <row r="659" spans="1:60" x14ac:dyDescent="0.25">
      <c r="A659" t="s">
        <v>2314</v>
      </c>
      <c r="B659" t="s">
        <v>576</v>
      </c>
      <c r="C659" t="s">
        <v>2315</v>
      </c>
      <c r="D659" t="s">
        <v>2316</v>
      </c>
      <c r="E659" t="s">
        <v>2317</v>
      </c>
      <c r="F659" t="s">
        <v>178</v>
      </c>
      <c r="G659" t="s">
        <v>2318</v>
      </c>
      <c r="H659" t="s">
        <v>119</v>
      </c>
      <c r="I659" t="s">
        <v>120</v>
      </c>
      <c r="J659" t="s">
        <v>121</v>
      </c>
      <c r="K659" t="s">
        <v>69</v>
      </c>
      <c r="L659" t="s">
        <v>2319</v>
      </c>
      <c r="M659" t="s">
        <v>71</v>
      </c>
      <c r="N659" t="s">
        <v>100</v>
      </c>
      <c r="O659" t="s">
        <v>2306</v>
      </c>
      <c r="P659" t="s">
        <v>2307</v>
      </c>
      <c r="R659" t="s">
        <v>1588</v>
      </c>
      <c r="S659" t="s">
        <v>179</v>
      </c>
      <c r="T659" t="s">
        <v>291</v>
      </c>
      <c r="U659" t="s">
        <v>123</v>
      </c>
      <c r="V659" t="s">
        <v>321</v>
      </c>
      <c r="W659">
        <v>690</v>
      </c>
      <c r="X659">
        <v>29.99</v>
      </c>
      <c r="Y659">
        <v>89</v>
      </c>
      <c r="Z659">
        <v>499000</v>
      </c>
      <c r="AA659">
        <v>127650</v>
      </c>
      <c r="AB659">
        <v>190</v>
      </c>
      <c r="AD659" t="s">
        <v>238</v>
      </c>
      <c r="AE659">
        <v>1</v>
      </c>
      <c r="AF659">
        <v>0</v>
      </c>
      <c r="AI659">
        <v>15</v>
      </c>
      <c r="AJ659">
        <v>65</v>
      </c>
      <c r="AK659">
        <v>80</v>
      </c>
      <c r="AL659">
        <v>185</v>
      </c>
      <c r="AM659">
        <v>90</v>
      </c>
      <c r="AN659">
        <v>0</v>
      </c>
      <c r="AO659">
        <v>90</v>
      </c>
      <c r="AP659" t="s">
        <v>80</v>
      </c>
      <c r="AQ659" t="s">
        <v>179</v>
      </c>
      <c r="AT659" t="s">
        <v>86</v>
      </c>
      <c r="AU659" t="s">
        <v>86</v>
      </c>
      <c r="AV659" t="s">
        <v>2320</v>
      </c>
      <c r="AW659" t="s">
        <v>69</v>
      </c>
      <c r="AX659" t="s">
        <v>126</v>
      </c>
      <c r="AY659" t="s">
        <v>2321</v>
      </c>
      <c r="AZ659" t="s">
        <v>244</v>
      </c>
      <c r="BA659" t="s">
        <v>245</v>
      </c>
      <c r="BB659" t="s">
        <v>264</v>
      </c>
      <c r="BC659" t="s">
        <v>264</v>
      </c>
      <c r="BD659" t="s">
        <v>2322</v>
      </c>
      <c r="BE659" t="s">
        <v>2323</v>
      </c>
      <c r="BF659" t="s">
        <v>291</v>
      </c>
      <c r="BG659" t="s">
        <v>110</v>
      </c>
      <c r="BH659" t="str">
        <f>IF(COUNTIF(工作表1!A:A, $C659)&gt;0, "預購款", "非預購款")</f>
        <v>非預購款</v>
      </c>
    </row>
    <row r="660" spans="1:60" x14ac:dyDescent="0.25">
      <c r="A660" t="s">
        <v>2314</v>
      </c>
      <c r="B660" t="s">
        <v>576</v>
      </c>
      <c r="C660" t="s">
        <v>2315</v>
      </c>
      <c r="D660" t="s">
        <v>2316</v>
      </c>
      <c r="E660" t="s">
        <v>2317</v>
      </c>
      <c r="F660" t="s">
        <v>178</v>
      </c>
      <c r="G660" t="s">
        <v>2318</v>
      </c>
      <c r="H660" t="s">
        <v>130</v>
      </c>
      <c r="I660" t="s">
        <v>120</v>
      </c>
      <c r="J660" t="s">
        <v>121</v>
      </c>
      <c r="K660" t="s">
        <v>69</v>
      </c>
      <c r="L660" t="s">
        <v>2319</v>
      </c>
      <c r="M660" t="s">
        <v>71</v>
      </c>
      <c r="N660" t="s">
        <v>100</v>
      </c>
      <c r="O660" t="s">
        <v>2306</v>
      </c>
      <c r="P660" t="s">
        <v>2307</v>
      </c>
      <c r="R660" t="s">
        <v>1588</v>
      </c>
      <c r="S660" t="s">
        <v>179</v>
      </c>
      <c r="T660" t="s">
        <v>291</v>
      </c>
      <c r="U660" t="s">
        <v>123</v>
      </c>
      <c r="V660" t="s">
        <v>321</v>
      </c>
      <c r="W660">
        <v>690</v>
      </c>
      <c r="X660">
        <v>29.99</v>
      </c>
      <c r="Y660">
        <v>89</v>
      </c>
      <c r="Z660">
        <v>499000</v>
      </c>
      <c r="AA660">
        <v>127650</v>
      </c>
      <c r="AB660">
        <v>190</v>
      </c>
      <c r="AD660" t="s">
        <v>238</v>
      </c>
      <c r="AE660">
        <v>1</v>
      </c>
      <c r="AF660">
        <v>0</v>
      </c>
      <c r="AI660">
        <v>20</v>
      </c>
      <c r="AJ660">
        <v>50</v>
      </c>
      <c r="AK660">
        <v>70</v>
      </c>
      <c r="AL660">
        <v>185</v>
      </c>
      <c r="AM660">
        <v>80</v>
      </c>
      <c r="AN660">
        <v>0</v>
      </c>
      <c r="AO660">
        <v>80</v>
      </c>
      <c r="AP660" t="s">
        <v>80</v>
      </c>
      <c r="AQ660" t="s">
        <v>179</v>
      </c>
      <c r="AT660" t="s">
        <v>86</v>
      </c>
      <c r="AU660" t="s">
        <v>86</v>
      </c>
      <c r="AV660" t="s">
        <v>2320</v>
      </c>
      <c r="AW660" t="s">
        <v>69</v>
      </c>
      <c r="AX660" t="s">
        <v>126</v>
      </c>
      <c r="AY660" t="s">
        <v>2321</v>
      </c>
      <c r="AZ660" t="s">
        <v>244</v>
      </c>
      <c r="BA660" t="s">
        <v>245</v>
      </c>
      <c r="BB660" t="s">
        <v>264</v>
      </c>
      <c r="BC660" t="s">
        <v>264</v>
      </c>
      <c r="BD660" t="s">
        <v>2324</v>
      </c>
      <c r="BE660" t="s">
        <v>2323</v>
      </c>
      <c r="BF660" t="s">
        <v>291</v>
      </c>
      <c r="BG660" t="s">
        <v>110</v>
      </c>
      <c r="BH660" t="str">
        <f>IF(COUNTIF(工作表1!A:A, $C660)&gt;0, "預購款", "非預購款")</f>
        <v>非預購款</v>
      </c>
    </row>
    <row r="661" spans="1:60" x14ac:dyDescent="0.25">
      <c r="A661" t="s">
        <v>2314</v>
      </c>
      <c r="B661" t="s">
        <v>576</v>
      </c>
      <c r="C661" t="s">
        <v>2315</v>
      </c>
      <c r="D661" t="s">
        <v>2316</v>
      </c>
      <c r="E661" t="s">
        <v>2317</v>
      </c>
      <c r="F661" t="s">
        <v>178</v>
      </c>
      <c r="G661" t="s">
        <v>2318</v>
      </c>
      <c r="H661" t="s">
        <v>132</v>
      </c>
      <c r="I661" t="s">
        <v>120</v>
      </c>
      <c r="J661" t="s">
        <v>121</v>
      </c>
      <c r="K661" t="s">
        <v>69</v>
      </c>
      <c r="L661" t="s">
        <v>2319</v>
      </c>
      <c r="M661" t="s">
        <v>71</v>
      </c>
      <c r="N661" t="s">
        <v>100</v>
      </c>
      <c r="O661" t="s">
        <v>2306</v>
      </c>
      <c r="P661" t="s">
        <v>2307</v>
      </c>
      <c r="R661" t="s">
        <v>1588</v>
      </c>
      <c r="S661" t="s">
        <v>179</v>
      </c>
      <c r="T661" t="s">
        <v>291</v>
      </c>
      <c r="U661" t="s">
        <v>123</v>
      </c>
      <c r="V661" t="s">
        <v>321</v>
      </c>
      <c r="W661">
        <v>690</v>
      </c>
      <c r="X661">
        <v>29.99</v>
      </c>
      <c r="Y661">
        <v>89</v>
      </c>
      <c r="Z661">
        <v>499000</v>
      </c>
      <c r="AA661">
        <v>127650</v>
      </c>
      <c r="AB661">
        <v>190</v>
      </c>
      <c r="AD661" t="s">
        <v>238</v>
      </c>
      <c r="AE661">
        <v>1</v>
      </c>
      <c r="AF661">
        <v>0</v>
      </c>
      <c r="AI661">
        <v>10</v>
      </c>
      <c r="AJ661">
        <v>25</v>
      </c>
      <c r="AK661">
        <v>35</v>
      </c>
      <c r="AL661">
        <v>185</v>
      </c>
      <c r="AM661">
        <v>45</v>
      </c>
      <c r="AN661">
        <v>0</v>
      </c>
      <c r="AO661">
        <v>45</v>
      </c>
      <c r="AP661" t="s">
        <v>80</v>
      </c>
      <c r="AQ661" t="s">
        <v>179</v>
      </c>
      <c r="AT661" t="s">
        <v>86</v>
      </c>
      <c r="AU661" t="s">
        <v>86</v>
      </c>
      <c r="AV661" t="s">
        <v>2320</v>
      </c>
      <c r="AW661" t="s">
        <v>69</v>
      </c>
      <c r="AX661" t="s">
        <v>126</v>
      </c>
      <c r="AY661" t="s">
        <v>2321</v>
      </c>
      <c r="AZ661" t="s">
        <v>244</v>
      </c>
      <c r="BA661" t="s">
        <v>245</v>
      </c>
      <c r="BB661" t="s">
        <v>264</v>
      </c>
      <c r="BC661" t="s">
        <v>264</v>
      </c>
      <c r="BD661" t="s">
        <v>2325</v>
      </c>
      <c r="BE661" t="s">
        <v>2323</v>
      </c>
      <c r="BF661" t="s">
        <v>291</v>
      </c>
      <c r="BG661" t="s">
        <v>110</v>
      </c>
      <c r="BH661" t="str">
        <f>IF(COUNTIF(工作表1!A:A, $C661)&gt;0, "預購款", "非預購款")</f>
        <v>非預購款</v>
      </c>
    </row>
    <row r="662" spans="1:60" x14ac:dyDescent="0.25">
      <c r="A662" t="s">
        <v>2326</v>
      </c>
      <c r="B662" t="s">
        <v>759</v>
      </c>
      <c r="C662" t="s">
        <v>2327</v>
      </c>
      <c r="D662" t="s">
        <v>2328</v>
      </c>
      <c r="E662" t="s">
        <v>2329</v>
      </c>
      <c r="F662" t="s">
        <v>178</v>
      </c>
      <c r="G662" t="s">
        <v>2330</v>
      </c>
      <c r="H662" t="s">
        <v>119</v>
      </c>
      <c r="I662" t="s">
        <v>1635</v>
      </c>
      <c r="J662" t="s">
        <v>1636</v>
      </c>
      <c r="K662" t="s">
        <v>69</v>
      </c>
      <c r="L662" t="s">
        <v>2331</v>
      </c>
      <c r="M662" t="s">
        <v>71</v>
      </c>
      <c r="N662" t="s">
        <v>100</v>
      </c>
      <c r="O662" t="s">
        <v>2306</v>
      </c>
      <c r="P662" t="s">
        <v>2307</v>
      </c>
      <c r="R662" t="s">
        <v>1588</v>
      </c>
      <c r="S662" t="s">
        <v>179</v>
      </c>
      <c r="T662" t="s">
        <v>258</v>
      </c>
      <c r="U662" t="s">
        <v>502</v>
      </c>
      <c r="V662" t="s">
        <v>1470</v>
      </c>
      <c r="W662">
        <v>890</v>
      </c>
      <c r="X662">
        <v>39.99</v>
      </c>
      <c r="Y662">
        <v>115</v>
      </c>
      <c r="Z662">
        <v>639000</v>
      </c>
      <c r="AA662">
        <v>298150</v>
      </c>
      <c r="AB662">
        <v>350</v>
      </c>
      <c r="AD662" t="s">
        <v>238</v>
      </c>
      <c r="AE662">
        <v>1</v>
      </c>
      <c r="AF662">
        <v>10</v>
      </c>
      <c r="AI662">
        <v>0</v>
      </c>
      <c r="AJ662">
        <v>160</v>
      </c>
      <c r="AK662">
        <v>170</v>
      </c>
      <c r="AL662">
        <v>335</v>
      </c>
      <c r="AM662">
        <v>170</v>
      </c>
      <c r="AN662">
        <v>0</v>
      </c>
      <c r="AO662">
        <v>170</v>
      </c>
      <c r="AP662" t="s">
        <v>80</v>
      </c>
      <c r="AQ662" t="s">
        <v>187</v>
      </c>
      <c r="AR662" t="s">
        <v>86</v>
      </c>
      <c r="AS662" t="s">
        <v>86</v>
      </c>
      <c r="AT662" t="s">
        <v>240</v>
      </c>
      <c r="AU662" t="s">
        <v>86</v>
      </c>
      <c r="AV662" t="s">
        <v>81</v>
      </c>
      <c r="AW662" t="s">
        <v>69</v>
      </c>
      <c r="AX662" t="s">
        <v>737</v>
      </c>
      <c r="AY662" t="s">
        <v>2332</v>
      </c>
      <c r="AZ662" t="s">
        <v>245</v>
      </c>
      <c r="BA662" t="s">
        <v>244</v>
      </c>
      <c r="BB662" t="s">
        <v>244</v>
      </c>
      <c r="BC662" t="s">
        <v>244</v>
      </c>
      <c r="BD662" t="s">
        <v>2333</v>
      </c>
      <c r="BE662" t="s">
        <v>2334</v>
      </c>
      <c r="BF662" t="s">
        <v>240</v>
      </c>
      <c r="BG662" t="s">
        <v>110</v>
      </c>
      <c r="BH662" t="str">
        <f>IF(COUNTIF(工作表1!A:A, $C662)&gt;0, "預購款", "非預購款")</f>
        <v>非預購款</v>
      </c>
    </row>
    <row r="663" spans="1:60" x14ac:dyDescent="0.25">
      <c r="A663" t="s">
        <v>2326</v>
      </c>
      <c r="B663" t="s">
        <v>759</v>
      </c>
      <c r="C663" t="s">
        <v>2327</v>
      </c>
      <c r="D663" t="s">
        <v>2328</v>
      </c>
      <c r="E663" t="s">
        <v>2329</v>
      </c>
      <c r="F663" t="s">
        <v>178</v>
      </c>
      <c r="G663" t="s">
        <v>2330</v>
      </c>
      <c r="H663" t="s">
        <v>130</v>
      </c>
      <c r="I663" t="s">
        <v>1635</v>
      </c>
      <c r="J663" t="s">
        <v>1636</v>
      </c>
      <c r="K663" t="s">
        <v>69</v>
      </c>
      <c r="L663" t="s">
        <v>2331</v>
      </c>
      <c r="M663" t="s">
        <v>71</v>
      </c>
      <c r="N663" t="s">
        <v>100</v>
      </c>
      <c r="O663" t="s">
        <v>2306</v>
      </c>
      <c r="P663" t="s">
        <v>2307</v>
      </c>
      <c r="R663" t="s">
        <v>1588</v>
      </c>
      <c r="S663" t="s">
        <v>179</v>
      </c>
      <c r="T663" t="s">
        <v>258</v>
      </c>
      <c r="U663" t="s">
        <v>502</v>
      </c>
      <c r="V663" t="s">
        <v>1470</v>
      </c>
      <c r="W663">
        <v>890</v>
      </c>
      <c r="X663">
        <v>39.99</v>
      </c>
      <c r="Y663">
        <v>115</v>
      </c>
      <c r="Z663">
        <v>639000</v>
      </c>
      <c r="AA663">
        <v>298150</v>
      </c>
      <c r="AB663">
        <v>350</v>
      </c>
      <c r="AD663" t="s">
        <v>238</v>
      </c>
      <c r="AE663">
        <v>1</v>
      </c>
      <c r="AF663">
        <v>5</v>
      </c>
      <c r="AI663">
        <v>0</v>
      </c>
      <c r="AJ663">
        <v>110</v>
      </c>
      <c r="AK663">
        <v>115</v>
      </c>
      <c r="AL663">
        <v>335</v>
      </c>
      <c r="AM663">
        <v>115</v>
      </c>
      <c r="AN663">
        <v>0</v>
      </c>
      <c r="AO663">
        <v>115</v>
      </c>
      <c r="AP663" t="s">
        <v>80</v>
      </c>
      <c r="AQ663" t="s">
        <v>187</v>
      </c>
      <c r="AR663" t="s">
        <v>86</v>
      </c>
      <c r="AS663" t="s">
        <v>86</v>
      </c>
      <c r="AT663" t="s">
        <v>240</v>
      </c>
      <c r="AU663" t="s">
        <v>86</v>
      </c>
      <c r="AV663" t="s">
        <v>81</v>
      </c>
      <c r="AW663" t="s">
        <v>69</v>
      </c>
      <c r="AX663" t="s">
        <v>737</v>
      </c>
      <c r="AY663" t="s">
        <v>2332</v>
      </c>
      <c r="AZ663" t="s">
        <v>245</v>
      </c>
      <c r="BA663" t="s">
        <v>244</v>
      </c>
      <c r="BB663" t="s">
        <v>244</v>
      </c>
      <c r="BC663" t="s">
        <v>244</v>
      </c>
      <c r="BD663" t="s">
        <v>2335</v>
      </c>
      <c r="BE663" t="s">
        <v>2334</v>
      </c>
      <c r="BF663" t="s">
        <v>240</v>
      </c>
      <c r="BG663" t="s">
        <v>110</v>
      </c>
      <c r="BH663" t="str">
        <f>IF(COUNTIF(工作表1!A:A, $C663)&gt;0, "預購款", "非預購款")</f>
        <v>非預購款</v>
      </c>
    </row>
    <row r="664" spans="1:60" x14ac:dyDescent="0.25">
      <c r="A664" t="s">
        <v>2326</v>
      </c>
      <c r="B664" t="s">
        <v>759</v>
      </c>
      <c r="C664" t="s">
        <v>2327</v>
      </c>
      <c r="D664" t="s">
        <v>2328</v>
      </c>
      <c r="E664" t="s">
        <v>2329</v>
      </c>
      <c r="F664" t="s">
        <v>178</v>
      </c>
      <c r="G664" t="s">
        <v>2330</v>
      </c>
      <c r="H664" t="s">
        <v>132</v>
      </c>
      <c r="I664" t="s">
        <v>1635</v>
      </c>
      <c r="J664" t="s">
        <v>1636</v>
      </c>
      <c r="K664" t="s">
        <v>69</v>
      </c>
      <c r="L664" t="s">
        <v>2331</v>
      </c>
      <c r="M664" t="s">
        <v>71</v>
      </c>
      <c r="N664" t="s">
        <v>100</v>
      </c>
      <c r="O664" t="s">
        <v>2306</v>
      </c>
      <c r="P664" t="s">
        <v>2307</v>
      </c>
      <c r="R664" t="s">
        <v>1588</v>
      </c>
      <c r="S664" t="s">
        <v>179</v>
      </c>
      <c r="T664" t="s">
        <v>258</v>
      </c>
      <c r="U664" t="s">
        <v>502</v>
      </c>
      <c r="V664" t="s">
        <v>1470</v>
      </c>
      <c r="W664">
        <v>890</v>
      </c>
      <c r="X664">
        <v>39.99</v>
      </c>
      <c r="Y664">
        <v>115</v>
      </c>
      <c r="Z664">
        <v>639000</v>
      </c>
      <c r="AA664">
        <v>298150</v>
      </c>
      <c r="AB664">
        <v>350</v>
      </c>
      <c r="AD664" t="s">
        <v>238</v>
      </c>
      <c r="AE664">
        <v>1</v>
      </c>
      <c r="AF664">
        <v>0</v>
      </c>
      <c r="AI664">
        <v>0</v>
      </c>
      <c r="AJ664">
        <v>50</v>
      </c>
      <c r="AK664">
        <v>50</v>
      </c>
      <c r="AL664">
        <v>335</v>
      </c>
      <c r="AM664">
        <v>50</v>
      </c>
      <c r="AN664">
        <v>0</v>
      </c>
      <c r="AO664">
        <v>50</v>
      </c>
      <c r="AP664" t="s">
        <v>80</v>
      </c>
      <c r="AQ664" t="s">
        <v>187</v>
      </c>
      <c r="AR664" t="s">
        <v>86</v>
      </c>
      <c r="AS664" t="s">
        <v>86</v>
      </c>
      <c r="AT664" t="s">
        <v>240</v>
      </c>
      <c r="AU664" t="s">
        <v>86</v>
      </c>
      <c r="AV664" t="s">
        <v>81</v>
      </c>
      <c r="AW664" t="s">
        <v>69</v>
      </c>
      <c r="AX664" t="s">
        <v>737</v>
      </c>
      <c r="AY664" t="s">
        <v>2332</v>
      </c>
      <c r="AZ664" t="s">
        <v>245</v>
      </c>
      <c r="BA664" t="s">
        <v>244</v>
      </c>
      <c r="BB664" t="s">
        <v>244</v>
      </c>
      <c r="BC664" t="s">
        <v>244</v>
      </c>
      <c r="BD664" t="s">
        <v>2336</v>
      </c>
      <c r="BE664" t="s">
        <v>2334</v>
      </c>
      <c r="BF664" t="s">
        <v>240</v>
      </c>
      <c r="BG664" t="s">
        <v>110</v>
      </c>
      <c r="BH664" t="str">
        <f>IF(COUNTIF(工作表1!A:A, $C664)&gt;0, "預購款", "非預購款")</f>
        <v>非預購款</v>
      </c>
    </row>
    <row r="665" spans="1:60" x14ac:dyDescent="0.25">
      <c r="A665" t="s">
        <v>775</v>
      </c>
      <c r="B665" t="s">
        <v>776</v>
      </c>
      <c r="C665" t="s">
        <v>777</v>
      </c>
      <c r="D665" t="s">
        <v>778</v>
      </c>
      <c r="E665" t="s">
        <v>779</v>
      </c>
      <c r="F665" t="s">
        <v>178</v>
      </c>
      <c r="G665" t="s">
        <v>780</v>
      </c>
      <c r="H665" t="s">
        <v>119</v>
      </c>
      <c r="I665" t="s">
        <v>97</v>
      </c>
      <c r="J665" t="s">
        <v>98</v>
      </c>
      <c r="K665" t="s">
        <v>69</v>
      </c>
      <c r="L665" t="s">
        <v>781</v>
      </c>
      <c r="M665" t="s">
        <v>71</v>
      </c>
      <c r="N665" t="s">
        <v>100</v>
      </c>
      <c r="O665" t="s">
        <v>101</v>
      </c>
      <c r="P665" t="s">
        <v>102</v>
      </c>
      <c r="R665" t="s">
        <v>734</v>
      </c>
      <c r="S665" t="s">
        <v>179</v>
      </c>
      <c r="T665" t="s">
        <v>76</v>
      </c>
      <c r="U665" t="s">
        <v>104</v>
      </c>
      <c r="V665" t="s">
        <v>653</v>
      </c>
      <c r="W665">
        <v>490</v>
      </c>
      <c r="X665">
        <v>22.99</v>
      </c>
      <c r="Y665">
        <v>60</v>
      </c>
      <c r="Z665">
        <v>355000</v>
      </c>
      <c r="AA665">
        <v>144550</v>
      </c>
      <c r="AB665">
        <v>178</v>
      </c>
      <c r="AD665" t="s">
        <v>238</v>
      </c>
      <c r="AE665">
        <v>1</v>
      </c>
      <c r="AF665">
        <v>20</v>
      </c>
      <c r="AI665">
        <v>0</v>
      </c>
      <c r="AJ665">
        <v>170</v>
      </c>
      <c r="AK665">
        <v>190</v>
      </c>
      <c r="AL665">
        <v>295</v>
      </c>
      <c r="AM665">
        <v>190</v>
      </c>
      <c r="AN665">
        <v>0</v>
      </c>
      <c r="AO665">
        <v>190</v>
      </c>
      <c r="AP665" t="s">
        <v>80</v>
      </c>
      <c r="AQ665" t="s">
        <v>176</v>
      </c>
      <c r="AR665" t="s">
        <v>240</v>
      </c>
      <c r="AS665" t="s">
        <v>240</v>
      </c>
      <c r="AT665" t="s">
        <v>264</v>
      </c>
      <c r="AU665" t="s">
        <v>240</v>
      </c>
      <c r="AV665" t="s">
        <v>782</v>
      </c>
      <c r="AW665" t="s">
        <v>69</v>
      </c>
      <c r="AX665" t="s">
        <v>218</v>
      </c>
      <c r="AY665" t="s">
        <v>783</v>
      </c>
      <c r="AZ665" t="s">
        <v>243</v>
      </c>
      <c r="BA665" t="s">
        <v>244</v>
      </c>
      <c r="BB665" t="s">
        <v>244</v>
      </c>
      <c r="BC665" t="s">
        <v>244</v>
      </c>
      <c r="BD665" t="s">
        <v>789</v>
      </c>
      <c r="BE665" t="s">
        <v>2338</v>
      </c>
      <c r="BF665" t="s">
        <v>786</v>
      </c>
      <c r="BG665" t="s">
        <v>150</v>
      </c>
      <c r="BH665" t="str">
        <f>IF(COUNTIF(工作表1!A:A, $C665)&gt;0, "預購款", "非預購款")</f>
        <v>非預購款</v>
      </c>
    </row>
    <row r="666" spans="1:60" x14ac:dyDescent="0.25">
      <c r="A666" t="s">
        <v>775</v>
      </c>
      <c r="B666" t="s">
        <v>776</v>
      </c>
      <c r="C666" t="s">
        <v>777</v>
      </c>
      <c r="D666" t="s">
        <v>778</v>
      </c>
      <c r="E666" t="s">
        <v>779</v>
      </c>
      <c r="F666" t="s">
        <v>178</v>
      </c>
      <c r="G666" t="s">
        <v>780</v>
      </c>
      <c r="H666" t="s">
        <v>130</v>
      </c>
      <c r="I666" t="s">
        <v>97</v>
      </c>
      <c r="J666" t="s">
        <v>98</v>
      </c>
      <c r="K666" t="s">
        <v>69</v>
      </c>
      <c r="L666" t="s">
        <v>781</v>
      </c>
      <c r="M666" t="s">
        <v>71</v>
      </c>
      <c r="N666" t="s">
        <v>100</v>
      </c>
      <c r="O666" t="s">
        <v>101</v>
      </c>
      <c r="P666" t="s">
        <v>102</v>
      </c>
      <c r="R666" t="s">
        <v>734</v>
      </c>
      <c r="S666" t="s">
        <v>179</v>
      </c>
      <c r="T666" t="s">
        <v>76</v>
      </c>
      <c r="U666" t="s">
        <v>104</v>
      </c>
      <c r="V666" t="s">
        <v>653</v>
      </c>
      <c r="W666">
        <v>490</v>
      </c>
      <c r="X666">
        <v>22.99</v>
      </c>
      <c r="Y666">
        <v>60</v>
      </c>
      <c r="Z666">
        <v>355000</v>
      </c>
      <c r="AA666">
        <v>144550</v>
      </c>
      <c r="AB666">
        <v>178</v>
      </c>
      <c r="AD666" t="s">
        <v>238</v>
      </c>
      <c r="AE666">
        <v>1</v>
      </c>
      <c r="AF666">
        <v>15</v>
      </c>
      <c r="AI666">
        <v>0</v>
      </c>
      <c r="AJ666">
        <v>70</v>
      </c>
      <c r="AK666">
        <v>85</v>
      </c>
      <c r="AL666">
        <v>295</v>
      </c>
      <c r="AM666">
        <v>86</v>
      </c>
      <c r="AN666">
        <v>0</v>
      </c>
      <c r="AO666">
        <v>86</v>
      </c>
      <c r="AP666" t="s">
        <v>80</v>
      </c>
      <c r="AQ666" t="s">
        <v>176</v>
      </c>
      <c r="AR666" t="s">
        <v>240</v>
      </c>
      <c r="AS666" t="s">
        <v>240</v>
      </c>
      <c r="AT666" t="s">
        <v>264</v>
      </c>
      <c r="AU666" t="s">
        <v>240</v>
      </c>
      <c r="AV666" t="s">
        <v>782</v>
      </c>
      <c r="AW666" t="s">
        <v>69</v>
      </c>
      <c r="AX666" t="s">
        <v>218</v>
      </c>
      <c r="AY666" t="s">
        <v>783</v>
      </c>
      <c r="AZ666" t="s">
        <v>243</v>
      </c>
      <c r="BA666" t="s">
        <v>244</v>
      </c>
      <c r="BB666" t="s">
        <v>244</v>
      </c>
      <c r="BC666" t="s">
        <v>244</v>
      </c>
      <c r="BD666" t="s">
        <v>790</v>
      </c>
      <c r="BE666" t="s">
        <v>2338</v>
      </c>
      <c r="BF666" t="s">
        <v>786</v>
      </c>
      <c r="BG666" t="s">
        <v>150</v>
      </c>
      <c r="BH666" t="str">
        <f>IF(COUNTIF(工作表1!A:A, $C666)&gt;0, "預購款", "非預購款")</f>
        <v>非預購款</v>
      </c>
    </row>
    <row r="667" spans="1:60" x14ac:dyDescent="0.25">
      <c r="A667" t="s">
        <v>775</v>
      </c>
      <c r="B667" t="s">
        <v>776</v>
      </c>
      <c r="C667" t="s">
        <v>777</v>
      </c>
      <c r="D667" t="s">
        <v>778</v>
      </c>
      <c r="E667" t="s">
        <v>779</v>
      </c>
      <c r="F667" t="s">
        <v>178</v>
      </c>
      <c r="G667" t="s">
        <v>780</v>
      </c>
      <c r="H667" t="s">
        <v>132</v>
      </c>
      <c r="I667" t="s">
        <v>97</v>
      </c>
      <c r="J667" t="s">
        <v>98</v>
      </c>
      <c r="K667" t="s">
        <v>69</v>
      </c>
      <c r="L667" t="s">
        <v>781</v>
      </c>
      <c r="M667" t="s">
        <v>71</v>
      </c>
      <c r="N667" t="s">
        <v>100</v>
      </c>
      <c r="O667" t="s">
        <v>101</v>
      </c>
      <c r="P667" t="s">
        <v>102</v>
      </c>
      <c r="R667" t="s">
        <v>734</v>
      </c>
      <c r="S667" t="s">
        <v>179</v>
      </c>
      <c r="T667" t="s">
        <v>76</v>
      </c>
      <c r="U667" t="s">
        <v>104</v>
      </c>
      <c r="V667" t="s">
        <v>653</v>
      </c>
      <c r="W667">
        <v>490</v>
      </c>
      <c r="X667">
        <v>22.99</v>
      </c>
      <c r="Y667">
        <v>60</v>
      </c>
      <c r="Z667">
        <v>355000</v>
      </c>
      <c r="AA667">
        <v>144550</v>
      </c>
      <c r="AB667">
        <v>178</v>
      </c>
      <c r="AD667" t="s">
        <v>238</v>
      </c>
      <c r="AE667">
        <v>1</v>
      </c>
      <c r="AF667">
        <v>5</v>
      </c>
      <c r="AI667">
        <v>0</v>
      </c>
      <c r="AJ667">
        <v>15</v>
      </c>
      <c r="AK667">
        <v>20</v>
      </c>
      <c r="AL667">
        <v>295</v>
      </c>
      <c r="AM667">
        <v>23</v>
      </c>
      <c r="AN667">
        <v>0</v>
      </c>
      <c r="AO667">
        <v>23</v>
      </c>
      <c r="AP667" t="s">
        <v>80</v>
      </c>
      <c r="AQ667" t="s">
        <v>176</v>
      </c>
      <c r="AR667" t="s">
        <v>240</v>
      </c>
      <c r="AS667" t="s">
        <v>240</v>
      </c>
      <c r="AT667" t="s">
        <v>264</v>
      </c>
      <c r="AU667" t="s">
        <v>240</v>
      </c>
      <c r="AV667" t="s">
        <v>782</v>
      </c>
      <c r="AW667" t="s">
        <v>69</v>
      </c>
      <c r="AX667" t="s">
        <v>218</v>
      </c>
      <c r="AY667" t="s">
        <v>783</v>
      </c>
      <c r="AZ667" t="s">
        <v>243</v>
      </c>
      <c r="BA667" t="s">
        <v>244</v>
      </c>
      <c r="BB667" t="s">
        <v>244</v>
      </c>
      <c r="BC667" t="s">
        <v>244</v>
      </c>
      <c r="BD667" t="s">
        <v>791</v>
      </c>
      <c r="BE667" t="s">
        <v>2338</v>
      </c>
      <c r="BF667" t="s">
        <v>786</v>
      </c>
      <c r="BG667" t="s">
        <v>150</v>
      </c>
      <c r="BH667" t="str">
        <f>IF(COUNTIF(工作表1!A:A, $C667)&gt;0, "預購款", "非預購款")</f>
        <v>非預購款</v>
      </c>
    </row>
    <row r="668" spans="1:60" x14ac:dyDescent="0.25">
      <c r="A668" t="s">
        <v>2339</v>
      </c>
      <c r="B668" t="s">
        <v>776</v>
      </c>
      <c r="C668" t="s">
        <v>2340</v>
      </c>
      <c r="D668" t="s">
        <v>2341</v>
      </c>
      <c r="E668" t="s">
        <v>2342</v>
      </c>
      <c r="F668" t="s">
        <v>178</v>
      </c>
      <c r="G668" t="s">
        <v>2343</v>
      </c>
      <c r="H668" t="s">
        <v>273</v>
      </c>
      <c r="I668" t="s">
        <v>120</v>
      </c>
      <c r="J668" t="s">
        <v>121</v>
      </c>
      <c r="K668" t="s">
        <v>69</v>
      </c>
      <c r="L668" t="s">
        <v>2046</v>
      </c>
      <c r="M668" t="s">
        <v>71</v>
      </c>
      <c r="N668" t="s">
        <v>100</v>
      </c>
      <c r="O668" t="s">
        <v>1900</v>
      </c>
      <c r="P668" t="s">
        <v>1901</v>
      </c>
      <c r="R668" t="s">
        <v>1902</v>
      </c>
      <c r="S668" t="s">
        <v>179</v>
      </c>
      <c r="T668" t="s">
        <v>274</v>
      </c>
      <c r="U668" t="s">
        <v>104</v>
      </c>
      <c r="V668" t="s">
        <v>2344</v>
      </c>
      <c r="W668">
        <v>890</v>
      </c>
      <c r="X668">
        <v>39.99</v>
      </c>
      <c r="Y668">
        <v>115</v>
      </c>
      <c r="Z668">
        <v>639000</v>
      </c>
      <c r="AA668">
        <v>113920</v>
      </c>
      <c r="AB668">
        <v>406</v>
      </c>
      <c r="AD668" t="s">
        <v>238</v>
      </c>
      <c r="AE668">
        <v>1</v>
      </c>
      <c r="AF668">
        <v>3</v>
      </c>
      <c r="AI668">
        <v>0</v>
      </c>
      <c r="AJ668">
        <v>60</v>
      </c>
      <c r="AK668">
        <v>63</v>
      </c>
      <c r="AL668">
        <v>128</v>
      </c>
      <c r="AM668">
        <v>70</v>
      </c>
      <c r="AN668">
        <v>0</v>
      </c>
      <c r="AO668">
        <v>70</v>
      </c>
      <c r="AP668" t="s">
        <v>80</v>
      </c>
      <c r="AQ668" t="s">
        <v>176</v>
      </c>
      <c r="AS668" t="s">
        <v>86</v>
      </c>
      <c r="AT668" t="s">
        <v>86</v>
      </c>
      <c r="AU668" t="s">
        <v>86</v>
      </c>
      <c r="AV668" t="s">
        <v>2345</v>
      </c>
      <c r="AW668" t="s">
        <v>80</v>
      </c>
      <c r="AX668" t="s">
        <v>2346</v>
      </c>
      <c r="AY668" t="s">
        <v>2004</v>
      </c>
      <c r="AZ668" t="s">
        <v>245</v>
      </c>
      <c r="BA668" t="s">
        <v>243</v>
      </c>
      <c r="BB668" t="s">
        <v>245</v>
      </c>
      <c r="BC668" t="s">
        <v>244</v>
      </c>
      <c r="BD668" t="s">
        <v>2347</v>
      </c>
      <c r="BE668" t="s">
        <v>2348</v>
      </c>
      <c r="BF668" t="s">
        <v>279</v>
      </c>
      <c r="BG668" t="s">
        <v>150</v>
      </c>
      <c r="BH668" t="str">
        <f>IF(COUNTIF(工作表1!A:A, $C668)&gt;0, "預購款", "非預購款")</f>
        <v>非預購款</v>
      </c>
    </row>
    <row r="669" spans="1:60" x14ac:dyDescent="0.25">
      <c r="A669" t="s">
        <v>2339</v>
      </c>
      <c r="B669" t="s">
        <v>776</v>
      </c>
      <c r="C669" t="s">
        <v>2340</v>
      </c>
      <c r="D669" t="s">
        <v>2341</v>
      </c>
      <c r="E669" t="s">
        <v>2342</v>
      </c>
      <c r="F669" t="s">
        <v>178</v>
      </c>
      <c r="G669" t="s">
        <v>2343</v>
      </c>
      <c r="H669" t="s">
        <v>501</v>
      </c>
      <c r="I669" t="s">
        <v>120</v>
      </c>
      <c r="J669" t="s">
        <v>121</v>
      </c>
      <c r="K669" t="s">
        <v>69</v>
      </c>
      <c r="L669" t="s">
        <v>2046</v>
      </c>
      <c r="M669" t="s">
        <v>71</v>
      </c>
      <c r="N669" t="s">
        <v>100</v>
      </c>
      <c r="O669" t="s">
        <v>1900</v>
      </c>
      <c r="P669" t="s">
        <v>1901</v>
      </c>
      <c r="R669" t="s">
        <v>1902</v>
      </c>
      <c r="S669" t="s">
        <v>179</v>
      </c>
      <c r="T669" t="s">
        <v>274</v>
      </c>
      <c r="U669" t="s">
        <v>104</v>
      </c>
      <c r="V669" t="s">
        <v>2344</v>
      </c>
      <c r="W669">
        <v>890</v>
      </c>
      <c r="X669">
        <v>39.99</v>
      </c>
      <c r="Y669">
        <v>115</v>
      </c>
      <c r="Z669">
        <v>639000</v>
      </c>
      <c r="AA669">
        <v>113920</v>
      </c>
      <c r="AB669">
        <v>406</v>
      </c>
      <c r="AD669" t="s">
        <v>238</v>
      </c>
      <c r="AE669">
        <v>1</v>
      </c>
      <c r="AF669">
        <v>0</v>
      </c>
      <c r="AI669">
        <v>0</v>
      </c>
      <c r="AJ669">
        <v>25</v>
      </c>
      <c r="AK669">
        <v>25</v>
      </c>
      <c r="AL669">
        <v>128</v>
      </c>
      <c r="AM669">
        <v>31</v>
      </c>
      <c r="AN669">
        <v>0</v>
      </c>
      <c r="AO669">
        <v>31</v>
      </c>
      <c r="AP669" t="s">
        <v>80</v>
      </c>
      <c r="AQ669" t="s">
        <v>176</v>
      </c>
      <c r="AS669" t="s">
        <v>86</v>
      </c>
      <c r="AT669" t="s">
        <v>86</v>
      </c>
      <c r="AU669" t="s">
        <v>86</v>
      </c>
      <c r="AV669" t="s">
        <v>2345</v>
      </c>
      <c r="AW669" t="s">
        <v>80</v>
      </c>
      <c r="AX669" t="s">
        <v>2346</v>
      </c>
      <c r="AY669" t="s">
        <v>2004</v>
      </c>
      <c r="AZ669" t="s">
        <v>245</v>
      </c>
      <c r="BA669" t="s">
        <v>243</v>
      </c>
      <c r="BB669" t="s">
        <v>245</v>
      </c>
      <c r="BC669" t="s">
        <v>244</v>
      </c>
      <c r="BD669" t="s">
        <v>2349</v>
      </c>
      <c r="BE669" t="s">
        <v>2348</v>
      </c>
      <c r="BF669" t="s">
        <v>279</v>
      </c>
      <c r="BG669" t="s">
        <v>150</v>
      </c>
      <c r="BH669" t="str">
        <f>IF(COUNTIF(工作表1!A:A, $C669)&gt;0, "預購款", "非預購款")</f>
        <v>非預購款</v>
      </c>
    </row>
    <row r="670" spans="1:60" x14ac:dyDescent="0.25">
      <c r="A670" t="s">
        <v>2339</v>
      </c>
      <c r="B670" t="s">
        <v>776</v>
      </c>
      <c r="C670" t="s">
        <v>2340</v>
      </c>
      <c r="D670" t="s">
        <v>2341</v>
      </c>
      <c r="E670" t="s">
        <v>2342</v>
      </c>
      <c r="F670" t="s">
        <v>178</v>
      </c>
      <c r="G670" t="s">
        <v>2343</v>
      </c>
      <c r="H670" t="s">
        <v>280</v>
      </c>
      <c r="I670" t="s">
        <v>120</v>
      </c>
      <c r="J670" t="s">
        <v>121</v>
      </c>
      <c r="K670" t="s">
        <v>69</v>
      </c>
      <c r="L670" t="s">
        <v>2046</v>
      </c>
      <c r="M670" t="s">
        <v>71</v>
      </c>
      <c r="N670" t="s">
        <v>100</v>
      </c>
      <c r="O670" t="s">
        <v>1900</v>
      </c>
      <c r="P670" t="s">
        <v>1901</v>
      </c>
      <c r="R670" t="s">
        <v>1902</v>
      </c>
      <c r="S670" t="s">
        <v>179</v>
      </c>
      <c r="T670" t="s">
        <v>274</v>
      </c>
      <c r="U670" t="s">
        <v>104</v>
      </c>
      <c r="V670" t="s">
        <v>2344</v>
      </c>
      <c r="W670">
        <v>890</v>
      </c>
      <c r="X670">
        <v>39.99</v>
      </c>
      <c r="Y670">
        <v>115</v>
      </c>
      <c r="Z670">
        <v>639000</v>
      </c>
      <c r="AA670">
        <v>113920</v>
      </c>
      <c r="AB670">
        <v>406</v>
      </c>
      <c r="AD670" t="s">
        <v>238</v>
      </c>
      <c r="AE670">
        <v>1</v>
      </c>
      <c r="AF670">
        <v>0</v>
      </c>
      <c r="AI670">
        <v>0</v>
      </c>
      <c r="AJ670">
        <v>40</v>
      </c>
      <c r="AK670">
        <v>40</v>
      </c>
      <c r="AL670">
        <v>128</v>
      </c>
      <c r="AM670">
        <v>48</v>
      </c>
      <c r="AN670">
        <v>0</v>
      </c>
      <c r="AO670">
        <v>48</v>
      </c>
      <c r="AP670" t="s">
        <v>80</v>
      </c>
      <c r="AQ670" t="s">
        <v>176</v>
      </c>
      <c r="AS670" t="s">
        <v>86</v>
      </c>
      <c r="AT670" t="s">
        <v>86</v>
      </c>
      <c r="AU670" t="s">
        <v>86</v>
      </c>
      <c r="AV670" t="s">
        <v>2345</v>
      </c>
      <c r="AW670" t="s">
        <v>80</v>
      </c>
      <c r="AX670" t="s">
        <v>2346</v>
      </c>
      <c r="AY670" t="s">
        <v>2004</v>
      </c>
      <c r="AZ670" t="s">
        <v>245</v>
      </c>
      <c r="BA670" t="s">
        <v>243</v>
      </c>
      <c r="BB670" t="s">
        <v>245</v>
      </c>
      <c r="BC670" t="s">
        <v>244</v>
      </c>
      <c r="BD670" t="s">
        <v>2350</v>
      </c>
      <c r="BE670" t="s">
        <v>2348</v>
      </c>
      <c r="BF670" t="s">
        <v>279</v>
      </c>
      <c r="BG670" t="s">
        <v>150</v>
      </c>
      <c r="BH670" t="str">
        <f>IF(COUNTIF(工作表1!A:A, $C670)&gt;0, "預購款", "非預購款")</f>
        <v>非預購款</v>
      </c>
    </row>
    <row r="671" spans="1:60" x14ac:dyDescent="0.25">
      <c r="A671" t="s">
        <v>2054</v>
      </c>
      <c r="B671" t="s">
        <v>776</v>
      </c>
      <c r="C671" t="s">
        <v>2055</v>
      </c>
      <c r="D671" t="s">
        <v>2056</v>
      </c>
      <c r="E671" t="s">
        <v>2057</v>
      </c>
      <c r="F671" t="s">
        <v>178</v>
      </c>
      <c r="G671" t="s">
        <v>2058</v>
      </c>
      <c r="H671" t="s">
        <v>119</v>
      </c>
      <c r="I671" t="s">
        <v>120</v>
      </c>
      <c r="J671" t="s">
        <v>121</v>
      </c>
      <c r="K671" t="s">
        <v>69</v>
      </c>
      <c r="L671" t="s">
        <v>2059</v>
      </c>
      <c r="M671" t="s">
        <v>71</v>
      </c>
      <c r="N671" t="s">
        <v>100</v>
      </c>
      <c r="O671" t="s">
        <v>1900</v>
      </c>
      <c r="P671" t="s">
        <v>1901</v>
      </c>
      <c r="R671" t="s">
        <v>1902</v>
      </c>
      <c r="S671" t="s">
        <v>179</v>
      </c>
      <c r="T671" t="s">
        <v>76</v>
      </c>
      <c r="U671" t="s">
        <v>502</v>
      </c>
      <c r="V671" t="s">
        <v>2060</v>
      </c>
      <c r="W671">
        <v>990</v>
      </c>
      <c r="X671">
        <v>39.99</v>
      </c>
      <c r="Y671">
        <v>129</v>
      </c>
      <c r="Z671">
        <v>709000</v>
      </c>
      <c r="AA671">
        <v>316800</v>
      </c>
      <c r="AB671">
        <v>318</v>
      </c>
      <c r="AD671" t="s">
        <v>238</v>
      </c>
      <c r="AE671">
        <v>1</v>
      </c>
      <c r="AF671">
        <v>0</v>
      </c>
      <c r="AI671">
        <v>70</v>
      </c>
      <c r="AJ671">
        <v>65</v>
      </c>
      <c r="AK671">
        <v>135</v>
      </c>
      <c r="AL671">
        <v>320</v>
      </c>
      <c r="AM671">
        <v>137</v>
      </c>
      <c r="AN671">
        <v>0</v>
      </c>
      <c r="AO671">
        <v>137</v>
      </c>
      <c r="AP671" t="s">
        <v>80</v>
      </c>
      <c r="AQ671" t="s">
        <v>187</v>
      </c>
      <c r="AR671" t="s">
        <v>261</v>
      </c>
      <c r="AS671" t="s">
        <v>86</v>
      </c>
      <c r="AT671" t="s">
        <v>86</v>
      </c>
      <c r="AU671" t="s">
        <v>86</v>
      </c>
      <c r="AV671" t="s">
        <v>1974</v>
      </c>
      <c r="AW671" t="s">
        <v>80</v>
      </c>
      <c r="AX671" t="s">
        <v>218</v>
      </c>
      <c r="AY671" t="s">
        <v>2061</v>
      </c>
      <c r="AZ671" t="s">
        <v>243</v>
      </c>
      <c r="BA671" t="s">
        <v>245</v>
      </c>
      <c r="BB671" t="s">
        <v>244</v>
      </c>
      <c r="BC671" t="s">
        <v>244</v>
      </c>
      <c r="BD671" t="s">
        <v>2062</v>
      </c>
      <c r="BE671" t="s">
        <v>2351</v>
      </c>
      <c r="BF671" t="s">
        <v>86</v>
      </c>
      <c r="BG671" t="s">
        <v>150</v>
      </c>
      <c r="BH671" t="str">
        <f>IF(COUNTIF(工作表1!A:A, $C671)&gt;0, "預購款", "非預購款")</f>
        <v>非預購款</v>
      </c>
    </row>
    <row r="672" spans="1:60" x14ac:dyDescent="0.25">
      <c r="A672" t="s">
        <v>2054</v>
      </c>
      <c r="B672" t="s">
        <v>776</v>
      </c>
      <c r="C672" t="s">
        <v>2055</v>
      </c>
      <c r="D672" t="s">
        <v>2056</v>
      </c>
      <c r="E672" t="s">
        <v>2057</v>
      </c>
      <c r="F672" t="s">
        <v>178</v>
      </c>
      <c r="G672" t="s">
        <v>2058</v>
      </c>
      <c r="H672" t="s">
        <v>130</v>
      </c>
      <c r="I672" t="s">
        <v>120</v>
      </c>
      <c r="J672" t="s">
        <v>121</v>
      </c>
      <c r="K672" t="s">
        <v>69</v>
      </c>
      <c r="L672" t="s">
        <v>2059</v>
      </c>
      <c r="M672" t="s">
        <v>71</v>
      </c>
      <c r="N672" t="s">
        <v>100</v>
      </c>
      <c r="O672" t="s">
        <v>1900</v>
      </c>
      <c r="P672" t="s">
        <v>1901</v>
      </c>
      <c r="R672" t="s">
        <v>1902</v>
      </c>
      <c r="S672" t="s">
        <v>179</v>
      </c>
      <c r="T672" t="s">
        <v>76</v>
      </c>
      <c r="U672" t="s">
        <v>502</v>
      </c>
      <c r="V672" t="s">
        <v>2060</v>
      </c>
      <c r="W672">
        <v>990</v>
      </c>
      <c r="X672">
        <v>39.99</v>
      </c>
      <c r="Y672">
        <v>129</v>
      </c>
      <c r="Z672">
        <v>709000</v>
      </c>
      <c r="AA672">
        <v>316800</v>
      </c>
      <c r="AB672">
        <v>318</v>
      </c>
      <c r="AD672" t="s">
        <v>238</v>
      </c>
      <c r="AE672">
        <v>1</v>
      </c>
      <c r="AF672">
        <v>0</v>
      </c>
      <c r="AI672">
        <v>70</v>
      </c>
      <c r="AJ672">
        <v>55</v>
      </c>
      <c r="AK672">
        <v>125</v>
      </c>
      <c r="AL672">
        <v>320</v>
      </c>
      <c r="AM672">
        <v>140</v>
      </c>
      <c r="AN672">
        <v>0</v>
      </c>
      <c r="AO672">
        <v>140</v>
      </c>
      <c r="AP672" t="s">
        <v>80</v>
      </c>
      <c r="AQ672" t="s">
        <v>187</v>
      </c>
      <c r="AR672" t="s">
        <v>261</v>
      </c>
      <c r="AS672" t="s">
        <v>86</v>
      </c>
      <c r="AT672" t="s">
        <v>86</v>
      </c>
      <c r="AU672" t="s">
        <v>86</v>
      </c>
      <c r="AV672" t="s">
        <v>1974</v>
      </c>
      <c r="AW672" t="s">
        <v>80</v>
      </c>
      <c r="AX672" t="s">
        <v>218</v>
      </c>
      <c r="AY672" t="s">
        <v>2061</v>
      </c>
      <c r="AZ672" t="s">
        <v>243</v>
      </c>
      <c r="BA672" t="s">
        <v>245</v>
      </c>
      <c r="BB672" t="s">
        <v>244</v>
      </c>
      <c r="BC672" t="s">
        <v>244</v>
      </c>
      <c r="BD672" t="s">
        <v>2064</v>
      </c>
      <c r="BE672" t="s">
        <v>2351</v>
      </c>
      <c r="BF672" t="s">
        <v>86</v>
      </c>
      <c r="BG672" t="s">
        <v>150</v>
      </c>
      <c r="BH672" t="str">
        <f>IF(COUNTIF(工作表1!A:A, $C672)&gt;0, "預購款", "非預購款")</f>
        <v>非預購款</v>
      </c>
    </row>
    <row r="673" spans="1:60" x14ac:dyDescent="0.25">
      <c r="A673" t="s">
        <v>2054</v>
      </c>
      <c r="B673" t="s">
        <v>776</v>
      </c>
      <c r="C673" t="s">
        <v>2055</v>
      </c>
      <c r="D673" t="s">
        <v>2056</v>
      </c>
      <c r="E673" t="s">
        <v>2057</v>
      </c>
      <c r="F673" t="s">
        <v>178</v>
      </c>
      <c r="G673" t="s">
        <v>2058</v>
      </c>
      <c r="H673" t="s">
        <v>132</v>
      </c>
      <c r="I673" t="s">
        <v>120</v>
      </c>
      <c r="J673" t="s">
        <v>121</v>
      </c>
      <c r="K673" t="s">
        <v>69</v>
      </c>
      <c r="L673" t="s">
        <v>2059</v>
      </c>
      <c r="M673" t="s">
        <v>71</v>
      </c>
      <c r="N673" t="s">
        <v>100</v>
      </c>
      <c r="O673" t="s">
        <v>1900</v>
      </c>
      <c r="P673" t="s">
        <v>1901</v>
      </c>
      <c r="R673" t="s">
        <v>1902</v>
      </c>
      <c r="S673" t="s">
        <v>179</v>
      </c>
      <c r="T673" t="s">
        <v>76</v>
      </c>
      <c r="U673" t="s">
        <v>502</v>
      </c>
      <c r="V673" t="s">
        <v>2060</v>
      </c>
      <c r="W673">
        <v>990</v>
      </c>
      <c r="X673">
        <v>39.99</v>
      </c>
      <c r="Y673">
        <v>129</v>
      </c>
      <c r="Z673">
        <v>709000</v>
      </c>
      <c r="AA673">
        <v>316800</v>
      </c>
      <c r="AB673">
        <v>318</v>
      </c>
      <c r="AD673" t="s">
        <v>238</v>
      </c>
      <c r="AE673">
        <v>1</v>
      </c>
      <c r="AF673">
        <v>0</v>
      </c>
      <c r="AI673">
        <v>50</v>
      </c>
      <c r="AJ673">
        <v>10</v>
      </c>
      <c r="AK673">
        <v>60</v>
      </c>
      <c r="AL673">
        <v>320</v>
      </c>
      <c r="AM673">
        <v>69</v>
      </c>
      <c r="AN673">
        <v>0</v>
      </c>
      <c r="AO673">
        <v>69</v>
      </c>
      <c r="AP673" t="s">
        <v>80</v>
      </c>
      <c r="AQ673" t="s">
        <v>187</v>
      </c>
      <c r="AR673" t="s">
        <v>261</v>
      </c>
      <c r="AS673" t="s">
        <v>86</v>
      </c>
      <c r="AT673" t="s">
        <v>86</v>
      </c>
      <c r="AU673" t="s">
        <v>86</v>
      </c>
      <c r="AV673" t="s">
        <v>1974</v>
      </c>
      <c r="AW673" t="s">
        <v>80</v>
      </c>
      <c r="AX673" t="s">
        <v>218</v>
      </c>
      <c r="AY673" t="s">
        <v>2061</v>
      </c>
      <c r="AZ673" t="s">
        <v>243</v>
      </c>
      <c r="BA673" t="s">
        <v>245</v>
      </c>
      <c r="BB673" t="s">
        <v>244</v>
      </c>
      <c r="BC673" t="s">
        <v>244</v>
      </c>
      <c r="BD673" t="s">
        <v>2065</v>
      </c>
      <c r="BE673" t="s">
        <v>2351</v>
      </c>
      <c r="BF673" t="s">
        <v>86</v>
      </c>
      <c r="BG673" t="s">
        <v>150</v>
      </c>
      <c r="BH673" t="str">
        <f>IF(COUNTIF(工作表1!A:A, $C673)&gt;0, "預購款", "非預購款")</f>
        <v>非預購款</v>
      </c>
    </row>
    <row r="674" spans="1:60" x14ac:dyDescent="0.25">
      <c r="A674" t="s">
        <v>1589</v>
      </c>
      <c r="B674" t="s">
        <v>1590</v>
      </c>
      <c r="C674" t="s">
        <v>1591</v>
      </c>
      <c r="D674" t="s">
        <v>1592</v>
      </c>
      <c r="E674" t="s">
        <v>1593</v>
      </c>
      <c r="F674" t="s">
        <v>178</v>
      </c>
      <c r="G674" t="s">
        <v>1594</v>
      </c>
      <c r="H674" t="s">
        <v>66</v>
      </c>
      <c r="I674" t="s">
        <v>97</v>
      </c>
      <c r="J674" t="s">
        <v>98</v>
      </c>
      <c r="K674" t="s">
        <v>69</v>
      </c>
      <c r="L674" t="s">
        <v>1595</v>
      </c>
      <c r="M674" t="s">
        <v>71</v>
      </c>
      <c r="N674" t="s">
        <v>100</v>
      </c>
      <c r="O674" t="s">
        <v>1391</v>
      </c>
      <c r="P674" t="s">
        <v>1392</v>
      </c>
      <c r="R674" t="s">
        <v>1588</v>
      </c>
      <c r="S674" t="s">
        <v>179</v>
      </c>
      <c r="T674" t="s">
        <v>76</v>
      </c>
      <c r="U674" t="s">
        <v>527</v>
      </c>
      <c r="V674" t="s">
        <v>1596</v>
      </c>
      <c r="W674">
        <v>390</v>
      </c>
      <c r="X674">
        <v>16.989999999999998</v>
      </c>
      <c r="Y674">
        <v>49</v>
      </c>
      <c r="Z674">
        <v>279000</v>
      </c>
      <c r="AA674">
        <v>148200</v>
      </c>
      <c r="AB674">
        <v>102</v>
      </c>
      <c r="AD674" t="s">
        <v>238</v>
      </c>
      <c r="AE674">
        <v>1</v>
      </c>
      <c r="AF674">
        <v>0</v>
      </c>
      <c r="AI674">
        <v>250</v>
      </c>
      <c r="AJ674">
        <v>130</v>
      </c>
      <c r="AK674">
        <v>380</v>
      </c>
      <c r="AL674">
        <v>380</v>
      </c>
      <c r="AM674">
        <v>380</v>
      </c>
      <c r="AN674">
        <v>0</v>
      </c>
      <c r="AO674">
        <v>380</v>
      </c>
      <c r="AP674" t="s">
        <v>80</v>
      </c>
      <c r="AQ674" t="s">
        <v>2352</v>
      </c>
      <c r="AV674" t="s">
        <v>1598</v>
      </c>
      <c r="AW674" t="s">
        <v>69</v>
      </c>
      <c r="AX674" t="s">
        <v>1599</v>
      </c>
      <c r="AY674" t="s">
        <v>1600</v>
      </c>
      <c r="BD674" t="s">
        <v>1601</v>
      </c>
      <c r="BE674" t="s">
        <v>2353</v>
      </c>
      <c r="BH674" t="str">
        <f>IF(COUNTIF(工作表1!A:A, $C674)&gt;0, "預購款", "非預購款")</f>
        <v>非預購款</v>
      </c>
    </row>
    <row r="675" spans="1:60" x14ac:dyDescent="0.25">
      <c r="A675" t="s">
        <v>2354</v>
      </c>
      <c r="B675" t="s">
        <v>226</v>
      </c>
      <c r="C675" t="s">
        <v>2355</v>
      </c>
      <c r="D675" t="s">
        <v>2356</v>
      </c>
      <c r="E675" t="s">
        <v>2357</v>
      </c>
      <c r="F675" t="s">
        <v>178</v>
      </c>
      <c r="G675" t="s">
        <v>2358</v>
      </c>
      <c r="H675" t="s">
        <v>379</v>
      </c>
      <c r="I675" t="s">
        <v>120</v>
      </c>
      <c r="J675" t="s">
        <v>121</v>
      </c>
      <c r="K675" t="s">
        <v>80</v>
      </c>
      <c r="L675" t="s">
        <v>2359</v>
      </c>
      <c r="M675" t="s">
        <v>71</v>
      </c>
      <c r="N675" t="s">
        <v>100</v>
      </c>
      <c r="O675" t="s">
        <v>2306</v>
      </c>
      <c r="P675" t="s">
        <v>2307</v>
      </c>
      <c r="R675" t="s">
        <v>1588</v>
      </c>
      <c r="S675" t="s">
        <v>179</v>
      </c>
      <c r="T675" t="s">
        <v>291</v>
      </c>
      <c r="U675" t="s">
        <v>146</v>
      </c>
      <c r="V675" t="s">
        <v>144</v>
      </c>
      <c r="W675">
        <v>790</v>
      </c>
      <c r="X675">
        <v>34.99</v>
      </c>
      <c r="Y675">
        <v>99</v>
      </c>
      <c r="Z675">
        <v>569000</v>
      </c>
      <c r="AA675">
        <v>323900</v>
      </c>
      <c r="AB675">
        <v>370</v>
      </c>
      <c r="AD675" t="s">
        <v>238</v>
      </c>
      <c r="AE675">
        <v>2</v>
      </c>
      <c r="AF675">
        <v>0</v>
      </c>
      <c r="AI675">
        <v>10</v>
      </c>
      <c r="AJ675">
        <v>20</v>
      </c>
      <c r="AK675">
        <v>30</v>
      </c>
      <c r="AL675">
        <v>410</v>
      </c>
      <c r="AM675">
        <v>30</v>
      </c>
      <c r="AN675">
        <v>0</v>
      </c>
      <c r="AO675">
        <v>30</v>
      </c>
      <c r="AP675" t="s">
        <v>80</v>
      </c>
      <c r="AQ675" t="s">
        <v>1151</v>
      </c>
      <c r="AT675" t="s">
        <v>240</v>
      </c>
      <c r="AU675" t="s">
        <v>240</v>
      </c>
      <c r="AV675" t="s">
        <v>2360</v>
      </c>
      <c r="AW675" t="s">
        <v>80</v>
      </c>
      <c r="AX675" t="s">
        <v>126</v>
      </c>
      <c r="AY675" t="s">
        <v>2361</v>
      </c>
      <c r="AZ675" t="s">
        <v>243</v>
      </c>
      <c r="BA675" t="s">
        <v>243</v>
      </c>
      <c r="BB675" t="s">
        <v>244</v>
      </c>
      <c r="BC675" t="s">
        <v>264</v>
      </c>
      <c r="BD675" t="s">
        <v>2362</v>
      </c>
      <c r="BE675" t="s">
        <v>2363</v>
      </c>
      <c r="BF675" t="s">
        <v>291</v>
      </c>
      <c r="BG675" t="s">
        <v>150</v>
      </c>
      <c r="BH675" t="str">
        <f>IF(COUNTIF(工作表1!A:A, $C675)&gt;0, "預購款", "非預購款")</f>
        <v>非預購款</v>
      </c>
    </row>
    <row r="676" spans="1:60" x14ac:dyDescent="0.25">
      <c r="A676" t="s">
        <v>2354</v>
      </c>
      <c r="B676" t="s">
        <v>226</v>
      </c>
      <c r="C676" t="s">
        <v>2355</v>
      </c>
      <c r="D676" t="s">
        <v>2356</v>
      </c>
      <c r="E676" t="s">
        <v>2357</v>
      </c>
      <c r="F676" t="s">
        <v>178</v>
      </c>
      <c r="G676" t="s">
        <v>2358</v>
      </c>
      <c r="H676" t="s">
        <v>119</v>
      </c>
      <c r="I676" t="s">
        <v>120</v>
      </c>
      <c r="J676" t="s">
        <v>121</v>
      </c>
      <c r="K676" t="s">
        <v>80</v>
      </c>
      <c r="L676" t="s">
        <v>2359</v>
      </c>
      <c r="M676" t="s">
        <v>71</v>
      </c>
      <c r="N676" t="s">
        <v>100</v>
      </c>
      <c r="O676" t="s">
        <v>2306</v>
      </c>
      <c r="P676" t="s">
        <v>2307</v>
      </c>
      <c r="R676" t="s">
        <v>1588</v>
      </c>
      <c r="S676" t="s">
        <v>179</v>
      </c>
      <c r="T676" t="s">
        <v>291</v>
      </c>
      <c r="U676" t="s">
        <v>146</v>
      </c>
      <c r="V676" t="s">
        <v>144</v>
      </c>
      <c r="W676">
        <v>790</v>
      </c>
      <c r="X676">
        <v>34.99</v>
      </c>
      <c r="Y676">
        <v>99</v>
      </c>
      <c r="Z676">
        <v>569000</v>
      </c>
      <c r="AA676">
        <v>323900</v>
      </c>
      <c r="AB676">
        <v>370</v>
      </c>
      <c r="AD676" t="s">
        <v>238</v>
      </c>
      <c r="AE676">
        <v>2</v>
      </c>
      <c r="AF676">
        <v>0</v>
      </c>
      <c r="AI676">
        <v>10</v>
      </c>
      <c r="AJ676">
        <v>55</v>
      </c>
      <c r="AK676">
        <v>65</v>
      </c>
      <c r="AL676">
        <v>410</v>
      </c>
      <c r="AM676">
        <v>74</v>
      </c>
      <c r="AN676">
        <v>0</v>
      </c>
      <c r="AO676">
        <v>74</v>
      </c>
      <c r="AP676" t="s">
        <v>80</v>
      </c>
      <c r="AQ676" t="s">
        <v>1151</v>
      </c>
      <c r="AT676" t="s">
        <v>240</v>
      </c>
      <c r="AU676" t="s">
        <v>240</v>
      </c>
      <c r="AV676" t="s">
        <v>2360</v>
      </c>
      <c r="AW676" t="s">
        <v>80</v>
      </c>
      <c r="AX676" t="s">
        <v>126</v>
      </c>
      <c r="AY676" t="s">
        <v>2361</v>
      </c>
      <c r="AZ676" t="s">
        <v>243</v>
      </c>
      <c r="BA676" t="s">
        <v>243</v>
      </c>
      <c r="BB676" t="s">
        <v>244</v>
      </c>
      <c r="BC676" t="s">
        <v>264</v>
      </c>
      <c r="BD676" t="s">
        <v>2364</v>
      </c>
      <c r="BE676" t="s">
        <v>2363</v>
      </c>
      <c r="BF676" t="s">
        <v>291</v>
      </c>
      <c r="BG676" t="s">
        <v>150</v>
      </c>
      <c r="BH676" t="str">
        <f>IF(COUNTIF(工作表1!A:A, $C676)&gt;0, "預購款", "非預購款")</f>
        <v>非預購款</v>
      </c>
    </row>
    <row r="677" spans="1:60" x14ac:dyDescent="0.25">
      <c r="A677" t="s">
        <v>2354</v>
      </c>
      <c r="B677" t="s">
        <v>226</v>
      </c>
      <c r="C677" t="s">
        <v>2355</v>
      </c>
      <c r="D677" t="s">
        <v>2356</v>
      </c>
      <c r="E677" t="s">
        <v>2357</v>
      </c>
      <c r="F677" t="s">
        <v>178</v>
      </c>
      <c r="G677" t="s">
        <v>2358</v>
      </c>
      <c r="H677" t="s">
        <v>392</v>
      </c>
      <c r="I677" t="s">
        <v>120</v>
      </c>
      <c r="J677" t="s">
        <v>121</v>
      </c>
      <c r="K677" t="s">
        <v>80</v>
      </c>
      <c r="L677" t="s">
        <v>2359</v>
      </c>
      <c r="M677" t="s">
        <v>71</v>
      </c>
      <c r="N677" t="s">
        <v>100</v>
      </c>
      <c r="O677" t="s">
        <v>2306</v>
      </c>
      <c r="P677" t="s">
        <v>2307</v>
      </c>
      <c r="R677" t="s">
        <v>1588</v>
      </c>
      <c r="S677" t="s">
        <v>179</v>
      </c>
      <c r="T677" t="s">
        <v>291</v>
      </c>
      <c r="U677" t="s">
        <v>146</v>
      </c>
      <c r="V677" t="s">
        <v>144</v>
      </c>
      <c r="W677">
        <v>790</v>
      </c>
      <c r="X677">
        <v>34.99</v>
      </c>
      <c r="Y677">
        <v>99</v>
      </c>
      <c r="Z677">
        <v>569000</v>
      </c>
      <c r="AA677">
        <v>323900</v>
      </c>
      <c r="AB677">
        <v>370</v>
      </c>
      <c r="AD677" t="s">
        <v>238</v>
      </c>
      <c r="AE677">
        <v>2</v>
      </c>
      <c r="AF677">
        <v>0</v>
      </c>
      <c r="AI677">
        <v>10</v>
      </c>
      <c r="AJ677">
        <v>15</v>
      </c>
      <c r="AK677">
        <v>25</v>
      </c>
      <c r="AL677">
        <v>410</v>
      </c>
      <c r="AM677">
        <v>26</v>
      </c>
      <c r="AN677">
        <v>0</v>
      </c>
      <c r="AO677">
        <v>26</v>
      </c>
      <c r="AP677" t="s">
        <v>80</v>
      </c>
      <c r="AQ677" t="s">
        <v>1151</v>
      </c>
      <c r="AT677" t="s">
        <v>240</v>
      </c>
      <c r="AU677" t="s">
        <v>240</v>
      </c>
      <c r="AV677" t="s">
        <v>2360</v>
      </c>
      <c r="AW677" t="s">
        <v>80</v>
      </c>
      <c r="AX677" t="s">
        <v>126</v>
      </c>
      <c r="AY677" t="s">
        <v>2361</v>
      </c>
      <c r="AZ677" t="s">
        <v>243</v>
      </c>
      <c r="BA677" t="s">
        <v>243</v>
      </c>
      <c r="BB677" t="s">
        <v>244</v>
      </c>
      <c r="BC677" t="s">
        <v>264</v>
      </c>
      <c r="BD677" t="s">
        <v>2365</v>
      </c>
      <c r="BE677" t="s">
        <v>2363</v>
      </c>
      <c r="BF677" t="s">
        <v>291</v>
      </c>
      <c r="BG677" t="s">
        <v>150</v>
      </c>
      <c r="BH677" t="str">
        <f>IF(COUNTIF(工作表1!A:A, $C677)&gt;0, "預購款", "非預購款")</f>
        <v>非預購款</v>
      </c>
    </row>
    <row r="678" spans="1:60" x14ac:dyDescent="0.25">
      <c r="A678" t="s">
        <v>2354</v>
      </c>
      <c r="B678" t="s">
        <v>226</v>
      </c>
      <c r="C678" t="s">
        <v>2355</v>
      </c>
      <c r="D678" t="s">
        <v>2356</v>
      </c>
      <c r="E678" t="s">
        <v>2357</v>
      </c>
      <c r="F678" t="s">
        <v>178</v>
      </c>
      <c r="G678" t="s">
        <v>2358</v>
      </c>
      <c r="H678" t="s">
        <v>130</v>
      </c>
      <c r="I678" t="s">
        <v>120</v>
      </c>
      <c r="J678" t="s">
        <v>121</v>
      </c>
      <c r="K678" t="s">
        <v>80</v>
      </c>
      <c r="L678" t="s">
        <v>2359</v>
      </c>
      <c r="M678" t="s">
        <v>71</v>
      </c>
      <c r="N678" t="s">
        <v>100</v>
      </c>
      <c r="O678" t="s">
        <v>2306</v>
      </c>
      <c r="P678" t="s">
        <v>2307</v>
      </c>
      <c r="R678" t="s">
        <v>1588</v>
      </c>
      <c r="S678" t="s">
        <v>179</v>
      </c>
      <c r="T678" t="s">
        <v>291</v>
      </c>
      <c r="U678" t="s">
        <v>146</v>
      </c>
      <c r="V678" t="s">
        <v>144</v>
      </c>
      <c r="W678">
        <v>790</v>
      </c>
      <c r="X678">
        <v>34.99</v>
      </c>
      <c r="Y678">
        <v>99</v>
      </c>
      <c r="Z678">
        <v>569000</v>
      </c>
      <c r="AA678">
        <v>323900</v>
      </c>
      <c r="AB678">
        <v>370</v>
      </c>
      <c r="AD678" t="s">
        <v>238</v>
      </c>
      <c r="AE678">
        <v>2</v>
      </c>
      <c r="AF678">
        <v>0</v>
      </c>
      <c r="AI678">
        <v>10</v>
      </c>
      <c r="AJ678">
        <v>60</v>
      </c>
      <c r="AK678">
        <v>70</v>
      </c>
      <c r="AL678">
        <v>410</v>
      </c>
      <c r="AM678">
        <v>78</v>
      </c>
      <c r="AN678">
        <v>0</v>
      </c>
      <c r="AO678">
        <v>78</v>
      </c>
      <c r="AP678" t="s">
        <v>80</v>
      </c>
      <c r="AQ678" t="s">
        <v>1151</v>
      </c>
      <c r="AT678" t="s">
        <v>240</v>
      </c>
      <c r="AU678" t="s">
        <v>240</v>
      </c>
      <c r="AV678" t="s">
        <v>2360</v>
      </c>
      <c r="AW678" t="s">
        <v>80</v>
      </c>
      <c r="AX678" t="s">
        <v>126</v>
      </c>
      <c r="AY678" t="s">
        <v>2361</v>
      </c>
      <c r="AZ678" t="s">
        <v>243</v>
      </c>
      <c r="BA678" t="s">
        <v>243</v>
      </c>
      <c r="BB678" t="s">
        <v>244</v>
      </c>
      <c r="BC678" t="s">
        <v>264</v>
      </c>
      <c r="BD678" t="s">
        <v>2366</v>
      </c>
      <c r="BE678" t="s">
        <v>2363</v>
      </c>
      <c r="BF678" t="s">
        <v>291</v>
      </c>
      <c r="BG678" t="s">
        <v>150</v>
      </c>
      <c r="BH678" t="str">
        <f>IF(COUNTIF(工作表1!A:A, $C678)&gt;0, "預購款", "非預購款")</f>
        <v>非預購款</v>
      </c>
    </row>
    <row r="679" spans="1:60" x14ac:dyDescent="0.25">
      <c r="A679" t="s">
        <v>2354</v>
      </c>
      <c r="B679" t="s">
        <v>226</v>
      </c>
      <c r="C679" t="s">
        <v>2355</v>
      </c>
      <c r="D679" t="s">
        <v>2356</v>
      </c>
      <c r="E679" t="s">
        <v>2357</v>
      </c>
      <c r="F679" t="s">
        <v>178</v>
      </c>
      <c r="G679" t="s">
        <v>2358</v>
      </c>
      <c r="H679" t="s">
        <v>132</v>
      </c>
      <c r="I679" t="s">
        <v>120</v>
      </c>
      <c r="J679" t="s">
        <v>121</v>
      </c>
      <c r="K679" t="s">
        <v>80</v>
      </c>
      <c r="L679" t="s">
        <v>2359</v>
      </c>
      <c r="M679" t="s">
        <v>71</v>
      </c>
      <c r="N679" t="s">
        <v>100</v>
      </c>
      <c r="O679" t="s">
        <v>2306</v>
      </c>
      <c r="P679" t="s">
        <v>2307</v>
      </c>
      <c r="R679" t="s">
        <v>1588</v>
      </c>
      <c r="S679" t="s">
        <v>179</v>
      </c>
      <c r="T679" t="s">
        <v>291</v>
      </c>
      <c r="U679" t="s">
        <v>146</v>
      </c>
      <c r="V679" t="s">
        <v>144</v>
      </c>
      <c r="W679">
        <v>790</v>
      </c>
      <c r="X679">
        <v>34.99</v>
      </c>
      <c r="Y679">
        <v>99</v>
      </c>
      <c r="Z679">
        <v>569000</v>
      </c>
      <c r="AA679">
        <v>323900</v>
      </c>
      <c r="AB679">
        <v>370</v>
      </c>
      <c r="AD679" t="s">
        <v>238</v>
      </c>
      <c r="AE679">
        <v>2</v>
      </c>
      <c r="AF679">
        <v>0</v>
      </c>
      <c r="AI679">
        <v>0</v>
      </c>
      <c r="AJ679">
        <v>10</v>
      </c>
      <c r="AK679">
        <v>10</v>
      </c>
      <c r="AL679">
        <v>410</v>
      </c>
      <c r="AM679">
        <v>13</v>
      </c>
      <c r="AN679">
        <v>0</v>
      </c>
      <c r="AO679">
        <v>13</v>
      </c>
      <c r="AP679" t="s">
        <v>80</v>
      </c>
      <c r="AQ679" t="s">
        <v>1151</v>
      </c>
      <c r="AT679" t="s">
        <v>240</v>
      </c>
      <c r="AU679" t="s">
        <v>240</v>
      </c>
      <c r="AV679" t="s">
        <v>2360</v>
      </c>
      <c r="AW679" t="s">
        <v>80</v>
      </c>
      <c r="AX679" t="s">
        <v>126</v>
      </c>
      <c r="AY679" t="s">
        <v>2361</v>
      </c>
      <c r="AZ679" t="s">
        <v>243</v>
      </c>
      <c r="BA679" t="s">
        <v>243</v>
      </c>
      <c r="BB679" t="s">
        <v>244</v>
      </c>
      <c r="BC679" t="s">
        <v>264</v>
      </c>
      <c r="BD679" t="s">
        <v>2367</v>
      </c>
      <c r="BE679" t="s">
        <v>2363</v>
      </c>
      <c r="BF679" t="s">
        <v>291</v>
      </c>
      <c r="BG679" t="s">
        <v>150</v>
      </c>
      <c r="BH679" t="str">
        <f>IF(COUNTIF(工作表1!A:A, $C679)&gt;0, "預購款", "非預購款")</f>
        <v>非預購款</v>
      </c>
    </row>
    <row r="680" spans="1:60" x14ac:dyDescent="0.25">
      <c r="A680" t="s">
        <v>2354</v>
      </c>
      <c r="B680" t="s">
        <v>226</v>
      </c>
      <c r="C680" t="s">
        <v>2355</v>
      </c>
      <c r="D680" t="s">
        <v>2356</v>
      </c>
      <c r="E680" t="s">
        <v>2357</v>
      </c>
      <c r="F680" t="s">
        <v>178</v>
      </c>
      <c r="G680" t="s">
        <v>2358</v>
      </c>
      <c r="H680" t="s">
        <v>379</v>
      </c>
      <c r="I680" t="s">
        <v>171</v>
      </c>
      <c r="J680" t="s">
        <v>172</v>
      </c>
      <c r="K680" t="s">
        <v>69</v>
      </c>
      <c r="L680" t="s">
        <v>2359</v>
      </c>
      <c r="M680" t="s">
        <v>71</v>
      </c>
      <c r="N680" t="s">
        <v>100</v>
      </c>
      <c r="O680" t="s">
        <v>2306</v>
      </c>
      <c r="P680" t="s">
        <v>2307</v>
      </c>
      <c r="R680" t="s">
        <v>1588</v>
      </c>
      <c r="S680" t="s">
        <v>179</v>
      </c>
      <c r="T680" t="s">
        <v>291</v>
      </c>
      <c r="U680" t="s">
        <v>146</v>
      </c>
      <c r="V680" t="s">
        <v>144</v>
      </c>
      <c r="W680">
        <v>790</v>
      </c>
      <c r="X680">
        <v>34.99</v>
      </c>
      <c r="Y680">
        <v>99</v>
      </c>
      <c r="Z680">
        <v>569000</v>
      </c>
      <c r="AA680">
        <v>323900</v>
      </c>
      <c r="AB680">
        <v>370</v>
      </c>
      <c r="AD680" t="s">
        <v>238</v>
      </c>
      <c r="AE680">
        <v>2</v>
      </c>
      <c r="AF680">
        <v>0</v>
      </c>
      <c r="AI680">
        <v>10</v>
      </c>
      <c r="AJ680">
        <v>15</v>
      </c>
      <c r="AK680">
        <v>25</v>
      </c>
      <c r="AL680">
        <v>410</v>
      </c>
      <c r="AM680">
        <v>31</v>
      </c>
      <c r="AN680">
        <v>0</v>
      </c>
      <c r="AO680">
        <v>31</v>
      </c>
      <c r="AP680" t="s">
        <v>80</v>
      </c>
      <c r="AQ680" t="s">
        <v>1151</v>
      </c>
      <c r="AT680" t="s">
        <v>240</v>
      </c>
      <c r="AU680" t="s">
        <v>240</v>
      </c>
      <c r="AV680" t="s">
        <v>2360</v>
      </c>
      <c r="AW680" t="s">
        <v>80</v>
      </c>
      <c r="AX680" t="s">
        <v>126</v>
      </c>
      <c r="AY680" t="s">
        <v>2361</v>
      </c>
      <c r="AZ680" t="s">
        <v>243</v>
      </c>
      <c r="BA680" t="s">
        <v>243</v>
      </c>
      <c r="BB680" t="s">
        <v>244</v>
      </c>
      <c r="BC680" t="s">
        <v>264</v>
      </c>
      <c r="BD680" t="s">
        <v>2368</v>
      </c>
      <c r="BE680" t="s">
        <v>2363</v>
      </c>
      <c r="BF680" t="s">
        <v>291</v>
      </c>
      <c r="BG680" t="s">
        <v>150</v>
      </c>
      <c r="BH680" t="str">
        <f>IF(COUNTIF(工作表1!A:A, $C680)&gt;0, "預購款", "非預購款")</f>
        <v>非預購款</v>
      </c>
    </row>
    <row r="681" spans="1:60" x14ac:dyDescent="0.25">
      <c r="A681" t="s">
        <v>2354</v>
      </c>
      <c r="B681" t="s">
        <v>226</v>
      </c>
      <c r="C681" t="s">
        <v>2355</v>
      </c>
      <c r="D681" t="s">
        <v>2356</v>
      </c>
      <c r="E681" t="s">
        <v>2357</v>
      </c>
      <c r="F681" t="s">
        <v>178</v>
      </c>
      <c r="G681" t="s">
        <v>2358</v>
      </c>
      <c r="H681" t="s">
        <v>119</v>
      </c>
      <c r="I681" t="s">
        <v>171</v>
      </c>
      <c r="J681" t="s">
        <v>172</v>
      </c>
      <c r="K681" t="s">
        <v>69</v>
      </c>
      <c r="L681" t="s">
        <v>2359</v>
      </c>
      <c r="M681" t="s">
        <v>71</v>
      </c>
      <c r="N681" t="s">
        <v>100</v>
      </c>
      <c r="O681" t="s">
        <v>2306</v>
      </c>
      <c r="P681" t="s">
        <v>2307</v>
      </c>
      <c r="R681" t="s">
        <v>1588</v>
      </c>
      <c r="S681" t="s">
        <v>179</v>
      </c>
      <c r="T681" t="s">
        <v>291</v>
      </c>
      <c r="U681" t="s">
        <v>146</v>
      </c>
      <c r="V681" t="s">
        <v>144</v>
      </c>
      <c r="W681">
        <v>790</v>
      </c>
      <c r="X681">
        <v>34.99</v>
      </c>
      <c r="Y681">
        <v>99</v>
      </c>
      <c r="Z681">
        <v>569000</v>
      </c>
      <c r="AA681">
        <v>323900</v>
      </c>
      <c r="AB681">
        <v>370</v>
      </c>
      <c r="AD681" t="s">
        <v>238</v>
      </c>
      <c r="AE681">
        <v>2</v>
      </c>
      <c r="AF681">
        <v>0</v>
      </c>
      <c r="AI681">
        <v>10</v>
      </c>
      <c r="AJ681">
        <v>55</v>
      </c>
      <c r="AK681">
        <v>65</v>
      </c>
      <c r="AL681">
        <v>410</v>
      </c>
      <c r="AM681">
        <v>72</v>
      </c>
      <c r="AN681">
        <v>0</v>
      </c>
      <c r="AO681">
        <v>72</v>
      </c>
      <c r="AP681" t="s">
        <v>80</v>
      </c>
      <c r="AQ681" t="s">
        <v>1151</v>
      </c>
      <c r="AT681" t="s">
        <v>240</v>
      </c>
      <c r="AU681" t="s">
        <v>240</v>
      </c>
      <c r="AV681" t="s">
        <v>2360</v>
      </c>
      <c r="AW681" t="s">
        <v>80</v>
      </c>
      <c r="AX681" t="s">
        <v>126</v>
      </c>
      <c r="AY681" t="s">
        <v>2361</v>
      </c>
      <c r="AZ681" t="s">
        <v>243</v>
      </c>
      <c r="BA681" t="s">
        <v>243</v>
      </c>
      <c r="BB681" t="s">
        <v>244</v>
      </c>
      <c r="BC681" t="s">
        <v>264</v>
      </c>
      <c r="BD681" t="s">
        <v>2369</v>
      </c>
      <c r="BE681" t="s">
        <v>2363</v>
      </c>
      <c r="BF681" t="s">
        <v>291</v>
      </c>
      <c r="BG681" t="s">
        <v>150</v>
      </c>
      <c r="BH681" t="str">
        <f>IF(COUNTIF(工作表1!A:A, $C681)&gt;0, "預購款", "非預購款")</f>
        <v>非預購款</v>
      </c>
    </row>
    <row r="682" spans="1:60" x14ac:dyDescent="0.25">
      <c r="A682" t="s">
        <v>2354</v>
      </c>
      <c r="B682" t="s">
        <v>226</v>
      </c>
      <c r="C682" t="s">
        <v>2355</v>
      </c>
      <c r="D682" t="s">
        <v>2356</v>
      </c>
      <c r="E682" t="s">
        <v>2357</v>
      </c>
      <c r="F682" t="s">
        <v>178</v>
      </c>
      <c r="G682" t="s">
        <v>2358</v>
      </c>
      <c r="H682" t="s">
        <v>392</v>
      </c>
      <c r="I682" t="s">
        <v>171</v>
      </c>
      <c r="J682" t="s">
        <v>172</v>
      </c>
      <c r="K682" t="s">
        <v>69</v>
      </c>
      <c r="L682" t="s">
        <v>2359</v>
      </c>
      <c r="M682" t="s">
        <v>71</v>
      </c>
      <c r="N682" t="s">
        <v>100</v>
      </c>
      <c r="O682" t="s">
        <v>2306</v>
      </c>
      <c r="P682" t="s">
        <v>2307</v>
      </c>
      <c r="R682" t="s">
        <v>1588</v>
      </c>
      <c r="S682" t="s">
        <v>179</v>
      </c>
      <c r="T682" t="s">
        <v>291</v>
      </c>
      <c r="U682" t="s">
        <v>146</v>
      </c>
      <c r="V682" t="s">
        <v>144</v>
      </c>
      <c r="W682">
        <v>790</v>
      </c>
      <c r="X682">
        <v>34.99</v>
      </c>
      <c r="Y682">
        <v>99</v>
      </c>
      <c r="Z682">
        <v>569000</v>
      </c>
      <c r="AA682">
        <v>323900</v>
      </c>
      <c r="AB682">
        <v>370</v>
      </c>
      <c r="AD682" t="s">
        <v>238</v>
      </c>
      <c r="AE682">
        <v>2</v>
      </c>
      <c r="AF682">
        <v>0</v>
      </c>
      <c r="AI682">
        <v>15</v>
      </c>
      <c r="AJ682">
        <v>10</v>
      </c>
      <c r="AK682">
        <v>25</v>
      </c>
      <c r="AL682">
        <v>410</v>
      </c>
      <c r="AM682">
        <v>31</v>
      </c>
      <c r="AN682">
        <v>0</v>
      </c>
      <c r="AO682">
        <v>31</v>
      </c>
      <c r="AP682" t="s">
        <v>80</v>
      </c>
      <c r="AQ682" t="s">
        <v>1151</v>
      </c>
      <c r="AT682" t="s">
        <v>240</v>
      </c>
      <c r="AU682" t="s">
        <v>240</v>
      </c>
      <c r="AV682" t="s">
        <v>2360</v>
      </c>
      <c r="AW682" t="s">
        <v>80</v>
      </c>
      <c r="AX682" t="s">
        <v>126</v>
      </c>
      <c r="AY682" t="s">
        <v>2361</v>
      </c>
      <c r="AZ682" t="s">
        <v>243</v>
      </c>
      <c r="BA682" t="s">
        <v>243</v>
      </c>
      <c r="BB682" t="s">
        <v>244</v>
      </c>
      <c r="BC682" t="s">
        <v>264</v>
      </c>
      <c r="BD682" t="s">
        <v>2370</v>
      </c>
      <c r="BE682" t="s">
        <v>2363</v>
      </c>
      <c r="BF682" t="s">
        <v>291</v>
      </c>
      <c r="BG682" t="s">
        <v>150</v>
      </c>
      <c r="BH682" t="str">
        <f>IF(COUNTIF(工作表1!A:A, $C682)&gt;0, "預購款", "非預購款")</f>
        <v>非預購款</v>
      </c>
    </row>
    <row r="683" spans="1:60" x14ac:dyDescent="0.25">
      <c r="A683" t="s">
        <v>2354</v>
      </c>
      <c r="B683" t="s">
        <v>226</v>
      </c>
      <c r="C683" t="s">
        <v>2355</v>
      </c>
      <c r="D683" t="s">
        <v>2356</v>
      </c>
      <c r="E683" t="s">
        <v>2357</v>
      </c>
      <c r="F683" t="s">
        <v>178</v>
      </c>
      <c r="G683" t="s">
        <v>2358</v>
      </c>
      <c r="H683" t="s">
        <v>130</v>
      </c>
      <c r="I683" t="s">
        <v>171</v>
      </c>
      <c r="J683" t="s">
        <v>172</v>
      </c>
      <c r="K683" t="s">
        <v>69</v>
      </c>
      <c r="L683" t="s">
        <v>2359</v>
      </c>
      <c r="M683" t="s">
        <v>71</v>
      </c>
      <c r="N683" t="s">
        <v>100</v>
      </c>
      <c r="O683" t="s">
        <v>2306</v>
      </c>
      <c r="P683" t="s">
        <v>2307</v>
      </c>
      <c r="R683" t="s">
        <v>1588</v>
      </c>
      <c r="S683" t="s">
        <v>179</v>
      </c>
      <c r="T683" t="s">
        <v>291</v>
      </c>
      <c r="U683" t="s">
        <v>146</v>
      </c>
      <c r="V683" t="s">
        <v>144</v>
      </c>
      <c r="W683">
        <v>790</v>
      </c>
      <c r="X683">
        <v>34.99</v>
      </c>
      <c r="Y683">
        <v>99</v>
      </c>
      <c r="Z683">
        <v>569000</v>
      </c>
      <c r="AA683">
        <v>323900</v>
      </c>
      <c r="AB683">
        <v>370</v>
      </c>
      <c r="AD683" t="s">
        <v>238</v>
      </c>
      <c r="AE683">
        <v>2</v>
      </c>
      <c r="AF683">
        <v>0</v>
      </c>
      <c r="AI683">
        <v>15</v>
      </c>
      <c r="AJ683">
        <v>45</v>
      </c>
      <c r="AK683">
        <v>60</v>
      </c>
      <c r="AL683">
        <v>410</v>
      </c>
      <c r="AM683">
        <v>67</v>
      </c>
      <c r="AN683">
        <v>0</v>
      </c>
      <c r="AO683">
        <v>67</v>
      </c>
      <c r="AP683" t="s">
        <v>80</v>
      </c>
      <c r="AQ683" t="s">
        <v>1151</v>
      </c>
      <c r="AT683" t="s">
        <v>240</v>
      </c>
      <c r="AU683" t="s">
        <v>240</v>
      </c>
      <c r="AV683" t="s">
        <v>2360</v>
      </c>
      <c r="AW683" t="s">
        <v>80</v>
      </c>
      <c r="AX683" t="s">
        <v>126</v>
      </c>
      <c r="AY683" t="s">
        <v>2361</v>
      </c>
      <c r="AZ683" t="s">
        <v>243</v>
      </c>
      <c r="BA683" t="s">
        <v>243</v>
      </c>
      <c r="BB683" t="s">
        <v>244</v>
      </c>
      <c r="BC683" t="s">
        <v>264</v>
      </c>
      <c r="BD683" t="s">
        <v>2371</v>
      </c>
      <c r="BE683" t="s">
        <v>2363</v>
      </c>
      <c r="BF683" t="s">
        <v>291</v>
      </c>
      <c r="BG683" t="s">
        <v>150</v>
      </c>
      <c r="BH683" t="str">
        <f>IF(COUNTIF(工作表1!A:A, $C683)&gt;0, "預購款", "非預購款")</f>
        <v>非預購款</v>
      </c>
    </row>
    <row r="684" spans="1:60" x14ac:dyDescent="0.25">
      <c r="A684" t="s">
        <v>2354</v>
      </c>
      <c r="B684" t="s">
        <v>226</v>
      </c>
      <c r="C684" t="s">
        <v>2355</v>
      </c>
      <c r="D684" t="s">
        <v>2356</v>
      </c>
      <c r="E684" t="s">
        <v>2357</v>
      </c>
      <c r="F684" t="s">
        <v>178</v>
      </c>
      <c r="G684" t="s">
        <v>2358</v>
      </c>
      <c r="H684" t="s">
        <v>132</v>
      </c>
      <c r="I684" t="s">
        <v>171</v>
      </c>
      <c r="J684" t="s">
        <v>172</v>
      </c>
      <c r="K684" t="s">
        <v>69</v>
      </c>
      <c r="L684" t="s">
        <v>2359</v>
      </c>
      <c r="M684" t="s">
        <v>71</v>
      </c>
      <c r="N684" t="s">
        <v>100</v>
      </c>
      <c r="O684" t="s">
        <v>2306</v>
      </c>
      <c r="P684" t="s">
        <v>2307</v>
      </c>
      <c r="R684" t="s">
        <v>1588</v>
      </c>
      <c r="S684" t="s">
        <v>179</v>
      </c>
      <c r="T684" t="s">
        <v>291</v>
      </c>
      <c r="U684" t="s">
        <v>146</v>
      </c>
      <c r="V684" t="s">
        <v>144</v>
      </c>
      <c r="W684">
        <v>790</v>
      </c>
      <c r="X684">
        <v>34.99</v>
      </c>
      <c r="Y684">
        <v>99</v>
      </c>
      <c r="Z684">
        <v>569000</v>
      </c>
      <c r="AA684">
        <v>323900</v>
      </c>
      <c r="AB684">
        <v>370</v>
      </c>
      <c r="AD684" t="s">
        <v>238</v>
      </c>
      <c r="AE684">
        <v>2</v>
      </c>
      <c r="AF684">
        <v>0</v>
      </c>
      <c r="AI684">
        <v>10</v>
      </c>
      <c r="AJ684">
        <v>25</v>
      </c>
      <c r="AK684">
        <v>35</v>
      </c>
      <c r="AL684">
        <v>410</v>
      </c>
      <c r="AM684">
        <v>41</v>
      </c>
      <c r="AN684">
        <v>0</v>
      </c>
      <c r="AO684">
        <v>41</v>
      </c>
      <c r="AP684" t="s">
        <v>80</v>
      </c>
      <c r="AQ684" t="s">
        <v>1151</v>
      </c>
      <c r="AT684" t="s">
        <v>240</v>
      </c>
      <c r="AU684" t="s">
        <v>240</v>
      </c>
      <c r="AV684" t="s">
        <v>2360</v>
      </c>
      <c r="AW684" t="s">
        <v>80</v>
      </c>
      <c r="AX684" t="s">
        <v>126</v>
      </c>
      <c r="AY684" t="s">
        <v>2361</v>
      </c>
      <c r="AZ684" t="s">
        <v>243</v>
      </c>
      <c r="BA684" t="s">
        <v>243</v>
      </c>
      <c r="BB684" t="s">
        <v>244</v>
      </c>
      <c r="BC684" t="s">
        <v>264</v>
      </c>
      <c r="BD684" t="s">
        <v>2372</v>
      </c>
      <c r="BE684" t="s">
        <v>2363</v>
      </c>
      <c r="BF684" t="s">
        <v>291</v>
      </c>
      <c r="BG684" t="s">
        <v>150</v>
      </c>
      <c r="BH684" t="str">
        <f>IF(COUNTIF(工作表1!A:A, $C684)&gt;0, "預購款", "非預購款")</f>
        <v>非預購款</v>
      </c>
    </row>
    <row r="685" spans="1:60" x14ac:dyDescent="0.25">
      <c r="A685" t="s">
        <v>2373</v>
      </c>
      <c r="B685" t="s">
        <v>226</v>
      </c>
      <c r="C685" t="s">
        <v>2374</v>
      </c>
      <c r="D685" t="s">
        <v>2375</v>
      </c>
      <c r="E685" t="s">
        <v>2376</v>
      </c>
      <c r="F685" t="s">
        <v>178</v>
      </c>
      <c r="G685" t="s">
        <v>2377</v>
      </c>
      <c r="H685" t="s">
        <v>119</v>
      </c>
      <c r="I685" t="s">
        <v>97</v>
      </c>
      <c r="J685" t="s">
        <v>98</v>
      </c>
      <c r="K685" t="s">
        <v>69</v>
      </c>
      <c r="L685" t="s">
        <v>2378</v>
      </c>
      <c r="M685" t="s">
        <v>71</v>
      </c>
      <c r="N685" t="s">
        <v>100</v>
      </c>
      <c r="O685" t="s">
        <v>2306</v>
      </c>
      <c r="P685" t="s">
        <v>2307</v>
      </c>
      <c r="R685" t="s">
        <v>1588</v>
      </c>
      <c r="S685" t="s">
        <v>179</v>
      </c>
      <c r="T685" t="s">
        <v>258</v>
      </c>
      <c r="U685" t="s">
        <v>684</v>
      </c>
      <c r="V685" t="s">
        <v>685</v>
      </c>
      <c r="W685">
        <v>790</v>
      </c>
      <c r="X685">
        <v>34.99</v>
      </c>
      <c r="Y685">
        <v>99</v>
      </c>
      <c r="Z685">
        <v>569000</v>
      </c>
      <c r="AA685">
        <v>252800</v>
      </c>
      <c r="AB685">
        <v>230</v>
      </c>
      <c r="AD685" t="s">
        <v>238</v>
      </c>
      <c r="AE685">
        <v>1</v>
      </c>
      <c r="AF685">
        <v>0</v>
      </c>
      <c r="AI685">
        <v>0</v>
      </c>
      <c r="AJ685">
        <v>170</v>
      </c>
      <c r="AK685">
        <v>170</v>
      </c>
      <c r="AL685">
        <v>320</v>
      </c>
      <c r="AM685">
        <v>179</v>
      </c>
      <c r="AN685">
        <v>0</v>
      </c>
      <c r="AO685">
        <v>179</v>
      </c>
      <c r="AP685" t="s">
        <v>80</v>
      </c>
      <c r="AQ685" t="s">
        <v>2257</v>
      </c>
      <c r="AR685" t="s">
        <v>86</v>
      </c>
      <c r="AS685" t="s">
        <v>86</v>
      </c>
      <c r="AT685" t="s">
        <v>240</v>
      </c>
      <c r="AU685" t="s">
        <v>240</v>
      </c>
      <c r="AV685" t="s">
        <v>2379</v>
      </c>
      <c r="AW685" t="s">
        <v>69</v>
      </c>
      <c r="AX685" t="s">
        <v>2380</v>
      </c>
      <c r="AY685" t="s">
        <v>2381</v>
      </c>
      <c r="AZ685" t="s">
        <v>245</v>
      </c>
      <c r="BA685" t="s">
        <v>244</v>
      </c>
      <c r="BB685" t="s">
        <v>264</v>
      </c>
      <c r="BC685" t="s">
        <v>264</v>
      </c>
      <c r="BD685" t="s">
        <v>2382</v>
      </c>
      <c r="BE685" t="s">
        <v>2383</v>
      </c>
      <c r="BF685" t="s">
        <v>240</v>
      </c>
      <c r="BG685" t="s">
        <v>150</v>
      </c>
      <c r="BH685" t="str">
        <f>IF(COUNTIF(工作表1!A:A, $C685)&gt;0, "預購款", "非預購款")</f>
        <v>非預購款</v>
      </c>
    </row>
    <row r="686" spans="1:60" x14ac:dyDescent="0.25">
      <c r="A686" t="s">
        <v>2373</v>
      </c>
      <c r="B686" t="s">
        <v>226</v>
      </c>
      <c r="C686" t="s">
        <v>2374</v>
      </c>
      <c r="D686" t="s">
        <v>2375</v>
      </c>
      <c r="E686" t="s">
        <v>2376</v>
      </c>
      <c r="F686" t="s">
        <v>178</v>
      </c>
      <c r="G686" t="s">
        <v>2377</v>
      </c>
      <c r="H686" t="s">
        <v>130</v>
      </c>
      <c r="I686" t="s">
        <v>97</v>
      </c>
      <c r="J686" t="s">
        <v>98</v>
      </c>
      <c r="K686" t="s">
        <v>69</v>
      </c>
      <c r="L686" t="s">
        <v>2378</v>
      </c>
      <c r="M686" t="s">
        <v>71</v>
      </c>
      <c r="N686" t="s">
        <v>100</v>
      </c>
      <c r="O686" t="s">
        <v>2306</v>
      </c>
      <c r="P686" t="s">
        <v>2307</v>
      </c>
      <c r="R686" t="s">
        <v>1588</v>
      </c>
      <c r="S686" t="s">
        <v>179</v>
      </c>
      <c r="T686" t="s">
        <v>258</v>
      </c>
      <c r="U686" t="s">
        <v>684</v>
      </c>
      <c r="V686" t="s">
        <v>685</v>
      </c>
      <c r="W686">
        <v>790</v>
      </c>
      <c r="X686">
        <v>34.99</v>
      </c>
      <c r="Y686">
        <v>99</v>
      </c>
      <c r="Z686">
        <v>569000</v>
      </c>
      <c r="AA686">
        <v>252800</v>
      </c>
      <c r="AB686">
        <v>230</v>
      </c>
      <c r="AD686" t="s">
        <v>238</v>
      </c>
      <c r="AE686">
        <v>1</v>
      </c>
      <c r="AF686">
        <v>0</v>
      </c>
      <c r="AI686">
        <v>0</v>
      </c>
      <c r="AJ686">
        <v>110</v>
      </c>
      <c r="AK686">
        <v>110</v>
      </c>
      <c r="AL686">
        <v>320</v>
      </c>
      <c r="AM686">
        <v>120</v>
      </c>
      <c r="AN686">
        <v>0</v>
      </c>
      <c r="AO686">
        <v>120</v>
      </c>
      <c r="AP686" t="s">
        <v>80</v>
      </c>
      <c r="AQ686" t="s">
        <v>2257</v>
      </c>
      <c r="AR686" t="s">
        <v>86</v>
      </c>
      <c r="AS686" t="s">
        <v>86</v>
      </c>
      <c r="AT686" t="s">
        <v>240</v>
      </c>
      <c r="AU686" t="s">
        <v>240</v>
      </c>
      <c r="AV686" t="s">
        <v>2379</v>
      </c>
      <c r="AW686" t="s">
        <v>69</v>
      </c>
      <c r="AX686" t="s">
        <v>2380</v>
      </c>
      <c r="AY686" t="s">
        <v>2381</v>
      </c>
      <c r="AZ686" t="s">
        <v>245</v>
      </c>
      <c r="BA686" t="s">
        <v>244</v>
      </c>
      <c r="BB686" t="s">
        <v>264</v>
      </c>
      <c r="BC686" t="s">
        <v>264</v>
      </c>
      <c r="BD686" t="s">
        <v>2384</v>
      </c>
      <c r="BE686" t="s">
        <v>2383</v>
      </c>
      <c r="BF686" t="s">
        <v>240</v>
      </c>
      <c r="BG686" t="s">
        <v>150</v>
      </c>
      <c r="BH686" t="str">
        <f>IF(COUNTIF(工作表1!A:A, $C686)&gt;0, "預購款", "非預購款")</f>
        <v>非預購款</v>
      </c>
    </row>
    <row r="687" spans="1:60" x14ac:dyDescent="0.25">
      <c r="A687" t="s">
        <v>2373</v>
      </c>
      <c r="B687" t="s">
        <v>226</v>
      </c>
      <c r="C687" t="s">
        <v>2374</v>
      </c>
      <c r="D687" t="s">
        <v>2375</v>
      </c>
      <c r="E687" t="s">
        <v>2376</v>
      </c>
      <c r="F687" t="s">
        <v>178</v>
      </c>
      <c r="G687" t="s">
        <v>2377</v>
      </c>
      <c r="H687" t="s">
        <v>132</v>
      </c>
      <c r="I687" t="s">
        <v>97</v>
      </c>
      <c r="J687" t="s">
        <v>98</v>
      </c>
      <c r="K687" t="s">
        <v>69</v>
      </c>
      <c r="L687" t="s">
        <v>2378</v>
      </c>
      <c r="M687" t="s">
        <v>71</v>
      </c>
      <c r="N687" t="s">
        <v>100</v>
      </c>
      <c r="O687" t="s">
        <v>2306</v>
      </c>
      <c r="P687" t="s">
        <v>2307</v>
      </c>
      <c r="R687" t="s">
        <v>1588</v>
      </c>
      <c r="S687" t="s">
        <v>179</v>
      </c>
      <c r="T687" t="s">
        <v>258</v>
      </c>
      <c r="U687" t="s">
        <v>684</v>
      </c>
      <c r="V687" t="s">
        <v>685</v>
      </c>
      <c r="W687">
        <v>790</v>
      </c>
      <c r="X687">
        <v>34.99</v>
      </c>
      <c r="Y687">
        <v>99</v>
      </c>
      <c r="Z687">
        <v>569000</v>
      </c>
      <c r="AA687">
        <v>252800</v>
      </c>
      <c r="AB687">
        <v>230</v>
      </c>
      <c r="AD687" t="s">
        <v>238</v>
      </c>
      <c r="AE687">
        <v>1</v>
      </c>
      <c r="AF687">
        <v>0</v>
      </c>
      <c r="AI687">
        <v>0</v>
      </c>
      <c r="AJ687">
        <v>40</v>
      </c>
      <c r="AK687">
        <v>40</v>
      </c>
      <c r="AL687">
        <v>320</v>
      </c>
      <c r="AM687">
        <v>48</v>
      </c>
      <c r="AN687">
        <v>0</v>
      </c>
      <c r="AO687">
        <v>48</v>
      </c>
      <c r="AP687" t="s">
        <v>80</v>
      </c>
      <c r="AQ687" t="s">
        <v>2257</v>
      </c>
      <c r="AR687" t="s">
        <v>86</v>
      </c>
      <c r="AS687" t="s">
        <v>86</v>
      </c>
      <c r="AT687" t="s">
        <v>240</v>
      </c>
      <c r="AU687" t="s">
        <v>240</v>
      </c>
      <c r="AV687" t="s">
        <v>2379</v>
      </c>
      <c r="AW687" t="s">
        <v>69</v>
      </c>
      <c r="AX687" t="s">
        <v>2380</v>
      </c>
      <c r="AY687" t="s">
        <v>2381</v>
      </c>
      <c r="AZ687" t="s">
        <v>245</v>
      </c>
      <c r="BA687" t="s">
        <v>244</v>
      </c>
      <c r="BB687" t="s">
        <v>264</v>
      </c>
      <c r="BC687" t="s">
        <v>264</v>
      </c>
      <c r="BD687" t="s">
        <v>2385</v>
      </c>
      <c r="BE687" t="s">
        <v>2383</v>
      </c>
      <c r="BF687" t="s">
        <v>240</v>
      </c>
      <c r="BG687" t="s">
        <v>150</v>
      </c>
      <c r="BH687" t="str">
        <f>IF(COUNTIF(工作表1!A:A, $C687)&gt;0, "預購款", "非預購款")</f>
        <v>非預購款</v>
      </c>
    </row>
    <row r="688" spans="1:60" x14ac:dyDescent="0.25">
      <c r="A688" t="s">
        <v>2386</v>
      </c>
      <c r="B688" t="s">
        <v>226</v>
      </c>
      <c r="C688" t="s">
        <v>2387</v>
      </c>
      <c r="D688" t="s">
        <v>2388</v>
      </c>
      <c r="E688" t="s">
        <v>2389</v>
      </c>
      <c r="F688" t="s">
        <v>178</v>
      </c>
      <c r="G688" t="s">
        <v>2390</v>
      </c>
      <c r="H688" t="s">
        <v>119</v>
      </c>
      <c r="I688" t="s">
        <v>214</v>
      </c>
      <c r="J688" t="s">
        <v>215</v>
      </c>
      <c r="K688" t="s">
        <v>69</v>
      </c>
      <c r="L688" t="s">
        <v>2391</v>
      </c>
      <c r="M688" t="s">
        <v>71</v>
      </c>
      <c r="N688" t="s">
        <v>100</v>
      </c>
      <c r="O688" t="s">
        <v>2306</v>
      </c>
      <c r="P688" t="s">
        <v>2307</v>
      </c>
      <c r="R688" t="s">
        <v>1588</v>
      </c>
      <c r="S688" t="s">
        <v>179</v>
      </c>
      <c r="T688" t="s">
        <v>258</v>
      </c>
      <c r="U688" t="s">
        <v>104</v>
      </c>
      <c r="V688" t="s">
        <v>1519</v>
      </c>
      <c r="W688">
        <v>490</v>
      </c>
      <c r="X688">
        <v>22.99</v>
      </c>
      <c r="Y688">
        <v>60</v>
      </c>
      <c r="Z688">
        <v>355000</v>
      </c>
      <c r="AA688">
        <v>147000</v>
      </c>
      <c r="AB688">
        <v>170</v>
      </c>
      <c r="AD688" t="s">
        <v>238</v>
      </c>
      <c r="AE688">
        <v>1</v>
      </c>
      <c r="AF688">
        <v>0</v>
      </c>
      <c r="AI688">
        <v>25</v>
      </c>
      <c r="AJ688">
        <v>90</v>
      </c>
      <c r="AK688">
        <v>115</v>
      </c>
      <c r="AL688">
        <v>300</v>
      </c>
      <c r="AM688">
        <v>106</v>
      </c>
      <c r="AN688">
        <v>0</v>
      </c>
      <c r="AO688">
        <v>106</v>
      </c>
      <c r="AP688" t="s">
        <v>80</v>
      </c>
      <c r="AQ688" t="s">
        <v>187</v>
      </c>
      <c r="AR688" t="s">
        <v>86</v>
      </c>
      <c r="AS688" t="s">
        <v>86</v>
      </c>
      <c r="AT688" t="s">
        <v>86</v>
      </c>
      <c r="AU688" t="s">
        <v>86</v>
      </c>
      <c r="AV688" t="s">
        <v>81</v>
      </c>
      <c r="AW688" t="s">
        <v>69</v>
      </c>
      <c r="AX688" t="s">
        <v>262</v>
      </c>
      <c r="AY688" t="s">
        <v>496</v>
      </c>
      <c r="AZ688" t="s">
        <v>243</v>
      </c>
      <c r="BA688" t="s">
        <v>264</v>
      </c>
      <c r="BB688" t="s">
        <v>244</v>
      </c>
      <c r="BC688" t="s">
        <v>244</v>
      </c>
      <c r="BD688" t="s">
        <v>2392</v>
      </c>
      <c r="BE688" t="s">
        <v>2393</v>
      </c>
      <c r="BF688" t="s">
        <v>240</v>
      </c>
      <c r="BG688" t="s">
        <v>150</v>
      </c>
      <c r="BH688" t="str">
        <f>IF(COUNTIF(工作表1!A:A, $C688)&gt;0, "預購款", "非預購款")</f>
        <v>非預購款</v>
      </c>
    </row>
    <row r="689" spans="1:60" x14ac:dyDescent="0.25">
      <c r="A689" t="s">
        <v>2386</v>
      </c>
      <c r="B689" t="s">
        <v>226</v>
      </c>
      <c r="C689" t="s">
        <v>2387</v>
      </c>
      <c r="D689" t="s">
        <v>2388</v>
      </c>
      <c r="E689" t="s">
        <v>2389</v>
      </c>
      <c r="F689" t="s">
        <v>178</v>
      </c>
      <c r="G689" t="s">
        <v>2390</v>
      </c>
      <c r="H689" t="s">
        <v>130</v>
      </c>
      <c r="I689" t="s">
        <v>214</v>
      </c>
      <c r="J689" t="s">
        <v>215</v>
      </c>
      <c r="K689" t="s">
        <v>69</v>
      </c>
      <c r="L689" t="s">
        <v>2391</v>
      </c>
      <c r="M689" t="s">
        <v>71</v>
      </c>
      <c r="N689" t="s">
        <v>100</v>
      </c>
      <c r="O689" t="s">
        <v>2306</v>
      </c>
      <c r="P689" t="s">
        <v>2307</v>
      </c>
      <c r="R689" t="s">
        <v>1588</v>
      </c>
      <c r="S689" t="s">
        <v>179</v>
      </c>
      <c r="T689" t="s">
        <v>258</v>
      </c>
      <c r="U689" t="s">
        <v>104</v>
      </c>
      <c r="V689" t="s">
        <v>1519</v>
      </c>
      <c r="W689">
        <v>490</v>
      </c>
      <c r="X689">
        <v>22.99</v>
      </c>
      <c r="Y689">
        <v>60</v>
      </c>
      <c r="Z689">
        <v>355000</v>
      </c>
      <c r="AA689">
        <v>147000</v>
      </c>
      <c r="AB689">
        <v>170</v>
      </c>
      <c r="AD689" t="s">
        <v>238</v>
      </c>
      <c r="AE689">
        <v>1</v>
      </c>
      <c r="AF689">
        <v>0</v>
      </c>
      <c r="AI689">
        <v>25</v>
      </c>
      <c r="AJ689">
        <v>85</v>
      </c>
      <c r="AK689">
        <v>110</v>
      </c>
      <c r="AL689">
        <v>300</v>
      </c>
      <c r="AM689">
        <v>96</v>
      </c>
      <c r="AN689">
        <v>0</v>
      </c>
      <c r="AO689">
        <v>96</v>
      </c>
      <c r="AP689" t="s">
        <v>80</v>
      </c>
      <c r="AQ689" t="s">
        <v>187</v>
      </c>
      <c r="AR689" t="s">
        <v>86</v>
      </c>
      <c r="AS689" t="s">
        <v>86</v>
      </c>
      <c r="AT689" t="s">
        <v>86</v>
      </c>
      <c r="AU689" t="s">
        <v>86</v>
      </c>
      <c r="AV689" t="s">
        <v>81</v>
      </c>
      <c r="AW689" t="s">
        <v>69</v>
      </c>
      <c r="AX689" t="s">
        <v>262</v>
      </c>
      <c r="AY689" t="s">
        <v>496</v>
      </c>
      <c r="AZ689" t="s">
        <v>243</v>
      </c>
      <c r="BA689" t="s">
        <v>264</v>
      </c>
      <c r="BB689" t="s">
        <v>244</v>
      </c>
      <c r="BC689" t="s">
        <v>244</v>
      </c>
      <c r="BD689" t="s">
        <v>2394</v>
      </c>
      <c r="BE689" t="s">
        <v>2393</v>
      </c>
      <c r="BF689" t="s">
        <v>240</v>
      </c>
      <c r="BG689" t="s">
        <v>150</v>
      </c>
      <c r="BH689" t="str">
        <f>IF(COUNTIF(工作表1!A:A, $C689)&gt;0, "預購款", "非預購款")</f>
        <v>非預購款</v>
      </c>
    </row>
    <row r="690" spans="1:60" x14ac:dyDescent="0.25">
      <c r="A690" t="s">
        <v>2386</v>
      </c>
      <c r="B690" t="s">
        <v>226</v>
      </c>
      <c r="C690" t="s">
        <v>2387</v>
      </c>
      <c r="D690" t="s">
        <v>2388</v>
      </c>
      <c r="E690" t="s">
        <v>2389</v>
      </c>
      <c r="F690" t="s">
        <v>178</v>
      </c>
      <c r="G690" t="s">
        <v>2390</v>
      </c>
      <c r="H690" t="s">
        <v>132</v>
      </c>
      <c r="I690" t="s">
        <v>214</v>
      </c>
      <c r="J690" t="s">
        <v>215</v>
      </c>
      <c r="K690" t="s">
        <v>69</v>
      </c>
      <c r="L690" t="s">
        <v>2391</v>
      </c>
      <c r="M690" t="s">
        <v>71</v>
      </c>
      <c r="N690" t="s">
        <v>100</v>
      </c>
      <c r="O690" t="s">
        <v>2306</v>
      </c>
      <c r="P690" t="s">
        <v>2307</v>
      </c>
      <c r="R690" t="s">
        <v>1588</v>
      </c>
      <c r="S690" t="s">
        <v>179</v>
      </c>
      <c r="T690" t="s">
        <v>258</v>
      </c>
      <c r="U690" t="s">
        <v>104</v>
      </c>
      <c r="V690" t="s">
        <v>1519</v>
      </c>
      <c r="W690">
        <v>490</v>
      </c>
      <c r="X690">
        <v>22.99</v>
      </c>
      <c r="Y690">
        <v>60</v>
      </c>
      <c r="Z690">
        <v>355000</v>
      </c>
      <c r="AA690">
        <v>147000</v>
      </c>
      <c r="AB690">
        <v>170</v>
      </c>
      <c r="AD690" t="s">
        <v>238</v>
      </c>
      <c r="AE690">
        <v>1</v>
      </c>
      <c r="AF690">
        <v>0</v>
      </c>
      <c r="AI690">
        <v>30</v>
      </c>
      <c r="AJ690">
        <v>45</v>
      </c>
      <c r="AK690">
        <v>75</v>
      </c>
      <c r="AL690">
        <v>300</v>
      </c>
      <c r="AM690">
        <v>66</v>
      </c>
      <c r="AN690">
        <v>0</v>
      </c>
      <c r="AO690">
        <v>66</v>
      </c>
      <c r="AP690" t="s">
        <v>80</v>
      </c>
      <c r="AQ690" t="s">
        <v>187</v>
      </c>
      <c r="AR690" t="s">
        <v>86</v>
      </c>
      <c r="AS690" t="s">
        <v>86</v>
      </c>
      <c r="AT690" t="s">
        <v>86</v>
      </c>
      <c r="AU690" t="s">
        <v>86</v>
      </c>
      <c r="AV690" t="s">
        <v>81</v>
      </c>
      <c r="AW690" t="s">
        <v>69</v>
      </c>
      <c r="AX690" t="s">
        <v>262</v>
      </c>
      <c r="AY690" t="s">
        <v>496</v>
      </c>
      <c r="AZ690" t="s">
        <v>243</v>
      </c>
      <c r="BA690" t="s">
        <v>264</v>
      </c>
      <c r="BB690" t="s">
        <v>244</v>
      </c>
      <c r="BC690" t="s">
        <v>244</v>
      </c>
      <c r="BD690" t="s">
        <v>2395</v>
      </c>
      <c r="BE690" t="s">
        <v>2393</v>
      </c>
      <c r="BF690" t="s">
        <v>240</v>
      </c>
      <c r="BG690" t="s">
        <v>150</v>
      </c>
      <c r="BH690" t="str">
        <f>IF(COUNTIF(工作表1!A:A, $C690)&gt;0, "預購款", "非預購款")</f>
        <v>非預購款</v>
      </c>
    </row>
    <row r="691" spans="1:60" x14ac:dyDescent="0.25">
      <c r="A691" t="s">
        <v>2396</v>
      </c>
      <c r="B691" t="s">
        <v>226</v>
      </c>
      <c r="C691" t="s">
        <v>2397</v>
      </c>
      <c r="D691" t="s">
        <v>2398</v>
      </c>
      <c r="E691" t="s">
        <v>2399</v>
      </c>
      <c r="F691" t="s">
        <v>178</v>
      </c>
      <c r="G691" t="s">
        <v>2400</v>
      </c>
      <c r="H691" t="s">
        <v>119</v>
      </c>
      <c r="I691" t="s">
        <v>120</v>
      </c>
      <c r="J691" t="s">
        <v>121</v>
      </c>
      <c r="K691" t="s">
        <v>69</v>
      </c>
      <c r="L691" t="s">
        <v>2401</v>
      </c>
      <c r="M691" t="s">
        <v>71</v>
      </c>
      <c r="N691" t="s">
        <v>100</v>
      </c>
      <c r="O691" t="s">
        <v>2306</v>
      </c>
      <c r="P691" t="s">
        <v>2307</v>
      </c>
      <c r="R691" t="s">
        <v>1588</v>
      </c>
      <c r="S691" t="s">
        <v>179</v>
      </c>
      <c r="T691" t="s">
        <v>258</v>
      </c>
      <c r="U691" t="s">
        <v>146</v>
      </c>
      <c r="V691" t="s">
        <v>321</v>
      </c>
      <c r="W691">
        <v>690</v>
      </c>
      <c r="X691">
        <v>29.99</v>
      </c>
      <c r="Y691">
        <v>89</v>
      </c>
      <c r="Z691">
        <v>499000</v>
      </c>
      <c r="AA691">
        <v>509220</v>
      </c>
      <c r="AB691">
        <v>300</v>
      </c>
      <c r="AD691" t="s">
        <v>238</v>
      </c>
      <c r="AE691">
        <v>2</v>
      </c>
      <c r="AF691">
        <v>20</v>
      </c>
      <c r="AI691">
        <v>35</v>
      </c>
      <c r="AJ691">
        <v>110</v>
      </c>
      <c r="AK691">
        <v>165</v>
      </c>
      <c r="AL691">
        <v>738</v>
      </c>
      <c r="AM691">
        <v>164</v>
      </c>
      <c r="AN691">
        <v>0</v>
      </c>
      <c r="AO691">
        <v>164</v>
      </c>
      <c r="AP691" t="s">
        <v>80</v>
      </c>
      <c r="AQ691" t="s">
        <v>2257</v>
      </c>
      <c r="AR691" t="s">
        <v>86</v>
      </c>
      <c r="AS691" t="s">
        <v>86</v>
      </c>
      <c r="AT691" t="s">
        <v>86</v>
      </c>
      <c r="AU691" t="s">
        <v>86</v>
      </c>
      <c r="AV691" t="s">
        <v>2402</v>
      </c>
      <c r="AW691" t="s">
        <v>69</v>
      </c>
      <c r="AX691" t="s">
        <v>262</v>
      </c>
      <c r="AY691" t="s">
        <v>2403</v>
      </c>
      <c r="AZ691" t="s">
        <v>264</v>
      </c>
      <c r="BA691" t="s">
        <v>245</v>
      </c>
      <c r="BB691" t="s">
        <v>245</v>
      </c>
      <c r="BC691" t="s">
        <v>245</v>
      </c>
      <c r="BD691" t="s">
        <v>2404</v>
      </c>
      <c r="BE691" t="s">
        <v>2405</v>
      </c>
      <c r="BF691" t="s">
        <v>240</v>
      </c>
      <c r="BG691" t="s">
        <v>110</v>
      </c>
      <c r="BH691" t="str">
        <f>IF(COUNTIF(工作表1!A:A, $C691)&gt;0, "預購款", "非預購款")</f>
        <v>非預購款</v>
      </c>
    </row>
    <row r="692" spans="1:60" x14ac:dyDescent="0.25">
      <c r="A692" t="s">
        <v>2396</v>
      </c>
      <c r="B692" t="s">
        <v>226</v>
      </c>
      <c r="C692" t="s">
        <v>2397</v>
      </c>
      <c r="D692" t="s">
        <v>2398</v>
      </c>
      <c r="E692" t="s">
        <v>2399</v>
      </c>
      <c r="F692" t="s">
        <v>178</v>
      </c>
      <c r="G692" t="s">
        <v>2400</v>
      </c>
      <c r="H692" t="s">
        <v>130</v>
      </c>
      <c r="I692" t="s">
        <v>120</v>
      </c>
      <c r="J692" t="s">
        <v>121</v>
      </c>
      <c r="K692" t="s">
        <v>69</v>
      </c>
      <c r="L692" t="s">
        <v>2401</v>
      </c>
      <c r="M692" t="s">
        <v>71</v>
      </c>
      <c r="N692" t="s">
        <v>100</v>
      </c>
      <c r="O692" t="s">
        <v>2306</v>
      </c>
      <c r="P692" t="s">
        <v>2307</v>
      </c>
      <c r="R692" t="s">
        <v>1588</v>
      </c>
      <c r="S692" t="s">
        <v>179</v>
      </c>
      <c r="T692" t="s">
        <v>258</v>
      </c>
      <c r="U692" t="s">
        <v>146</v>
      </c>
      <c r="V692" t="s">
        <v>321</v>
      </c>
      <c r="W692">
        <v>690</v>
      </c>
      <c r="X692">
        <v>29.99</v>
      </c>
      <c r="Y692">
        <v>89</v>
      </c>
      <c r="Z692">
        <v>499000</v>
      </c>
      <c r="AA692">
        <v>509220</v>
      </c>
      <c r="AB692">
        <v>300</v>
      </c>
      <c r="AD692" t="s">
        <v>238</v>
      </c>
      <c r="AE692">
        <v>2</v>
      </c>
      <c r="AF692">
        <v>15</v>
      </c>
      <c r="AI692">
        <v>35</v>
      </c>
      <c r="AJ692">
        <v>70</v>
      </c>
      <c r="AK692">
        <v>120</v>
      </c>
      <c r="AL692">
        <v>738</v>
      </c>
      <c r="AM692">
        <v>126</v>
      </c>
      <c r="AN692">
        <v>0</v>
      </c>
      <c r="AO692">
        <v>126</v>
      </c>
      <c r="AP692" t="s">
        <v>80</v>
      </c>
      <c r="AQ692" t="s">
        <v>2257</v>
      </c>
      <c r="AR692" t="s">
        <v>86</v>
      </c>
      <c r="AS692" t="s">
        <v>86</v>
      </c>
      <c r="AT692" t="s">
        <v>86</v>
      </c>
      <c r="AU692" t="s">
        <v>86</v>
      </c>
      <c r="AV692" t="s">
        <v>2402</v>
      </c>
      <c r="AW692" t="s">
        <v>69</v>
      </c>
      <c r="AX692" t="s">
        <v>262</v>
      </c>
      <c r="AY692" t="s">
        <v>2403</v>
      </c>
      <c r="AZ692" t="s">
        <v>264</v>
      </c>
      <c r="BA692" t="s">
        <v>245</v>
      </c>
      <c r="BB692" t="s">
        <v>245</v>
      </c>
      <c r="BC692" t="s">
        <v>245</v>
      </c>
      <c r="BD692" t="s">
        <v>2406</v>
      </c>
      <c r="BE692" t="s">
        <v>2405</v>
      </c>
      <c r="BF692" t="s">
        <v>240</v>
      </c>
      <c r="BG692" t="s">
        <v>110</v>
      </c>
      <c r="BH692" t="str">
        <f>IF(COUNTIF(工作表1!A:A, $C692)&gt;0, "預購款", "非預購款")</f>
        <v>非預購款</v>
      </c>
    </row>
    <row r="693" spans="1:60" x14ac:dyDescent="0.25">
      <c r="A693" t="s">
        <v>2396</v>
      </c>
      <c r="B693" t="s">
        <v>226</v>
      </c>
      <c r="C693" t="s">
        <v>2397</v>
      </c>
      <c r="D693" t="s">
        <v>2398</v>
      </c>
      <c r="E693" t="s">
        <v>2399</v>
      </c>
      <c r="F693" t="s">
        <v>178</v>
      </c>
      <c r="G693" t="s">
        <v>2400</v>
      </c>
      <c r="H693" t="s">
        <v>132</v>
      </c>
      <c r="I693" t="s">
        <v>120</v>
      </c>
      <c r="J693" t="s">
        <v>121</v>
      </c>
      <c r="K693" t="s">
        <v>69</v>
      </c>
      <c r="L693" t="s">
        <v>2401</v>
      </c>
      <c r="M693" t="s">
        <v>71</v>
      </c>
      <c r="N693" t="s">
        <v>100</v>
      </c>
      <c r="O693" t="s">
        <v>2306</v>
      </c>
      <c r="P693" t="s">
        <v>2307</v>
      </c>
      <c r="R693" t="s">
        <v>1588</v>
      </c>
      <c r="S693" t="s">
        <v>179</v>
      </c>
      <c r="T693" t="s">
        <v>258</v>
      </c>
      <c r="U693" t="s">
        <v>146</v>
      </c>
      <c r="V693" t="s">
        <v>321</v>
      </c>
      <c r="W693">
        <v>690</v>
      </c>
      <c r="X693">
        <v>29.99</v>
      </c>
      <c r="Y693">
        <v>89</v>
      </c>
      <c r="Z693">
        <v>499000</v>
      </c>
      <c r="AA693">
        <v>509220</v>
      </c>
      <c r="AB693">
        <v>300</v>
      </c>
      <c r="AD693" t="s">
        <v>238</v>
      </c>
      <c r="AE693">
        <v>2</v>
      </c>
      <c r="AF693">
        <v>10</v>
      </c>
      <c r="AI693">
        <v>20</v>
      </c>
      <c r="AJ693">
        <v>40</v>
      </c>
      <c r="AK693">
        <v>70</v>
      </c>
      <c r="AL693">
        <v>738</v>
      </c>
      <c r="AM693">
        <v>71</v>
      </c>
      <c r="AN693">
        <v>0</v>
      </c>
      <c r="AO693">
        <v>71</v>
      </c>
      <c r="AP693" t="s">
        <v>80</v>
      </c>
      <c r="AQ693" t="s">
        <v>2257</v>
      </c>
      <c r="AR693" t="s">
        <v>86</v>
      </c>
      <c r="AS693" t="s">
        <v>86</v>
      </c>
      <c r="AT693" t="s">
        <v>86</v>
      </c>
      <c r="AU693" t="s">
        <v>86</v>
      </c>
      <c r="AV693" t="s">
        <v>2402</v>
      </c>
      <c r="AW693" t="s">
        <v>69</v>
      </c>
      <c r="AX693" t="s">
        <v>262</v>
      </c>
      <c r="AY693" t="s">
        <v>2403</v>
      </c>
      <c r="AZ693" t="s">
        <v>264</v>
      </c>
      <c r="BA693" t="s">
        <v>245</v>
      </c>
      <c r="BB693" t="s">
        <v>245</v>
      </c>
      <c r="BC693" t="s">
        <v>245</v>
      </c>
      <c r="BD693" t="s">
        <v>2407</v>
      </c>
      <c r="BE693" t="s">
        <v>2405</v>
      </c>
      <c r="BF693" t="s">
        <v>240</v>
      </c>
      <c r="BG693" t="s">
        <v>110</v>
      </c>
      <c r="BH693" t="str">
        <f>IF(COUNTIF(工作表1!A:A, $C693)&gt;0, "預購款", "非預購款")</f>
        <v>非預購款</v>
      </c>
    </row>
    <row r="694" spans="1:60" x14ac:dyDescent="0.25">
      <c r="A694" t="s">
        <v>2396</v>
      </c>
      <c r="B694" t="s">
        <v>226</v>
      </c>
      <c r="C694" t="s">
        <v>2397</v>
      </c>
      <c r="D694" t="s">
        <v>2398</v>
      </c>
      <c r="E694" t="s">
        <v>2399</v>
      </c>
      <c r="F694" t="s">
        <v>178</v>
      </c>
      <c r="G694" t="s">
        <v>2400</v>
      </c>
      <c r="H694" t="s">
        <v>119</v>
      </c>
      <c r="I694" t="s">
        <v>97</v>
      </c>
      <c r="J694" t="s">
        <v>98</v>
      </c>
      <c r="K694" t="s">
        <v>69</v>
      </c>
      <c r="L694" t="s">
        <v>2401</v>
      </c>
      <c r="M694" t="s">
        <v>71</v>
      </c>
      <c r="N694" t="s">
        <v>100</v>
      </c>
      <c r="O694" t="s">
        <v>2306</v>
      </c>
      <c r="P694" t="s">
        <v>2307</v>
      </c>
      <c r="R694" t="s">
        <v>1588</v>
      </c>
      <c r="S694" t="s">
        <v>179</v>
      </c>
      <c r="T694" t="s">
        <v>258</v>
      </c>
      <c r="U694" t="s">
        <v>146</v>
      </c>
      <c r="V694" t="s">
        <v>321</v>
      </c>
      <c r="W694">
        <v>690</v>
      </c>
      <c r="X694">
        <v>29.99</v>
      </c>
      <c r="Y694">
        <v>89</v>
      </c>
      <c r="Z694">
        <v>499000</v>
      </c>
      <c r="AA694">
        <v>509220</v>
      </c>
      <c r="AB694">
        <v>300</v>
      </c>
      <c r="AD694" t="s">
        <v>238</v>
      </c>
      <c r="AE694">
        <v>2</v>
      </c>
      <c r="AF694">
        <v>10</v>
      </c>
      <c r="AI694">
        <v>40</v>
      </c>
      <c r="AJ694">
        <v>130</v>
      </c>
      <c r="AK694">
        <v>180</v>
      </c>
      <c r="AL694">
        <v>738</v>
      </c>
      <c r="AM694">
        <v>180</v>
      </c>
      <c r="AN694">
        <v>0</v>
      </c>
      <c r="AO694">
        <v>180</v>
      </c>
      <c r="AP694" t="s">
        <v>80</v>
      </c>
      <c r="AQ694" t="s">
        <v>2257</v>
      </c>
      <c r="AR694" t="s">
        <v>86</v>
      </c>
      <c r="AS694" t="s">
        <v>86</v>
      </c>
      <c r="AT694" t="s">
        <v>86</v>
      </c>
      <c r="AU694" t="s">
        <v>86</v>
      </c>
      <c r="AV694" t="s">
        <v>2402</v>
      </c>
      <c r="AW694" t="s">
        <v>69</v>
      </c>
      <c r="AX694" t="s">
        <v>262</v>
      </c>
      <c r="AY694" t="s">
        <v>2403</v>
      </c>
      <c r="AZ694" t="s">
        <v>264</v>
      </c>
      <c r="BA694" t="s">
        <v>245</v>
      </c>
      <c r="BB694" t="s">
        <v>245</v>
      </c>
      <c r="BC694" t="s">
        <v>245</v>
      </c>
      <c r="BD694" t="s">
        <v>2408</v>
      </c>
      <c r="BE694" t="s">
        <v>2405</v>
      </c>
      <c r="BF694" t="s">
        <v>240</v>
      </c>
      <c r="BG694" t="s">
        <v>110</v>
      </c>
      <c r="BH694" t="str">
        <f>IF(COUNTIF(工作表1!A:A, $C694)&gt;0, "預購款", "非預購款")</f>
        <v>非預購款</v>
      </c>
    </row>
    <row r="695" spans="1:60" x14ac:dyDescent="0.25">
      <c r="A695" t="s">
        <v>2396</v>
      </c>
      <c r="B695" t="s">
        <v>226</v>
      </c>
      <c r="C695" t="s">
        <v>2397</v>
      </c>
      <c r="D695" t="s">
        <v>2398</v>
      </c>
      <c r="E695" t="s">
        <v>2399</v>
      </c>
      <c r="F695" t="s">
        <v>178</v>
      </c>
      <c r="G695" t="s">
        <v>2400</v>
      </c>
      <c r="H695" t="s">
        <v>130</v>
      </c>
      <c r="I695" t="s">
        <v>97</v>
      </c>
      <c r="J695" t="s">
        <v>98</v>
      </c>
      <c r="K695" t="s">
        <v>69</v>
      </c>
      <c r="L695" t="s">
        <v>2401</v>
      </c>
      <c r="M695" t="s">
        <v>71</v>
      </c>
      <c r="N695" t="s">
        <v>100</v>
      </c>
      <c r="O695" t="s">
        <v>2306</v>
      </c>
      <c r="P695" t="s">
        <v>2307</v>
      </c>
      <c r="R695" t="s">
        <v>1588</v>
      </c>
      <c r="S695" t="s">
        <v>179</v>
      </c>
      <c r="T695" t="s">
        <v>258</v>
      </c>
      <c r="U695" t="s">
        <v>146</v>
      </c>
      <c r="V695" t="s">
        <v>321</v>
      </c>
      <c r="W695">
        <v>690</v>
      </c>
      <c r="X695">
        <v>29.99</v>
      </c>
      <c r="Y695">
        <v>89</v>
      </c>
      <c r="Z695">
        <v>499000</v>
      </c>
      <c r="AA695">
        <v>509220</v>
      </c>
      <c r="AB695">
        <v>300</v>
      </c>
      <c r="AD695" t="s">
        <v>238</v>
      </c>
      <c r="AE695">
        <v>2</v>
      </c>
      <c r="AF695">
        <v>8</v>
      </c>
      <c r="AI695">
        <v>35</v>
      </c>
      <c r="AJ695">
        <v>115</v>
      </c>
      <c r="AK695">
        <v>158</v>
      </c>
      <c r="AL695">
        <v>738</v>
      </c>
      <c r="AM695">
        <v>156</v>
      </c>
      <c r="AN695">
        <v>0</v>
      </c>
      <c r="AO695">
        <v>156</v>
      </c>
      <c r="AP695" t="s">
        <v>80</v>
      </c>
      <c r="AQ695" t="s">
        <v>2257</v>
      </c>
      <c r="AR695" t="s">
        <v>86</v>
      </c>
      <c r="AS695" t="s">
        <v>86</v>
      </c>
      <c r="AT695" t="s">
        <v>86</v>
      </c>
      <c r="AU695" t="s">
        <v>86</v>
      </c>
      <c r="AV695" t="s">
        <v>2402</v>
      </c>
      <c r="AW695" t="s">
        <v>69</v>
      </c>
      <c r="AX695" t="s">
        <v>262</v>
      </c>
      <c r="AY695" t="s">
        <v>2403</v>
      </c>
      <c r="AZ695" t="s">
        <v>264</v>
      </c>
      <c r="BA695" t="s">
        <v>245</v>
      </c>
      <c r="BB695" t="s">
        <v>245</v>
      </c>
      <c r="BC695" t="s">
        <v>245</v>
      </c>
      <c r="BD695" t="s">
        <v>2409</v>
      </c>
      <c r="BE695" t="s">
        <v>2405</v>
      </c>
      <c r="BF695" t="s">
        <v>240</v>
      </c>
      <c r="BG695" t="s">
        <v>110</v>
      </c>
      <c r="BH695" t="str">
        <f>IF(COUNTIF(工作表1!A:A, $C695)&gt;0, "預購款", "非預購款")</f>
        <v>非預購款</v>
      </c>
    </row>
    <row r="696" spans="1:60" x14ac:dyDescent="0.25">
      <c r="A696" t="s">
        <v>2396</v>
      </c>
      <c r="B696" t="s">
        <v>226</v>
      </c>
      <c r="C696" t="s">
        <v>2397</v>
      </c>
      <c r="D696" t="s">
        <v>2398</v>
      </c>
      <c r="E696" t="s">
        <v>2399</v>
      </c>
      <c r="F696" t="s">
        <v>178</v>
      </c>
      <c r="G696" t="s">
        <v>2400</v>
      </c>
      <c r="H696" t="s">
        <v>132</v>
      </c>
      <c r="I696" t="s">
        <v>97</v>
      </c>
      <c r="J696" t="s">
        <v>98</v>
      </c>
      <c r="K696" t="s">
        <v>69</v>
      </c>
      <c r="L696" t="s">
        <v>2401</v>
      </c>
      <c r="M696" t="s">
        <v>71</v>
      </c>
      <c r="N696" t="s">
        <v>100</v>
      </c>
      <c r="O696" t="s">
        <v>2306</v>
      </c>
      <c r="P696" t="s">
        <v>2307</v>
      </c>
      <c r="R696" t="s">
        <v>1588</v>
      </c>
      <c r="S696" t="s">
        <v>179</v>
      </c>
      <c r="T696" t="s">
        <v>258</v>
      </c>
      <c r="U696" t="s">
        <v>146</v>
      </c>
      <c r="V696" t="s">
        <v>321</v>
      </c>
      <c r="W696">
        <v>690</v>
      </c>
      <c r="X696">
        <v>29.99</v>
      </c>
      <c r="Y696">
        <v>89</v>
      </c>
      <c r="Z696">
        <v>499000</v>
      </c>
      <c r="AA696">
        <v>509220</v>
      </c>
      <c r="AB696">
        <v>300</v>
      </c>
      <c r="AD696" t="s">
        <v>238</v>
      </c>
      <c r="AE696">
        <v>2</v>
      </c>
      <c r="AF696">
        <v>0</v>
      </c>
      <c r="AI696">
        <v>20</v>
      </c>
      <c r="AJ696">
        <v>25</v>
      </c>
      <c r="AK696">
        <v>45</v>
      </c>
      <c r="AL696">
        <v>738</v>
      </c>
      <c r="AM696">
        <v>46</v>
      </c>
      <c r="AN696">
        <v>0</v>
      </c>
      <c r="AO696">
        <v>46</v>
      </c>
      <c r="AP696" t="s">
        <v>80</v>
      </c>
      <c r="AQ696" t="s">
        <v>2257</v>
      </c>
      <c r="AR696" t="s">
        <v>86</v>
      </c>
      <c r="AS696" t="s">
        <v>86</v>
      </c>
      <c r="AT696" t="s">
        <v>86</v>
      </c>
      <c r="AU696" t="s">
        <v>86</v>
      </c>
      <c r="AV696" t="s">
        <v>2402</v>
      </c>
      <c r="AW696" t="s">
        <v>69</v>
      </c>
      <c r="AX696" t="s">
        <v>262</v>
      </c>
      <c r="AY696" t="s">
        <v>2403</v>
      </c>
      <c r="AZ696" t="s">
        <v>264</v>
      </c>
      <c r="BA696" t="s">
        <v>245</v>
      </c>
      <c r="BB696" t="s">
        <v>245</v>
      </c>
      <c r="BC696" t="s">
        <v>245</v>
      </c>
      <c r="BD696" t="s">
        <v>2410</v>
      </c>
      <c r="BE696" t="s">
        <v>2405</v>
      </c>
      <c r="BF696" t="s">
        <v>240</v>
      </c>
      <c r="BG696" t="s">
        <v>110</v>
      </c>
      <c r="BH696" t="str">
        <f>IF(COUNTIF(工作表1!A:A, $C696)&gt;0, "預購款", "非預購款")</f>
        <v>非預購款</v>
      </c>
    </row>
    <row r="697" spans="1:60" x14ac:dyDescent="0.25">
      <c r="A697" t="s">
        <v>2411</v>
      </c>
      <c r="B697" t="s">
        <v>226</v>
      </c>
      <c r="C697" t="s">
        <v>2412</v>
      </c>
      <c r="D697" t="s">
        <v>2413</v>
      </c>
      <c r="E697" t="s">
        <v>2414</v>
      </c>
      <c r="F697" t="s">
        <v>178</v>
      </c>
      <c r="G697" t="s">
        <v>2415</v>
      </c>
      <c r="H697" t="s">
        <v>273</v>
      </c>
      <c r="I697" t="s">
        <v>120</v>
      </c>
      <c r="J697" t="s">
        <v>121</v>
      </c>
      <c r="K697" t="s">
        <v>69</v>
      </c>
      <c r="L697" t="s">
        <v>2401</v>
      </c>
      <c r="M697" t="s">
        <v>71</v>
      </c>
      <c r="N697" t="s">
        <v>100</v>
      </c>
      <c r="O697" t="s">
        <v>2306</v>
      </c>
      <c r="P697" t="s">
        <v>2307</v>
      </c>
      <c r="R697" t="s">
        <v>1588</v>
      </c>
      <c r="S697" t="s">
        <v>179</v>
      </c>
      <c r="T697" t="s">
        <v>274</v>
      </c>
      <c r="U697" t="s">
        <v>146</v>
      </c>
      <c r="V697" t="s">
        <v>321</v>
      </c>
      <c r="W697">
        <v>790</v>
      </c>
      <c r="X697">
        <v>34.99</v>
      </c>
      <c r="Y697">
        <v>99</v>
      </c>
      <c r="Z697">
        <v>569000</v>
      </c>
      <c r="AA697">
        <v>209350</v>
      </c>
      <c r="AB697">
        <v>390</v>
      </c>
      <c r="AD697" t="s">
        <v>238</v>
      </c>
      <c r="AE697">
        <v>2</v>
      </c>
      <c r="AF697">
        <v>8</v>
      </c>
      <c r="AI697">
        <v>15</v>
      </c>
      <c r="AJ697">
        <v>60</v>
      </c>
      <c r="AK697">
        <v>83</v>
      </c>
      <c r="AL697">
        <v>265</v>
      </c>
      <c r="AM697">
        <v>83</v>
      </c>
      <c r="AN697">
        <v>0</v>
      </c>
      <c r="AO697">
        <v>83</v>
      </c>
      <c r="AP697" t="s">
        <v>80</v>
      </c>
      <c r="AQ697" t="s">
        <v>2257</v>
      </c>
      <c r="AS697" t="s">
        <v>86</v>
      </c>
      <c r="AT697" t="s">
        <v>86</v>
      </c>
      <c r="AU697" t="s">
        <v>86</v>
      </c>
      <c r="AV697" t="s">
        <v>2416</v>
      </c>
      <c r="AW697" t="s">
        <v>69</v>
      </c>
      <c r="AX697" t="s">
        <v>126</v>
      </c>
      <c r="AY697" t="s">
        <v>2417</v>
      </c>
      <c r="AZ697" t="s">
        <v>264</v>
      </c>
      <c r="BA697" t="s">
        <v>245</v>
      </c>
      <c r="BB697" t="s">
        <v>245</v>
      </c>
      <c r="BC697" t="s">
        <v>245</v>
      </c>
      <c r="BD697" t="s">
        <v>2418</v>
      </c>
      <c r="BE697" t="s">
        <v>2419</v>
      </c>
      <c r="BF697" t="s">
        <v>279</v>
      </c>
      <c r="BG697" t="s">
        <v>110</v>
      </c>
      <c r="BH697" t="str">
        <f>IF(COUNTIF(工作表1!A:A, $C697)&gt;0, "預購款", "非預購款")</f>
        <v>非預購款</v>
      </c>
    </row>
    <row r="698" spans="1:60" x14ac:dyDescent="0.25">
      <c r="A698" t="s">
        <v>2411</v>
      </c>
      <c r="B698" t="s">
        <v>226</v>
      </c>
      <c r="C698" t="s">
        <v>2412</v>
      </c>
      <c r="D698" t="s">
        <v>2413</v>
      </c>
      <c r="E698" t="s">
        <v>2414</v>
      </c>
      <c r="F698" t="s">
        <v>178</v>
      </c>
      <c r="G698" t="s">
        <v>2415</v>
      </c>
      <c r="H698" t="s">
        <v>501</v>
      </c>
      <c r="I698" t="s">
        <v>120</v>
      </c>
      <c r="J698" t="s">
        <v>121</v>
      </c>
      <c r="K698" t="s">
        <v>69</v>
      </c>
      <c r="L698" t="s">
        <v>2401</v>
      </c>
      <c r="M698" t="s">
        <v>71</v>
      </c>
      <c r="N698" t="s">
        <v>100</v>
      </c>
      <c r="O698" t="s">
        <v>2306</v>
      </c>
      <c r="P698" t="s">
        <v>2307</v>
      </c>
      <c r="R698" t="s">
        <v>1588</v>
      </c>
      <c r="S698" t="s">
        <v>179</v>
      </c>
      <c r="T698" t="s">
        <v>274</v>
      </c>
      <c r="U698" t="s">
        <v>146</v>
      </c>
      <c r="V698" t="s">
        <v>321</v>
      </c>
      <c r="W698">
        <v>790</v>
      </c>
      <c r="X698">
        <v>34.99</v>
      </c>
      <c r="Y698">
        <v>99</v>
      </c>
      <c r="Z698">
        <v>569000</v>
      </c>
      <c r="AA698">
        <v>209350</v>
      </c>
      <c r="AB698">
        <v>390</v>
      </c>
      <c r="AD698" t="s">
        <v>238</v>
      </c>
      <c r="AE698">
        <v>2</v>
      </c>
      <c r="AF698">
        <v>0</v>
      </c>
      <c r="AI698">
        <v>10</v>
      </c>
      <c r="AJ698">
        <v>35</v>
      </c>
      <c r="AK698">
        <v>45</v>
      </c>
      <c r="AL698">
        <v>265</v>
      </c>
      <c r="AM698">
        <v>45</v>
      </c>
      <c r="AN698">
        <v>0</v>
      </c>
      <c r="AO698">
        <v>45</v>
      </c>
      <c r="AP698" t="s">
        <v>80</v>
      </c>
      <c r="AQ698" t="s">
        <v>2257</v>
      </c>
      <c r="AS698" t="s">
        <v>86</v>
      </c>
      <c r="AT698" t="s">
        <v>86</v>
      </c>
      <c r="AU698" t="s">
        <v>86</v>
      </c>
      <c r="AV698" t="s">
        <v>2416</v>
      </c>
      <c r="AW698" t="s">
        <v>69</v>
      </c>
      <c r="AX698" t="s">
        <v>126</v>
      </c>
      <c r="AY698" t="s">
        <v>2417</v>
      </c>
      <c r="AZ698" t="s">
        <v>264</v>
      </c>
      <c r="BA698" t="s">
        <v>245</v>
      </c>
      <c r="BB698" t="s">
        <v>245</v>
      </c>
      <c r="BC698" t="s">
        <v>245</v>
      </c>
      <c r="BD698" t="s">
        <v>2420</v>
      </c>
      <c r="BE698" t="s">
        <v>2419</v>
      </c>
      <c r="BF698" t="s">
        <v>279</v>
      </c>
      <c r="BG698" t="s">
        <v>110</v>
      </c>
      <c r="BH698" t="str">
        <f>IF(COUNTIF(工作表1!A:A, $C698)&gt;0, "預購款", "非預購款")</f>
        <v>非預購款</v>
      </c>
    </row>
    <row r="699" spans="1:60" x14ac:dyDescent="0.25">
      <c r="A699" t="s">
        <v>2411</v>
      </c>
      <c r="B699" t="s">
        <v>226</v>
      </c>
      <c r="C699" t="s">
        <v>2412</v>
      </c>
      <c r="D699" t="s">
        <v>2413</v>
      </c>
      <c r="E699" t="s">
        <v>2414</v>
      </c>
      <c r="F699" t="s">
        <v>178</v>
      </c>
      <c r="G699" t="s">
        <v>2415</v>
      </c>
      <c r="H699" t="s">
        <v>280</v>
      </c>
      <c r="I699" t="s">
        <v>120</v>
      </c>
      <c r="J699" t="s">
        <v>121</v>
      </c>
      <c r="K699" t="s">
        <v>69</v>
      </c>
      <c r="L699" t="s">
        <v>2401</v>
      </c>
      <c r="M699" t="s">
        <v>71</v>
      </c>
      <c r="N699" t="s">
        <v>100</v>
      </c>
      <c r="O699" t="s">
        <v>2306</v>
      </c>
      <c r="P699" t="s">
        <v>2307</v>
      </c>
      <c r="R699" t="s">
        <v>1588</v>
      </c>
      <c r="S699" t="s">
        <v>179</v>
      </c>
      <c r="T699" t="s">
        <v>274</v>
      </c>
      <c r="U699" t="s">
        <v>146</v>
      </c>
      <c r="V699" t="s">
        <v>321</v>
      </c>
      <c r="W699">
        <v>790</v>
      </c>
      <c r="X699">
        <v>34.99</v>
      </c>
      <c r="Y699">
        <v>99</v>
      </c>
      <c r="Z699">
        <v>569000</v>
      </c>
      <c r="AA699">
        <v>209350</v>
      </c>
      <c r="AB699">
        <v>390</v>
      </c>
      <c r="AD699" t="s">
        <v>238</v>
      </c>
      <c r="AE699">
        <v>2</v>
      </c>
      <c r="AF699">
        <v>2</v>
      </c>
      <c r="AI699">
        <v>10</v>
      </c>
      <c r="AJ699">
        <v>40</v>
      </c>
      <c r="AK699">
        <v>52</v>
      </c>
      <c r="AL699">
        <v>265</v>
      </c>
      <c r="AM699">
        <v>52</v>
      </c>
      <c r="AN699">
        <v>0</v>
      </c>
      <c r="AO699">
        <v>52</v>
      </c>
      <c r="AP699" t="s">
        <v>80</v>
      </c>
      <c r="AQ699" t="s">
        <v>2257</v>
      </c>
      <c r="AS699" t="s">
        <v>86</v>
      </c>
      <c r="AT699" t="s">
        <v>86</v>
      </c>
      <c r="AU699" t="s">
        <v>86</v>
      </c>
      <c r="AV699" t="s">
        <v>2416</v>
      </c>
      <c r="AW699" t="s">
        <v>69</v>
      </c>
      <c r="AX699" t="s">
        <v>126</v>
      </c>
      <c r="AY699" t="s">
        <v>2417</v>
      </c>
      <c r="AZ699" t="s">
        <v>264</v>
      </c>
      <c r="BA699" t="s">
        <v>245</v>
      </c>
      <c r="BB699" t="s">
        <v>245</v>
      </c>
      <c r="BC699" t="s">
        <v>245</v>
      </c>
      <c r="BD699" t="s">
        <v>2421</v>
      </c>
      <c r="BE699" t="s">
        <v>2419</v>
      </c>
      <c r="BF699" t="s">
        <v>279</v>
      </c>
      <c r="BG699" t="s">
        <v>110</v>
      </c>
      <c r="BH699" t="str">
        <f>IF(COUNTIF(工作表1!A:A, $C699)&gt;0, "預購款", "非預購款")</f>
        <v>非預購款</v>
      </c>
    </row>
    <row r="700" spans="1:60" x14ac:dyDescent="0.25">
      <c r="A700" t="s">
        <v>2411</v>
      </c>
      <c r="B700" t="s">
        <v>226</v>
      </c>
      <c r="C700" t="s">
        <v>2412</v>
      </c>
      <c r="D700" t="s">
        <v>2413</v>
      </c>
      <c r="E700" t="s">
        <v>2414</v>
      </c>
      <c r="F700" t="s">
        <v>178</v>
      </c>
      <c r="G700" t="s">
        <v>2415</v>
      </c>
      <c r="H700" t="s">
        <v>273</v>
      </c>
      <c r="I700" t="s">
        <v>97</v>
      </c>
      <c r="J700" t="s">
        <v>98</v>
      </c>
      <c r="K700" t="s">
        <v>69</v>
      </c>
      <c r="L700" t="s">
        <v>2401</v>
      </c>
      <c r="M700" t="s">
        <v>71</v>
      </c>
      <c r="N700" t="s">
        <v>100</v>
      </c>
      <c r="O700" t="s">
        <v>2306</v>
      </c>
      <c r="P700" t="s">
        <v>2307</v>
      </c>
      <c r="R700" t="s">
        <v>1588</v>
      </c>
      <c r="S700" t="s">
        <v>179</v>
      </c>
      <c r="T700" t="s">
        <v>274</v>
      </c>
      <c r="U700" t="s">
        <v>146</v>
      </c>
      <c r="V700" t="s">
        <v>321</v>
      </c>
      <c r="W700">
        <v>790</v>
      </c>
      <c r="X700">
        <v>34.99</v>
      </c>
      <c r="Y700">
        <v>99</v>
      </c>
      <c r="Z700">
        <v>569000</v>
      </c>
      <c r="AA700">
        <v>209350</v>
      </c>
      <c r="AB700">
        <v>390</v>
      </c>
      <c r="AD700" t="s">
        <v>238</v>
      </c>
      <c r="AE700">
        <v>2</v>
      </c>
      <c r="AF700">
        <v>0</v>
      </c>
      <c r="AI700">
        <v>0</v>
      </c>
      <c r="AJ700">
        <v>50</v>
      </c>
      <c r="AK700">
        <v>50</v>
      </c>
      <c r="AL700">
        <v>265</v>
      </c>
      <c r="AM700">
        <v>50</v>
      </c>
      <c r="AN700">
        <v>0</v>
      </c>
      <c r="AO700">
        <v>50</v>
      </c>
      <c r="AP700" t="s">
        <v>80</v>
      </c>
      <c r="AQ700" t="s">
        <v>2257</v>
      </c>
      <c r="AS700" t="s">
        <v>86</v>
      </c>
      <c r="AT700" t="s">
        <v>86</v>
      </c>
      <c r="AU700" t="s">
        <v>86</v>
      </c>
      <c r="AV700" t="s">
        <v>2416</v>
      </c>
      <c r="AW700" t="s">
        <v>69</v>
      </c>
      <c r="AX700" t="s">
        <v>126</v>
      </c>
      <c r="AY700" t="s">
        <v>2417</v>
      </c>
      <c r="AZ700" t="s">
        <v>264</v>
      </c>
      <c r="BA700" t="s">
        <v>245</v>
      </c>
      <c r="BB700" t="s">
        <v>245</v>
      </c>
      <c r="BC700" t="s">
        <v>245</v>
      </c>
      <c r="BD700" t="s">
        <v>2422</v>
      </c>
      <c r="BE700" t="s">
        <v>2419</v>
      </c>
      <c r="BF700" t="s">
        <v>279</v>
      </c>
      <c r="BG700" t="s">
        <v>110</v>
      </c>
      <c r="BH700" t="str">
        <f>IF(COUNTIF(工作表1!A:A, $C700)&gt;0, "預購款", "非預購款")</f>
        <v>非預購款</v>
      </c>
    </row>
    <row r="701" spans="1:60" x14ac:dyDescent="0.25">
      <c r="A701" t="s">
        <v>2411</v>
      </c>
      <c r="B701" t="s">
        <v>226</v>
      </c>
      <c r="C701" t="s">
        <v>2412</v>
      </c>
      <c r="D701" t="s">
        <v>2413</v>
      </c>
      <c r="E701" t="s">
        <v>2414</v>
      </c>
      <c r="F701" t="s">
        <v>178</v>
      </c>
      <c r="G701" t="s">
        <v>2415</v>
      </c>
      <c r="H701" t="s">
        <v>501</v>
      </c>
      <c r="I701" t="s">
        <v>97</v>
      </c>
      <c r="J701" t="s">
        <v>98</v>
      </c>
      <c r="K701" t="s">
        <v>69</v>
      </c>
      <c r="L701" t="s">
        <v>2401</v>
      </c>
      <c r="M701" t="s">
        <v>71</v>
      </c>
      <c r="N701" t="s">
        <v>100</v>
      </c>
      <c r="O701" t="s">
        <v>2306</v>
      </c>
      <c r="P701" t="s">
        <v>2307</v>
      </c>
      <c r="R701" t="s">
        <v>1588</v>
      </c>
      <c r="S701" t="s">
        <v>179</v>
      </c>
      <c r="T701" t="s">
        <v>274</v>
      </c>
      <c r="U701" t="s">
        <v>146</v>
      </c>
      <c r="V701" t="s">
        <v>321</v>
      </c>
      <c r="W701">
        <v>790</v>
      </c>
      <c r="X701">
        <v>34.99</v>
      </c>
      <c r="Y701">
        <v>99</v>
      </c>
      <c r="Z701">
        <v>569000</v>
      </c>
      <c r="AA701">
        <v>209350</v>
      </c>
      <c r="AB701">
        <v>390</v>
      </c>
      <c r="AD701" t="s">
        <v>238</v>
      </c>
      <c r="AE701">
        <v>2</v>
      </c>
      <c r="AF701">
        <v>0</v>
      </c>
      <c r="AI701">
        <v>0</v>
      </c>
      <c r="AJ701">
        <v>15</v>
      </c>
      <c r="AK701">
        <v>15</v>
      </c>
      <c r="AL701">
        <v>265</v>
      </c>
      <c r="AM701">
        <v>17</v>
      </c>
      <c r="AN701">
        <v>0</v>
      </c>
      <c r="AO701">
        <v>17</v>
      </c>
      <c r="AP701" t="s">
        <v>80</v>
      </c>
      <c r="AQ701" t="s">
        <v>2257</v>
      </c>
      <c r="AS701" t="s">
        <v>86</v>
      </c>
      <c r="AT701" t="s">
        <v>86</v>
      </c>
      <c r="AU701" t="s">
        <v>86</v>
      </c>
      <c r="AV701" t="s">
        <v>2416</v>
      </c>
      <c r="AW701" t="s">
        <v>69</v>
      </c>
      <c r="AX701" t="s">
        <v>126</v>
      </c>
      <c r="AY701" t="s">
        <v>2417</v>
      </c>
      <c r="AZ701" t="s">
        <v>264</v>
      </c>
      <c r="BA701" t="s">
        <v>245</v>
      </c>
      <c r="BB701" t="s">
        <v>245</v>
      </c>
      <c r="BC701" t="s">
        <v>245</v>
      </c>
      <c r="BD701" t="s">
        <v>2423</v>
      </c>
      <c r="BE701" t="s">
        <v>2419</v>
      </c>
      <c r="BF701" t="s">
        <v>279</v>
      </c>
      <c r="BG701" t="s">
        <v>110</v>
      </c>
      <c r="BH701" t="str">
        <f>IF(COUNTIF(工作表1!A:A, $C701)&gt;0, "預購款", "非預購款")</f>
        <v>非預購款</v>
      </c>
    </row>
    <row r="702" spans="1:60" x14ac:dyDescent="0.25">
      <c r="A702" t="s">
        <v>2411</v>
      </c>
      <c r="B702" t="s">
        <v>226</v>
      </c>
      <c r="C702" t="s">
        <v>2412</v>
      </c>
      <c r="D702" t="s">
        <v>2413</v>
      </c>
      <c r="E702" t="s">
        <v>2414</v>
      </c>
      <c r="F702" t="s">
        <v>178</v>
      </c>
      <c r="G702" t="s">
        <v>2415</v>
      </c>
      <c r="H702" t="s">
        <v>280</v>
      </c>
      <c r="I702" t="s">
        <v>97</v>
      </c>
      <c r="J702" t="s">
        <v>98</v>
      </c>
      <c r="K702" t="s">
        <v>69</v>
      </c>
      <c r="L702" t="s">
        <v>2401</v>
      </c>
      <c r="M702" t="s">
        <v>71</v>
      </c>
      <c r="N702" t="s">
        <v>100</v>
      </c>
      <c r="O702" t="s">
        <v>2306</v>
      </c>
      <c r="P702" t="s">
        <v>2307</v>
      </c>
      <c r="R702" t="s">
        <v>1588</v>
      </c>
      <c r="S702" t="s">
        <v>179</v>
      </c>
      <c r="T702" t="s">
        <v>274</v>
      </c>
      <c r="U702" t="s">
        <v>146</v>
      </c>
      <c r="V702" t="s">
        <v>321</v>
      </c>
      <c r="W702">
        <v>790</v>
      </c>
      <c r="X702">
        <v>34.99</v>
      </c>
      <c r="Y702">
        <v>99</v>
      </c>
      <c r="Z702">
        <v>569000</v>
      </c>
      <c r="AA702">
        <v>209350</v>
      </c>
      <c r="AB702">
        <v>390</v>
      </c>
      <c r="AD702" t="s">
        <v>238</v>
      </c>
      <c r="AE702">
        <v>2</v>
      </c>
      <c r="AF702">
        <v>0</v>
      </c>
      <c r="AI702">
        <v>0</v>
      </c>
      <c r="AJ702">
        <v>20</v>
      </c>
      <c r="AK702">
        <v>20</v>
      </c>
      <c r="AL702">
        <v>265</v>
      </c>
      <c r="AM702">
        <v>24</v>
      </c>
      <c r="AN702">
        <v>0</v>
      </c>
      <c r="AO702">
        <v>24</v>
      </c>
      <c r="AP702" t="s">
        <v>80</v>
      </c>
      <c r="AQ702" t="s">
        <v>2257</v>
      </c>
      <c r="AS702" t="s">
        <v>86</v>
      </c>
      <c r="AT702" t="s">
        <v>86</v>
      </c>
      <c r="AU702" t="s">
        <v>86</v>
      </c>
      <c r="AV702" t="s">
        <v>2416</v>
      </c>
      <c r="AW702" t="s">
        <v>69</v>
      </c>
      <c r="AX702" t="s">
        <v>126</v>
      </c>
      <c r="AY702" t="s">
        <v>2417</v>
      </c>
      <c r="AZ702" t="s">
        <v>264</v>
      </c>
      <c r="BA702" t="s">
        <v>245</v>
      </c>
      <c r="BB702" t="s">
        <v>245</v>
      </c>
      <c r="BC702" t="s">
        <v>245</v>
      </c>
      <c r="BD702" t="s">
        <v>2424</v>
      </c>
      <c r="BE702" t="s">
        <v>2419</v>
      </c>
      <c r="BF702" t="s">
        <v>279</v>
      </c>
      <c r="BG702" t="s">
        <v>110</v>
      </c>
      <c r="BH702" t="str">
        <f>IF(COUNTIF(工作表1!A:A, $C702)&gt;0, "預購款", "非預購款")</f>
        <v>非預購款</v>
      </c>
    </row>
    <row r="703" spans="1:60" x14ac:dyDescent="0.25">
      <c r="A703" t="s">
        <v>1758</v>
      </c>
      <c r="B703" t="s">
        <v>226</v>
      </c>
      <c r="C703" t="s">
        <v>1759</v>
      </c>
      <c r="D703" t="s">
        <v>1760</v>
      </c>
      <c r="E703" t="s">
        <v>1761</v>
      </c>
      <c r="F703" t="s">
        <v>178</v>
      </c>
      <c r="G703" t="s">
        <v>1762</v>
      </c>
      <c r="H703" t="s">
        <v>273</v>
      </c>
      <c r="I703" t="s">
        <v>88</v>
      </c>
      <c r="J703" t="s">
        <v>89</v>
      </c>
      <c r="K703" t="s">
        <v>69</v>
      </c>
      <c r="L703" t="s">
        <v>1751</v>
      </c>
      <c r="M703" t="s">
        <v>71</v>
      </c>
      <c r="N703" t="s">
        <v>100</v>
      </c>
      <c r="O703" t="s">
        <v>1648</v>
      </c>
      <c r="P703" t="s">
        <v>1649</v>
      </c>
      <c r="R703" t="s">
        <v>1650</v>
      </c>
      <c r="S703" t="s">
        <v>179</v>
      </c>
      <c r="T703" t="s">
        <v>274</v>
      </c>
      <c r="U703" t="s">
        <v>383</v>
      </c>
      <c r="V703" t="s">
        <v>384</v>
      </c>
      <c r="W703">
        <v>1180</v>
      </c>
      <c r="X703">
        <v>49.99</v>
      </c>
      <c r="Y703">
        <v>155</v>
      </c>
      <c r="Z703">
        <v>859000</v>
      </c>
      <c r="AA703">
        <v>118000</v>
      </c>
      <c r="AB703">
        <v>814</v>
      </c>
      <c r="AD703" t="s">
        <v>238</v>
      </c>
      <c r="AE703">
        <v>1</v>
      </c>
      <c r="AF703">
        <v>0</v>
      </c>
      <c r="AI703">
        <v>0</v>
      </c>
      <c r="AJ703">
        <v>55</v>
      </c>
      <c r="AK703">
        <v>55</v>
      </c>
      <c r="AL703">
        <v>100</v>
      </c>
      <c r="AM703">
        <v>62</v>
      </c>
      <c r="AN703">
        <v>0</v>
      </c>
      <c r="AO703">
        <v>62</v>
      </c>
      <c r="AP703" t="s">
        <v>80</v>
      </c>
      <c r="AQ703" t="s">
        <v>176</v>
      </c>
      <c r="AS703" t="s">
        <v>86</v>
      </c>
      <c r="AT703" t="s">
        <v>240</v>
      </c>
      <c r="AU703" t="s">
        <v>86</v>
      </c>
      <c r="AV703" t="s">
        <v>1763</v>
      </c>
      <c r="AW703" t="s">
        <v>69</v>
      </c>
      <c r="AX703" t="s">
        <v>1153</v>
      </c>
      <c r="AY703" t="s">
        <v>1764</v>
      </c>
      <c r="AZ703" t="s">
        <v>264</v>
      </c>
      <c r="BA703" t="s">
        <v>245</v>
      </c>
      <c r="BB703" t="s">
        <v>243</v>
      </c>
      <c r="BC703" t="s">
        <v>243</v>
      </c>
      <c r="BD703" t="s">
        <v>2425</v>
      </c>
      <c r="BE703" t="s">
        <v>2426</v>
      </c>
      <c r="BF703" t="s">
        <v>279</v>
      </c>
      <c r="BG703" t="s">
        <v>110</v>
      </c>
      <c r="BH703" t="str">
        <f>IF(COUNTIF(工作表1!A:A, $C703)&gt;0, "預購款", "非預購款")</f>
        <v>非預購款</v>
      </c>
    </row>
    <row r="704" spans="1:60" x14ac:dyDescent="0.25">
      <c r="A704" t="s">
        <v>1758</v>
      </c>
      <c r="B704" t="s">
        <v>226</v>
      </c>
      <c r="C704" t="s">
        <v>1759</v>
      </c>
      <c r="D704" t="s">
        <v>1760</v>
      </c>
      <c r="E704" t="s">
        <v>1761</v>
      </c>
      <c r="F704" t="s">
        <v>178</v>
      </c>
      <c r="G704" t="s">
        <v>1762</v>
      </c>
      <c r="H704" t="s">
        <v>501</v>
      </c>
      <c r="I704" t="s">
        <v>88</v>
      </c>
      <c r="J704" t="s">
        <v>89</v>
      </c>
      <c r="K704" t="s">
        <v>69</v>
      </c>
      <c r="L704" t="s">
        <v>1751</v>
      </c>
      <c r="M704" t="s">
        <v>71</v>
      </c>
      <c r="N704" t="s">
        <v>100</v>
      </c>
      <c r="O704" t="s">
        <v>1648</v>
      </c>
      <c r="P704" t="s">
        <v>1649</v>
      </c>
      <c r="R704" t="s">
        <v>1650</v>
      </c>
      <c r="S704" t="s">
        <v>179</v>
      </c>
      <c r="T704" t="s">
        <v>274</v>
      </c>
      <c r="U704" t="s">
        <v>383</v>
      </c>
      <c r="V704" t="s">
        <v>384</v>
      </c>
      <c r="W704">
        <v>1180</v>
      </c>
      <c r="X704">
        <v>49.99</v>
      </c>
      <c r="Y704">
        <v>155</v>
      </c>
      <c r="Z704">
        <v>859000</v>
      </c>
      <c r="AA704">
        <v>118000</v>
      </c>
      <c r="AB704">
        <v>814</v>
      </c>
      <c r="AD704" t="s">
        <v>238</v>
      </c>
      <c r="AE704">
        <v>1</v>
      </c>
      <c r="AF704">
        <v>0</v>
      </c>
      <c r="AI704">
        <v>0</v>
      </c>
      <c r="AJ704">
        <v>20</v>
      </c>
      <c r="AK704">
        <v>20</v>
      </c>
      <c r="AL704">
        <v>100</v>
      </c>
      <c r="AM704">
        <v>26</v>
      </c>
      <c r="AN704">
        <v>0</v>
      </c>
      <c r="AO704">
        <v>26</v>
      </c>
      <c r="AP704" t="s">
        <v>80</v>
      </c>
      <c r="AQ704" t="s">
        <v>176</v>
      </c>
      <c r="AS704" t="s">
        <v>86</v>
      </c>
      <c r="AT704" t="s">
        <v>240</v>
      </c>
      <c r="AU704" t="s">
        <v>86</v>
      </c>
      <c r="AV704" t="s">
        <v>1763</v>
      </c>
      <c r="AW704" t="s">
        <v>69</v>
      </c>
      <c r="AX704" t="s">
        <v>1153</v>
      </c>
      <c r="AY704" t="s">
        <v>1764</v>
      </c>
      <c r="AZ704" t="s">
        <v>264</v>
      </c>
      <c r="BA704" t="s">
        <v>245</v>
      </c>
      <c r="BB704" t="s">
        <v>243</v>
      </c>
      <c r="BC704" t="s">
        <v>243</v>
      </c>
      <c r="BD704" t="s">
        <v>2427</v>
      </c>
      <c r="BE704" t="s">
        <v>2426</v>
      </c>
      <c r="BF704" t="s">
        <v>279</v>
      </c>
      <c r="BG704" t="s">
        <v>110</v>
      </c>
      <c r="BH704" t="str">
        <f>IF(COUNTIF(工作表1!A:A, $C704)&gt;0, "預購款", "非預購款")</f>
        <v>非預購款</v>
      </c>
    </row>
    <row r="705" spans="1:60" x14ac:dyDescent="0.25">
      <c r="A705" t="s">
        <v>1758</v>
      </c>
      <c r="B705" t="s">
        <v>226</v>
      </c>
      <c r="C705" t="s">
        <v>1759</v>
      </c>
      <c r="D705" t="s">
        <v>1760</v>
      </c>
      <c r="E705" t="s">
        <v>1761</v>
      </c>
      <c r="F705" t="s">
        <v>178</v>
      </c>
      <c r="G705" t="s">
        <v>1762</v>
      </c>
      <c r="H705" t="s">
        <v>280</v>
      </c>
      <c r="I705" t="s">
        <v>88</v>
      </c>
      <c r="J705" t="s">
        <v>89</v>
      </c>
      <c r="K705" t="s">
        <v>69</v>
      </c>
      <c r="L705" t="s">
        <v>1751</v>
      </c>
      <c r="M705" t="s">
        <v>71</v>
      </c>
      <c r="N705" t="s">
        <v>100</v>
      </c>
      <c r="O705" t="s">
        <v>1648</v>
      </c>
      <c r="P705" t="s">
        <v>1649</v>
      </c>
      <c r="R705" t="s">
        <v>1650</v>
      </c>
      <c r="S705" t="s">
        <v>179</v>
      </c>
      <c r="T705" t="s">
        <v>274</v>
      </c>
      <c r="U705" t="s">
        <v>383</v>
      </c>
      <c r="V705" t="s">
        <v>384</v>
      </c>
      <c r="W705">
        <v>1180</v>
      </c>
      <c r="X705">
        <v>49.99</v>
      </c>
      <c r="Y705">
        <v>155</v>
      </c>
      <c r="Z705">
        <v>859000</v>
      </c>
      <c r="AA705">
        <v>118000</v>
      </c>
      <c r="AB705">
        <v>814</v>
      </c>
      <c r="AD705" t="s">
        <v>238</v>
      </c>
      <c r="AE705">
        <v>1</v>
      </c>
      <c r="AF705">
        <v>0</v>
      </c>
      <c r="AI705">
        <v>0</v>
      </c>
      <c r="AJ705">
        <v>25</v>
      </c>
      <c r="AK705">
        <v>25</v>
      </c>
      <c r="AL705">
        <v>100</v>
      </c>
      <c r="AM705">
        <v>28</v>
      </c>
      <c r="AN705">
        <v>0</v>
      </c>
      <c r="AO705">
        <v>28</v>
      </c>
      <c r="AP705" t="s">
        <v>80</v>
      </c>
      <c r="AQ705" t="s">
        <v>176</v>
      </c>
      <c r="AS705" t="s">
        <v>86</v>
      </c>
      <c r="AT705" t="s">
        <v>240</v>
      </c>
      <c r="AU705" t="s">
        <v>86</v>
      </c>
      <c r="AV705" t="s">
        <v>1763</v>
      </c>
      <c r="AW705" t="s">
        <v>69</v>
      </c>
      <c r="AX705" t="s">
        <v>1153</v>
      </c>
      <c r="AY705" t="s">
        <v>1764</v>
      </c>
      <c r="AZ705" t="s">
        <v>264</v>
      </c>
      <c r="BA705" t="s">
        <v>245</v>
      </c>
      <c r="BB705" t="s">
        <v>243</v>
      </c>
      <c r="BC705" t="s">
        <v>243</v>
      </c>
      <c r="BD705" t="s">
        <v>2428</v>
      </c>
      <c r="BE705" t="s">
        <v>2426</v>
      </c>
      <c r="BF705" t="s">
        <v>279</v>
      </c>
      <c r="BG705" t="s">
        <v>110</v>
      </c>
      <c r="BH705" t="str">
        <f>IF(COUNTIF(工作表1!A:A, $C705)&gt;0, "預購款", "非預購款")</f>
        <v>非預購款</v>
      </c>
    </row>
    <row r="706" spans="1:60" x14ac:dyDescent="0.25">
      <c r="A706" t="s">
        <v>1983</v>
      </c>
      <c r="B706" t="s">
        <v>226</v>
      </c>
      <c r="C706" t="s">
        <v>1984</v>
      </c>
      <c r="D706" t="s">
        <v>1985</v>
      </c>
      <c r="E706" t="s">
        <v>1986</v>
      </c>
      <c r="F706" t="s">
        <v>178</v>
      </c>
      <c r="G706" t="s">
        <v>1987</v>
      </c>
      <c r="H706" t="s">
        <v>273</v>
      </c>
      <c r="I706" t="s">
        <v>120</v>
      </c>
      <c r="J706" t="s">
        <v>121</v>
      </c>
      <c r="K706" t="s">
        <v>69</v>
      </c>
      <c r="L706" t="s">
        <v>1973</v>
      </c>
      <c r="M706" t="s">
        <v>71</v>
      </c>
      <c r="N706" t="s">
        <v>100</v>
      </c>
      <c r="O706" t="s">
        <v>1900</v>
      </c>
      <c r="P706" t="s">
        <v>1901</v>
      </c>
      <c r="R706" t="s">
        <v>1902</v>
      </c>
      <c r="S706" t="s">
        <v>179</v>
      </c>
      <c r="T706" t="s">
        <v>274</v>
      </c>
      <c r="U706" t="s">
        <v>104</v>
      </c>
      <c r="V706" t="s">
        <v>653</v>
      </c>
      <c r="W706">
        <v>690</v>
      </c>
      <c r="X706">
        <v>29.99</v>
      </c>
      <c r="Y706">
        <v>89</v>
      </c>
      <c r="Z706">
        <v>499000</v>
      </c>
      <c r="AA706">
        <v>113850</v>
      </c>
      <c r="AB706">
        <v>242</v>
      </c>
      <c r="AD706" t="s">
        <v>238</v>
      </c>
      <c r="AE706">
        <v>1</v>
      </c>
      <c r="AF706">
        <v>0</v>
      </c>
      <c r="AI706">
        <v>30</v>
      </c>
      <c r="AJ706">
        <v>60</v>
      </c>
      <c r="AK706">
        <v>90</v>
      </c>
      <c r="AL706">
        <v>165</v>
      </c>
      <c r="AM706">
        <v>99</v>
      </c>
      <c r="AN706">
        <v>0</v>
      </c>
      <c r="AO706">
        <v>99</v>
      </c>
      <c r="AP706" t="s">
        <v>80</v>
      </c>
      <c r="AQ706" t="s">
        <v>187</v>
      </c>
      <c r="AS706" t="s">
        <v>86</v>
      </c>
      <c r="AT706" t="s">
        <v>261</v>
      </c>
      <c r="AU706" t="s">
        <v>261</v>
      </c>
      <c r="AV706" t="s">
        <v>1988</v>
      </c>
      <c r="AW706" t="s">
        <v>80</v>
      </c>
      <c r="AX706" t="s">
        <v>738</v>
      </c>
      <c r="AY706" t="s">
        <v>1989</v>
      </c>
      <c r="AZ706" t="s">
        <v>243</v>
      </c>
      <c r="BA706" t="s">
        <v>244</v>
      </c>
      <c r="BB706" t="s">
        <v>245</v>
      </c>
      <c r="BC706" t="s">
        <v>244</v>
      </c>
      <c r="BD706" t="s">
        <v>1990</v>
      </c>
      <c r="BE706" t="s">
        <v>2429</v>
      </c>
      <c r="BF706" t="s">
        <v>672</v>
      </c>
      <c r="BG706" t="s">
        <v>150</v>
      </c>
      <c r="BH706" t="str">
        <f>IF(COUNTIF(工作表1!A:A, $C706)&gt;0, "預購款", "非預購款")</f>
        <v>非預購款</v>
      </c>
    </row>
    <row r="707" spans="1:60" x14ac:dyDescent="0.25">
      <c r="A707" t="s">
        <v>1983</v>
      </c>
      <c r="B707" t="s">
        <v>226</v>
      </c>
      <c r="C707" t="s">
        <v>1984</v>
      </c>
      <c r="D707" t="s">
        <v>1985</v>
      </c>
      <c r="E707" t="s">
        <v>1986</v>
      </c>
      <c r="F707" t="s">
        <v>178</v>
      </c>
      <c r="G707" t="s">
        <v>1987</v>
      </c>
      <c r="H707" t="s">
        <v>501</v>
      </c>
      <c r="I707" t="s">
        <v>120</v>
      </c>
      <c r="J707" t="s">
        <v>121</v>
      </c>
      <c r="K707" t="s">
        <v>69</v>
      </c>
      <c r="L707" t="s">
        <v>1973</v>
      </c>
      <c r="M707" t="s">
        <v>71</v>
      </c>
      <c r="N707" t="s">
        <v>100</v>
      </c>
      <c r="O707" t="s">
        <v>1900</v>
      </c>
      <c r="P707" t="s">
        <v>1901</v>
      </c>
      <c r="R707" t="s">
        <v>1902</v>
      </c>
      <c r="S707" t="s">
        <v>179</v>
      </c>
      <c r="T707" t="s">
        <v>274</v>
      </c>
      <c r="U707" t="s">
        <v>104</v>
      </c>
      <c r="V707" t="s">
        <v>653</v>
      </c>
      <c r="W707">
        <v>690</v>
      </c>
      <c r="X707">
        <v>29.99</v>
      </c>
      <c r="Y707">
        <v>89</v>
      </c>
      <c r="Z707">
        <v>499000</v>
      </c>
      <c r="AA707">
        <v>113850</v>
      </c>
      <c r="AB707">
        <v>242</v>
      </c>
      <c r="AD707" t="s">
        <v>238</v>
      </c>
      <c r="AE707">
        <v>1</v>
      </c>
      <c r="AF707">
        <v>0</v>
      </c>
      <c r="AI707">
        <v>10</v>
      </c>
      <c r="AJ707">
        <v>15</v>
      </c>
      <c r="AK707">
        <v>25</v>
      </c>
      <c r="AL707">
        <v>165</v>
      </c>
      <c r="AM707">
        <v>30</v>
      </c>
      <c r="AN707">
        <v>0</v>
      </c>
      <c r="AO707">
        <v>30</v>
      </c>
      <c r="AP707" t="s">
        <v>80</v>
      </c>
      <c r="AQ707" t="s">
        <v>187</v>
      </c>
      <c r="AS707" t="s">
        <v>86</v>
      </c>
      <c r="AT707" t="s">
        <v>261</v>
      </c>
      <c r="AU707" t="s">
        <v>261</v>
      </c>
      <c r="AV707" t="s">
        <v>1988</v>
      </c>
      <c r="AW707" t="s">
        <v>80</v>
      </c>
      <c r="AX707" t="s">
        <v>738</v>
      </c>
      <c r="AY707" t="s">
        <v>1989</v>
      </c>
      <c r="AZ707" t="s">
        <v>243</v>
      </c>
      <c r="BA707" t="s">
        <v>244</v>
      </c>
      <c r="BB707" t="s">
        <v>245</v>
      </c>
      <c r="BC707" t="s">
        <v>244</v>
      </c>
      <c r="BD707" t="s">
        <v>1992</v>
      </c>
      <c r="BE707" t="s">
        <v>2429</v>
      </c>
      <c r="BF707" t="s">
        <v>672</v>
      </c>
      <c r="BG707" t="s">
        <v>150</v>
      </c>
      <c r="BH707" t="str">
        <f>IF(COUNTIF(工作表1!A:A, $C707)&gt;0, "預購款", "非預購款")</f>
        <v>非預購款</v>
      </c>
    </row>
    <row r="708" spans="1:60" x14ac:dyDescent="0.25">
      <c r="A708" t="s">
        <v>1983</v>
      </c>
      <c r="B708" t="s">
        <v>226</v>
      </c>
      <c r="C708" t="s">
        <v>1984</v>
      </c>
      <c r="D708" t="s">
        <v>1985</v>
      </c>
      <c r="E708" t="s">
        <v>1986</v>
      </c>
      <c r="F708" t="s">
        <v>178</v>
      </c>
      <c r="G708" t="s">
        <v>1987</v>
      </c>
      <c r="H708" t="s">
        <v>280</v>
      </c>
      <c r="I708" t="s">
        <v>120</v>
      </c>
      <c r="J708" t="s">
        <v>121</v>
      </c>
      <c r="K708" t="s">
        <v>69</v>
      </c>
      <c r="L708" t="s">
        <v>1973</v>
      </c>
      <c r="M708" t="s">
        <v>71</v>
      </c>
      <c r="N708" t="s">
        <v>100</v>
      </c>
      <c r="O708" t="s">
        <v>1900</v>
      </c>
      <c r="P708" t="s">
        <v>1901</v>
      </c>
      <c r="R708" t="s">
        <v>1902</v>
      </c>
      <c r="S708" t="s">
        <v>179</v>
      </c>
      <c r="T708" t="s">
        <v>274</v>
      </c>
      <c r="U708" t="s">
        <v>104</v>
      </c>
      <c r="V708" t="s">
        <v>653</v>
      </c>
      <c r="W708">
        <v>690</v>
      </c>
      <c r="X708">
        <v>29.99</v>
      </c>
      <c r="Y708">
        <v>89</v>
      </c>
      <c r="Z708">
        <v>499000</v>
      </c>
      <c r="AA708">
        <v>113850</v>
      </c>
      <c r="AB708">
        <v>242</v>
      </c>
      <c r="AD708" t="s">
        <v>238</v>
      </c>
      <c r="AE708">
        <v>1</v>
      </c>
      <c r="AF708">
        <v>0</v>
      </c>
      <c r="AI708">
        <v>30</v>
      </c>
      <c r="AJ708">
        <v>20</v>
      </c>
      <c r="AK708">
        <v>50</v>
      </c>
      <c r="AL708">
        <v>165</v>
      </c>
      <c r="AM708">
        <v>60</v>
      </c>
      <c r="AN708">
        <v>0</v>
      </c>
      <c r="AO708">
        <v>60</v>
      </c>
      <c r="AP708" t="s">
        <v>80</v>
      </c>
      <c r="AQ708" t="s">
        <v>187</v>
      </c>
      <c r="AS708" t="s">
        <v>86</v>
      </c>
      <c r="AT708" t="s">
        <v>261</v>
      </c>
      <c r="AU708" t="s">
        <v>261</v>
      </c>
      <c r="AV708" t="s">
        <v>1988</v>
      </c>
      <c r="AW708" t="s">
        <v>80</v>
      </c>
      <c r="AX708" t="s">
        <v>738</v>
      </c>
      <c r="AY708" t="s">
        <v>1989</v>
      </c>
      <c r="AZ708" t="s">
        <v>243</v>
      </c>
      <c r="BA708" t="s">
        <v>244</v>
      </c>
      <c r="BB708" t="s">
        <v>245</v>
      </c>
      <c r="BC708" t="s">
        <v>244</v>
      </c>
      <c r="BD708" t="s">
        <v>1993</v>
      </c>
      <c r="BE708" t="s">
        <v>2429</v>
      </c>
      <c r="BF708" t="s">
        <v>672</v>
      </c>
      <c r="BG708" t="s">
        <v>150</v>
      </c>
      <c r="BH708" t="str">
        <f>IF(COUNTIF(工作表1!A:A, $C708)&gt;0, "預購款", "非預購款")</f>
        <v>非預購款</v>
      </c>
    </row>
    <row r="709" spans="1:60" x14ac:dyDescent="0.25">
      <c r="A709" t="s">
        <v>1997</v>
      </c>
      <c r="B709" t="s">
        <v>226</v>
      </c>
      <c r="C709" t="s">
        <v>1998</v>
      </c>
      <c r="D709" t="s">
        <v>1999</v>
      </c>
      <c r="E709" t="s">
        <v>2000</v>
      </c>
      <c r="F709" t="s">
        <v>178</v>
      </c>
      <c r="G709" t="s">
        <v>2001</v>
      </c>
      <c r="H709" t="s">
        <v>273</v>
      </c>
      <c r="I709" t="s">
        <v>120</v>
      </c>
      <c r="J709" t="s">
        <v>121</v>
      </c>
      <c r="K709" t="s">
        <v>69</v>
      </c>
      <c r="L709" t="s">
        <v>2002</v>
      </c>
      <c r="M709" t="s">
        <v>71</v>
      </c>
      <c r="N709" t="s">
        <v>100</v>
      </c>
      <c r="O709" t="s">
        <v>1900</v>
      </c>
      <c r="P709" t="s">
        <v>1901</v>
      </c>
      <c r="R709" t="s">
        <v>1902</v>
      </c>
      <c r="S709" t="s">
        <v>179</v>
      </c>
      <c r="T709" t="s">
        <v>274</v>
      </c>
      <c r="U709" t="s">
        <v>383</v>
      </c>
      <c r="V709" t="s">
        <v>384</v>
      </c>
      <c r="W709">
        <v>890</v>
      </c>
      <c r="X709">
        <v>39.99</v>
      </c>
      <c r="Y709">
        <v>115</v>
      </c>
      <c r="Z709">
        <v>639000</v>
      </c>
      <c r="AA709">
        <v>178000</v>
      </c>
      <c r="AB709">
        <v>482</v>
      </c>
      <c r="AD709" t="s">
        <v>238</v>
      </c>
      <c r="AE709">
        <v>1</v>
      </c>
      <c r="AF709">
        <v>0</v>
      </c>
      <c r="AI709">
        <v>20</v>
      </c>
      <c r="AJ709">
        <v>90</v>
      </c>
      <c r="AK709">
        <v>110</v>
      </c>
      <c r="AL709">
        <v>200</v>
      </c>
      <c r="AM709">
        <v>115</v>
      </c>
      <c r="AN709">
        <v>0</v>
      </c>
      <c r="AO709">
        <v>115</v>
      </c>
      <c r="AP709" t="s">
        <v>80</v>
      </c>
      <c r="AQ709" t="s">
        <v>187</v>
      </c>
      <c r="AS709" t="s">
        <v>86</v>
      </c>
      <c r="AT709" t="s">
        <v>86</v>
      </c>
      <c r="AU709" t="s">
        <v>86</v>
      </c>
      <c r="AV709" t="s">
        <v>2003</v>
      </c>
      <c r="AW709" t="s">
        <v>80</v>
      </c>
      <c r="AX709" t="s">
        <v>126</v>
      </c>
      <c r="AY709" t="s">
        <v>2004</v>
      </c>
      <c r="AZ709" t="s">
        <v>243</v>
      </c>
      <c r="BA709" t="s">
        <v>243</v>
      </c>
      <c r="BB709" t="s">
        <v>245</v>
      </c>
      <c r="BC709" t="s">
        <v>244</v>
      </c>
      <c r="BD709" t="s">
        <v>2005</v>
      </c>
      <c r="BE709" t="s">
        <v>2430</v>
      </c>
      <c r="BF709" t="s">
        <v>279</v>
      </c>
      <c r="BG709" t="s">
        <v>150</v>
      </c>
      <c r="BH709" t="str">
        <f>IF(COUNTIF(工作表1!A:A, $C709)&gt;0, "預購款", "非預購款")</f>
        <v>非預購款</v>
      </c>
    </row>
    <row r="710" spans="1:60" x14ac:dyDescent="0.25">
      <c r="A710" t="s">
        <v>1997</v>
      </c>
      <c r="B710" t="s">
        <v>226</v>
      </c>
      <c r="C710" t="s">
        <v>1998</v>
      </c>
      <c r="D710" t="s">
        <v>1999</v>
      </c>
      <c r="E710" t="s">
        <v>2000</v>
      </c>
      <c r="F710" t="s">
        <v>178</v>
      </c>
      <c r="G710" t="s">
        <v>2001</v>
      </c>
      <c r="H710" t="s">
        <v>501</v>
      </c>
      <c r="I710" t="s">
        <v>120</v>
      </c>
      <c r="J710" t="s">
        <v>121</v>
      </c>
      <c r="K710" t="s">
        <v>69</v>
      </c>
      <c r="L710" t="s">
        <v>2002</v>
      </c>
      <c r="M710" t="s">
        <v>71</v>
      </c>
      <c r="N710" t="s">
        <v>100</v>
      </c>
      <c r="O710" t="s">
        <v>1900</v>
      </c>
      <c r="P710" t="s">
        <v>1901</v>
      </c>
      <c r="R710" t="s">
        <v>1902</v>
      </c>
      <c r="S710" t="s">
        <v>179</v>
      </c>
      <c r="T710" t="s">
        <v>274</v>
      </c>
      <c r="U710" t="s">
        <v>383</v>
      </c>
      <c r="V710" t="s">
        <v>384</v>
      </c>
      <c r="W710">
        <v>890</v>
      </c>
      <c r="X710">
        <v>39.99</v>
      </c>
      <c r="Y710">
        <v>115</v>
      </c>
      <c r="Z710">
        <v>639000</v>
      </c>
      <c r="AA710">
        <v>178000</v>
      </c>
      <c r="AB710">
        <v>482</v>
      </c>
      <c r="AD710" t="s">
        <v>238</v>
      </c>
      <c r="AE710">
        <v>1</v>
      </c>
      <c r="AF710">
        <v>0</v>
      </c>
      <c r="AI710">
        <v>0</v>
      </c>
      <c r="AJ710">
        <v>20</v>
      </c>
      <c r="AK710">
        <v>20</v>
      </c>
      <c r="AL710">
        <v>200</v>
      </c>
      <c r="AM710">
        <v>24</v>
      </c>
      <c r="AN710">
        <v>0</v>
      </c>
      <c r="AO710">
        <v>24</v>
      </c>
      <c r="AP710" t="s">
        <v>80</v>
      </c>
      <c r="AQ710" t="s">
        <v>187</v>
      </c>
      <c r="AS710" t="s">
        <v>86</v>
      </c>
      <c r="AT710" t="s">
        <v>86</v>
      </c>
      <c r="AU710" t="s">
        <v>86</v>
      </c>
      <c r="AV710" t="s">
        <v>2003</v>
      </c>
      <c r="AW710" t="s">
        <v>80</v>
      </c>
      <c r="AX710" t="s">
        <v>126</v>
      </c>
      <c r="AY710" t="s">
        <v>2004</v>
      </c>
      <c r="AZ710" t="s">
        <v>243</v>
      </c>
      <c r="BA710" t="s">
        <v>243</v>
      </c>
      <c r="BB710" t="s">
        <v>245</v>
      </c>
      <c r="BC710" t="s">
        <v>244</v>
      </c>
      <c r="BD710" t="s">
        <v>2006</v>
      </c>
      <c r="BE710" t="s">
        <v>2430</v>
      </c>
      <c r="BF710" t="s">
        <v>279</v>
      </c>
      <c r="BG710" t="s">
        <v>150</v>
      </c>
      <c r="BH710" t="str">
        <f>IF(COUNTIF(工作表1!A:A, $C710)&gt;0, "預購款", "非預購款")</f>
        <v>非預購款</v>
      </c>
    </row>
    <row r="711" spans="1:60" x14ac:dyDescent="0.25">
      <c r="A711" t="s">
        <v>1997</v>
      </c>
      <c r="B711" t="s">
        <v>226</v>
      </c>
      <c r="C711" t="s">
        <v>1998</v>
      </c>
      <c r="D711" t="s">
        <v>1999</v>
      </c>
      <c r="E711" t="s">
        <v>2000</v>
      </c>
      <c r="F711" t="s">
        <v>178</v>
      </c>
      <c r="G711" t="s">
        <v>2001</v>
      </c>
      <c r="H711" t="s">
        <v>280</v>
      </c>
      <c r="I711" t="s">
        <v>120</v>
      </c>
      <c r="J711" t="s">
        <v>121</v>
      </c>
      <c r="K711" t="s">
        <v>69</v>
      </c>
      <c r="L711" t="s">
        <v>2002</v>
      </c>
      <c r="M711" t="s">
        <v>71</v>
      </c>
      <c r="N711" t="s">
        <v>100</v>
      </c>
      <c r="O711" t="s">
        <v>1900</v>
      </c>
      <c r="P711" t="s">
        <v>1901</v>
      </c>
      <c r="R711" t="s">
        <v>1902</v>
      </c>
      <c r="S711" t="s">
        <v>179</v>
      </c>
      <c r="T711" t="s">
        <v>274</v>
      </c>
      <c r="U711" t="s">
        <v>383</v>
      </c>
      <c r="V711" t="s">
        <v>384</v>
      </c>
      <c r="W711">
        <v>890</v>
      </c>
      <c r="X711">
        <v>39.99</v>
      </c>
      <c r="Y711">
        <v>115</v>
      </c>
      <c r="Z711">
        <v>639000</v>
      </c>
      <c r="AA711">
        <v>178000</v>
      </c>
      <c r="AB711">
        <v>482</v>
      </c>
      <c r="AD711" t="s">
        <v>238</v>
      </c>
      <c r="AE711">
        <v>1</v>
      </c>
      <c r="AF711">
        <v>0</v>
      </c>
      <c r="AI711">
        <v>40</v>
      </c>
      <c r="AJ711">
        <v>30</v>
      </c>
      <c r="AK711">
        <v>70</v>
      </c>
      <c r="AL711">
        <v>200</v>
      </c>
      <c r="AM711">
        <v>73</v>
      </c>
      <c r="AN711">
        <v>0</v>
      </c>
      <c r="AO711">
        <v>73</v>
      </c>
      <c r="AP711" t="s">
        <v>80</v>
      </c>
      <c r="AQ711" t="s">
        <v>187</v>
      </c>
      <c r="AS711" t="s">
        <v>86</v>
      </c>
      <c r="AT711" t="s">
        <v>86</v>
      </c>
      <c r="AU711" t="s">
        <v>86</v>
      </c>
      <c r="AV711" t="s">
        <v>2003</v>
      </c>
      <c r="AW711" t="s">
        <v>80</v>
      </c>
      <c r="AX711" t="s">
        <v>126</v>
      </c>
      <c r="AY711" t="s">
        <v>2004</v>
      </c>
      <c r="AZ711" t="s">
        <v>243</v>
      </c>
      <c r="BA711" t="s">
        <v>243</v>
      </c>
      <c r="BB711" t="s">
        <v>245</v>
      </c>
      <c r="BC711" t="s">
        <v>244</v>
      </c>
      <c r="BD711" t="s">
        <v>2007</v>
      </c>
      <c r="BE711" t="s">
        <v>2430</v>
      </c>
      <c r="BF711" t="s">
        <v>279</v>
      </c>
      <c r="BG711" t="s">
        <v>150</v>
      </c>
      <c r="BH711" t="str">
        <f>IF(COUNTIF(工作表1!A:A, $C711)&gt;0, "預購款", "非預購款")</f>
        <v>非預購款</v>
      </c>
    </row>
    <row r="712" spans="1:60" x14ac:dyDescent="0.25">
      <c r="A712" t="s">
        <v>2431</v>
      </c>
      <c r="B712" t="s">
        <v>283</v>
      </c>
      <c r="C712" t="s">
        <v>2432</v>
      </c>
      <c r="D712" t="s">
        <v>2433</v>
      </c>
      <c r="E712" t="s">
        <v>2434</v>
      </c>
      <c r="F712" t="s">
        <v>178</v>
      </c>
      <c r="G712" t="s">
        <v>2435</v>
      </c>
      <c r="H712" t="s">
        <v>119</v>
      </c>
      <c r="I712" t="s">
        <v>97</v>
      </c>
      <c r="J712" t="s">
        <v>98</v>
      </c>
      <c r="K712" t="s">
        <v>80</v>
      </c>
      <c r="L712" t="s">
        <v>2436</v>
      </c>
      <c r="M712" t="s">
        <v>71</v>
      </c>
      <c r="N712" t="s">
        <v>100</v>
      </c>
      <c r="O712" t="s">
        <v>1900</v>
      </c>
      <c r="P712" t="s">
        <v>1901</v>
      </c>
      <c r="R712" t="s">
        <v>1902</v>
      </c>
      <c r="S712" t="s">
        <v>179</v>
      </c>
      <c r="T712" t="s">
        <v>291</v>
      </c>
      <c r="U712" t="s">
        <v>150</v>
      </c>
      <c r="V712" t="s">
        <v>641</v>
      </c>
      <c r="W712">
        <v>690</v>
      </c>
      <c r="X712">
        <v>29.99</v>
      </c>
      <c r="Y712">
        <v>89</v>
      </c>
      <c r="Z712">
        <v>499000</v>
      </c>
      <c r="AA712">
        <v>217350</v>
      </c>
      <c r="AB712">
        <v>210</v>
      </c>
      <c r="AD712" t="s">
        <v>238</v>
      </c>
      <c r="AE712">
        <v>2</v>
      </c>
      <c r="AF712">
        <v>0</v>
      </c>
      <c r="AI712">
        <v>0</v>
      </c>
      <c r="AJ712">
        <v>80</v>
      </c>
      <c r="AK712">
        <v>80</v>
      </c>
      <c r="AL712">
        <v>315</v>
      </c>
      <c r="AM712">
        <v>90</v>
      </c>
      <c r="AN712">
        <v>0</v>
      </c>
      <c r="AO712">
        <v>90</v>
      </c>
      <c r="AP712" t="s">
        <v>80</v>
      </c>
      <c r="AQ712" t="s">
        <v>176</v>
      </c>
      <c r="AT712" t="s">
        <v>86</v>
      </c>
      <c r="AU712" t="s">
        <v>86</v>
      </c>
      <c r="AV712" t="s">
        <v>2437</v>
      </c>
      <c r="AW712" t="s">
        <v>69</v>
      </c>
      <c r="AX712" t="s">
        <v>2438</v>
      </c>
      <c r="AY712" t="s">
        <v>2439</v>
      </c>
      <c r="AZ712" t="s">
        <v>243</v>
      </c>
      <c r="BA712" t="s">
        <v>245</v>
      </c>
      <c r="BB712" t="s">
        <v>244</v>
      </c>
      <c r="BC712" t="s">
        <v>244</v>
      </c>
      <c r="BD712" t="s">
        <v>2440</v>
      </c>
      <c r="BE712" t="s">
        <v>2441</v>
      </c>
      <c r="BF712" t="s">
        <v>291</v>
      </c>
      <c r="BG712" t="s">
        <v>87</v>
      </c>
      <c r="BH712" t="str">
        <f>IF(COUNTIF(工作表1!A:A, $C712)&gt;0, "預購款", "非預購款")</f>
        <v>非預購款</v>
      </c>
    </row>
    <row r="713" spans="1:60" x14ac:dyDescent="0.25">
      <c r="A713" t="s">
        <v>2431</v>
      </c>
      <c r="B713" t="s">
        <v>283</v>
      </c>
      <c r="C713" t="s">
        <v>2432</v>
      </c>
      <c r="D713" t="s">
        <v>2433</v>
      </c>
      <c r="E713" t="s">
        <v>2434</v>
      </c>
      <c r="F713" t="s">
        <v>178</v>
      </c>
      <c r="G713" t="s">
        <v>2435</v>
      </c>
      <c r="H713" t="s">
        <v>130</v>
      </c>
      <c r="I713" t="s">
        <v>97</v>
      </c>
      <c r="J713" t="s">
        <v>98</v>
      </c>
      <c r="K713" t="s">
        <v>80</v>
      </c>
      <c r="L713" t="s">
        <v>2436</v>
      </c>
      <c r="M713" t="s">
        <v>71</v>
      </c>
      <c r="N713" t="s">
        <v>100</v>
      </c>
      <c r="O713" t="s">
        <v>1900</v>
      </c>
      <c r="P713" t="s">
        <v>1901</v>
      </c>
      <c r="R713" t="s">
        <v>1902</v>
      </c>
      <c r="S713" t="s">
        <v>179</v>
      </c>
      <c r="T713" t="s">
        <v>291</v>
      </c>
      <c r="U713" t="s">
        <v>150</v>
      </c>
      <c r="V713" t="s">
        <v>641</v>
      </c>
      <c r="W713">
        <v>690</v>
      </c>
      <c r="X713">
        <v>29.99</v>
      </c>
      <c r="Y713">
        <v>89</v>
      </c>
      <c r="Z713">
        <v>499000</v>
      </c>
      <c r="AA713">
        <v>217350</v>
      </c>
      <c r="AB713">
        <v>210</v>
      </c>
      <c r="AD713" t="s">
        <v>238</v>
      </c>
      <c r="AE713">
        <v>2</v>
      </c>
      <c r="AF713">
        <v>0</v>
      </c>
      <c r="AI713">
        <v>0</v>
      </c>
      <c r="AJ713">
        <v>80</v>
      </c>
      <c r="AK713">
        <v>80</v>
      </c>
      <c r="AL713">
        <v>315</v>
      </c>
      <c r="AM713">
        <v>89</v>
      </c>
      <c r="AN713">
        <v>0</v>
      </c>
      <c r="AO713">
        <v>89</v>
      </c>
      <c r="AP713" t="s">
        <v>80</v>
      </c>
      <c r="AQ713" t="s">
        <v>176</v>
      </c>
      <c r="AT713" t="s">
        <v>86</v>
      </c>
      <c r="AU713" t="s">
        <v>86</v>
      </c>
      <c r="AV713" t="s">
        <v>2437</v>
      </c>
      <c r="AW713" t="s">
        <v>69</v>
      </c>
      <c r="AX713" t="s">
        <v>2438</v>
      </c>
      <c r="AY713" t="s">
        <v>2439</v>
      </c>
      <c r="AZ713" t="s">
        <v>243</v>
      </c>
      <c r="BA713" t="s">
        <v>245</v>
      </c>
      <c r="BB713" t="s">
        <v>244</v>
      </c>
      <c r="BC713" t="s">
        <v>244</v>
      </c>
      <c r="BD713" t="s">
        <v>2442</v>
      </c>
      <c r="BE713" t="s">
        <v>2441</v>
      </c>
      <c r="BF713" t="s">
        <v>291</v>
      </c>
      <c r="BG713" t="s">
        <v>87</v>
      </c>
      <c r="BH713" t="str">
        <f>IF(COUNTIF(工作表1!A:A, $C713)&gt;0, "預購款", "非預購款")</f>
        <v>非預購款</v>
      </c>
    </row>
    <row r="714" spans="1:60" x14ac:dyDescent="0.25">
      <c r="A714" t="s">
        <v>2431</v>
      </c>
      <c r="B714" t="s">
        <v>283</v>
      </c>
      <c r="C714" t="s">
        <v>2432</v>
      </c>
      <c r="D714" t="s">
        <v>2433</v>
      </c>
      <c r="E714" t="s">
        <v>2434</v>
      </c>
      <c r="F714" t="s">
        <v>178</v>
      </c>
      <c r="G714" t="s">
        <v>2435</v>
      </c>
      <c r="H714" t="s">
        <v>119</v>
      </c>
      <c r="I714" t="s">
        <v>1228</v>
      </c>
      <c r="J714" t="s">
        <v>1229</v>
      </c>
      <c r="K714" t="s">
        <v>69</v>
      </c>
      <c r="L714" t="s">
        <v>2436</v>
      </c>
      <c r="M714" t="s">
        <v>71</v>
      </c>
      <c r="N714" t="s">
        <v>100</v>
      </c>
      <c r="O714" t="s">
        <v>1900</v>
      </c>
      <c r="P714" t="s">
        <v>1901</v>
      </c>
      <c r="R714" t="s">
        <v>1902</v>
      </c>
      <c r="S714" t="s">
        <v>179</v>
      </c>
      <c r="T714" t="s">
        <v>291</v>
      </c>
      <c r="U714" t="s">
        <v>150</v>
      </c>
      <c r="V714" t="s">
        <v>641</v>
      </c>
      <c r="W714">
        <v>690</v>
      </c>
      <c r="X714">
        <v>29.99</v>
      </c>
      <c r="Y714">
        <v>89</v>
      </c>
      <c r="Z714">
        <v>499000</v>
      </c>
      <c r="AA714">
        <v>217350</v>
      </c>
      <c r="AB714">
        <v>210</v>
      </c>
      <c r="AD714" t="s">
        <v>238</v>
      </c>
      <c r="AE714">
        <v>2</v>
      </c>
      <c r="AF714">
        <v>0</v>
      </c>
      <c r="AI714">
        <v>0</v>
      </c>
      <c r="AJ714">
        <v>60</v>
      </c>
      <c r="AK714">
        <v>60</v>
      </c>
      <c r="AL714">
        <v>315</v>
      </c>
      <c r="AM714">
        <v>70</v>
      </c>
      <c r="AN714">
        <v>0</v>
      </c>
      <c r="AO714">
        <v>70</v>
      </c>
      <c r="AP714" t="s">
        <v>80</v>
      </c>
      <c r="AQ714" t="s">
        <v>176</v>
      </c>
      <c r="AT714" t="s">
        <v>86</v>
      </c>
      <c r="AU714" t="s">
        <v>86</v>
      </c>
      <c r="AV714" t="s">
        <v>2437</v>
      </c>
      <c r="AW714" t="s">
        <v>69</v>
      </c>
      <c r="AX714" t="s">
        <v>2438</v>
      </c>
      <c r="AY714" t="s">
        <v>2439</v>
      </c>
      <c r="AZ714" t="s">
        <v>243</v>
      </c>
      <c r="BA714" t="s">
        <v>245</v>
      </c>
      <c r="BB714" t="s">
        <v>244</v>
      </c>
      <c r="BC714" t="s">
        <v>244</v>
      </c>
      <c r="BD714" t="s">
        <v>2443</v>
      </c>
      <c r="BE714" t="s">
        <v>2441</v>
      </c>
      <c r="BF714" t="s">
        <v>291</v>
      </c>
      <c r="BG714" t="s">
        <v>87</v>
      </c>
      <c r="BH714" t="str">
        <f>IF(COUNTIF(工作表1!A:A, $C714)&gt;0, "預購款", "非預購款")</f>
        <v>非預購款</v>
      </c>
    </row>
    <row r="715" spans="1:60" x14ac:dyDescent="0.25">
      <c r="A715" t="s">
        <v>2431</v>
      </c>
      <c r="B715" t="s">
        <v>283</v>
      </c>
      <c r="C715" t="s">
        <v>2432</v>
      </c>
      <c r="D715" t="s">
        <v>2433</v>
      </c>
      <c r="E715" t="s">
        <v>2434</v>
      </c>
      <c r="F715" t="s">
        <v>178</v>
      </c>
      <c r="G715" t="s">
        <v>2435</v>
      </c>
      <c r="H715" t="s">
        <v>130</v>
      </c>
      <c r="I715" t="s">
        <v>1228</v>
      </c>
      <c r="J715" t="s">
        <v>1229</v>
      </c>
      <c r="K715" t="s">
        <v>69</v>
      </c>
      <c r="L715" t="s">
        <v>2436</v>
      </c>
      <c r="M715" t="s">
        <v>71</v>
      </c>
      <c r="N715" t="s">
        <v>100</v>
      </c>
      <c r="O715" t="s">
        <v>1900</v>
      </c>
      <c r="P715" t="s">
        <v>1901</v>
      </c>
      <c r="R715" t="s">
        <v>1902</v>
      </c>
      <c r="S715" t="s">
        <v>179</v>
      </c>
      <c r="T715" t="s">
        <v>291</v>
      </c>
      <c r="U715" t="s">
        <v>150</v>
      </c>
      <c r="V715" t="s">
        <v>641</v>
      </c>
      <c r="W715">
        <v>690</v>
      </c>
      <c r="X715">
        <v>29.99</v>
      </c>
      <c r="Y715">
        <v>89</v>
      </c>
      <c r="Z715">
        <v>499000</v>
      </c>
      <c r="AA715">
        <v>217350</v>
      </c>
      <c r="AB715">
        <v>210</v>
      </c>
      <c r="AD715" t="s">
        <v>238</v>
      </c>
      <c r="AE715">
        <v>2</v>
      </c>
      <c r="AF715">
        <v>0</v>
      </c>
      <c r="AI715">
        <v>15</v>
      </c>
      <c r="AJ715">
        <v>80</v>
      </c>
      <c r="AK715">
        <v>95</v>
      </c>
      <c r="AL715">
        <v>315</v>
      </c>
      <c r="AM715">
        <v>110</v>
      </c>
      <c r="AN715">
        <v>0</v>
      </c>
      <c r="AO715">
        <v>110</v>
      </c>
      <c r="AP715" t="s">
        <v>80</v>
      </c>
      <c r="AQ715" t="s">
        <v>176</v>
      </c>
      <c r="AT715" t="s">
        <v>86</v>
      </c>
      <c r="AU715" t="s">
        <v>86</v>
      </c>
      <c r="AV715" t="s">
        <v>2437</v>
      </c>
      <c r="AW715" t="s">
        <v>69</v>
      </c>
      <c r="AX715" t="s">
        <v>2438</v>
      </c>
      <c r="AY715" t="s">
        <v>2439</v>
      </c>
      <c r="AZ715" t="s">
        <v>243</v>
      </c>
      <c r="BA715" t="s">
        <v>245</v>
      </c>
      <c r="BB715" t="s">
        <v>244</v>
      </c>
      <c r="BC715" t="s">
        <v>244</v>
      </c>
      <c r="BD715" t="s">
        <v>2444</v>
      </c>
      <c r="BE715" t="s">
        <v>2441</v>
      </c>
      <c r="BF715" t="s">
        <v>291</v>
      </c>
      <c r="BG715" t="s">
        <v>87</v>
      </c>
      <c r="BH715" t="str">
        <f>IF(COUNTIF(工作表1!A:A, $C715)&gt;0, "預購款", "非預購款")</f>
        <v>非預購款</v>
      </c>
    </row>
    <row r="716" spans="1:60" x14ac:dyDescent="0.25">
      <c r="A716" t="s">
        <v>647</v>
      </c>
      <c r="B716" t="s">
        <v>283</v>
      </c>
      <c r="C716" t="s">
        <v>648</v>
      </c>
      <c r="D716" t="s">
        <v>649</v>
      </c>
      <c r="E716" t="s">
        <v>650</v>
      </c>
      <c r="F716" t="s">
        <v>178</v>
      </c>
      <c r="G716" t="s">
        <v>651</v>
      </c>
      <c r="H716" t="s">
        <v>119</v>
      </c>
      <c r="I716" t="s">
        <v>97</v>
      </c>
      <c r="J716" t="s">
        <v>98</v>
      </c>
      <c r="K716" t="s">
        <v>69</v>
      </c>
      <c r="L716" t="s">
        <v>652</v>
      </c>
      <c r="M716" t="s">
        <v>71</v>
      </c>
      <c r="N716" t="s">
        <v>100</v>
      </c>
      <c r="O716" t="s">
        <v>524</v>
      </c>
      <c r="P716" t="s">
        <v>525</v>
      </c>
      <c r="R716" t="s">
        <v>526</v>
      </c>
      <c r="S716" t="s">
        <v>179</v>
      </c>
      <c r="T716" t="s">
        <v>258</v>
      </c>
      <c r="U716" t="s">
        <v>104</v>
      </c>
      <c r="V716" t="s">
        <v>653</v>
      </c>
      <c r="W716">
        <v>690</v>
      </c>
      <c r="X716">
        <v>29.99</v>
      </c>
      <c r="Y716">
        <v>89</v>
      </c>
      <c r="Z716">
        <v>499000</v>
      </c>
      <c r="AA716">
        <v>210450</v>
      </c>
      <c r="AB716">
        <v>170</v>
      </c>
      <c r="AD716" t="s">
        <v>238</v>
      </c>
      <c r="AE716">
        <v>1</v>
      </c>
      <c r="AF716">
        <v>0</v>
      </c>
      <c r="AI716">
        <v>20</v>
      </c>
      <c r="AJ716">
        <v>95</v>
      </c>
      <c r="AK716">
        <v>115</v>
      </c>
      <c r="AL716">
        <v>305</v>
      </c>
      <c r="AM716">
        <v>114</v>
      </c>
      <c r="AN716">
        <v>0</v>
      </c>
      <c r="AO716">
        <v>114</v>
      </c>
      <c r="AP716" t="s">
        <v>80</v>
      </c>
      <c r="AQ716" t="s">
        <v>179</v>
      </c>
      <c r="AT716" t="s">
        <v>240</v>
      </c>
      <c r="AU716" t="s">
        <v>240</v>
      </c>
      <c r="AV716" t="s">
        <v>654</v>
      </c>
      <c r="AW716" t="s">
        <v>69</v>
      </c>
      <c r="AX716" t="s">
        <v>655</v>
      </c>
      <c r="AY716" t="s">
        <v>656</v>
      </c>
      <c r="AZ716" t="s">
        <v>245</v>
      </c>
      <c r="BA716" t="s">
        <v>244</v>
      </c>
      <c r="BB716" t="s">
        <v>244</v>
      </c>
      <c r="BC716" t="s">
        <v>264</v>
      </c>
      <c r="BD716" t="s">
        <v>659</v>
      </c>
      <c r="BE716" t="s">
        <v>2445</v>
      </c>
      <c r="BF716" t="s">
        <v>658</v>
      </c>
      <c r="BG716" t="s">
        <v>150</v>
      </c>
      <c r="BH716" t="str">
        <f>IF(COUNTIF(工作表1!A:A, $C716)&gt;0, "預購款", "非預購款")</f>
        <v>非預購款</v>
      </c>
    </row>
    <row r="717" spans="1:60" x14ac:dyDescent="0.25">
      <c r="A717" t="s">
        <v>647</v>
      </c>
      <c r="B717" t="s">
        <v>283</v>
      </c>
      <c r="C717" t="s">
        <v>648</v>
      </c>
      <c r="D717" t="s">
        <v>649</v>
      </c>
      <c r="E717" t="s">
        <v>650</v>
      </c>
      <c r="F717" t="s">
        <v>178</v>
      </c>
      <c r="G717" t="s">
        <v>651</v>
      </c>
      <c r="H717" t="s">
        <v>130</v>
      </c>
      <c r="I717" t="s">
        <v>97</v>
      </c>
      <c r="J717" t="s">
        <v>98</v>
      </c>
      <c r="K717" t="s">
        <v>69</v>
      </c>
      <c r="L717" t="s">
        <v>652</v>
      </c>
      <c r="M717" t="s">
        <v>71</v>
      </c>
      <c r="N717" t="s">
        <v>100</v>
      </c>
      <c r="O717" t="s">
        <v>524</v>
      </c>
      <c r="P717" t="s">
        <v>525</v>
      </c>
      <c r="R717" t="s">
        <v>526</v>
      </c>
      <c r="S717" t="s">
        <v>179</v>
      </c>
      <c r="T717" t="s">
        <v>258</v>
      </c>
      <c r="U717" t="s">
        <v>104</v>
      </c>
      <c r="V717" t="s">
        <v>653</v>
      </c>
      <c r="W717">
        <v>690</v>
      </c>
      <c r="X717">
        <v>29.99</v>
      </c>
      <c r="Y717">
        <v>89</v>
      </c>
      <c r="Z717">
        <v>499000</v>
      </c>
      <c r="AA717">
        <v>210450</v>
      </c>
      <c r="AB717">
        <v>170</v>
      </c>
      <c r="AD717" t="s">
        <v>238</v>
      </c>
      <c r="AE717">
        <v>1</v>
      </c>
      <c r="AF717">
        <v>0</v>
      </c>
      <c r="AI717">
        <v>50</v>
      </c>
      <c r="AJ717">
        <v>60</v>
      </c>
      <c r="AK717">
        <v>110</v>
      </c>
      <c r="AL717">
        <v>305</v>
      </c>
      <c r="AM717">
        <v>116</v>
      </c>
      <c r="AN717">
        <v>0</v>
      </c>
      <c r="AO717">
        <v>116</v>
      </c>
      <c r="AP717" t="s">
        <v>80</v>
      </c>
      <c r="AQ717" t="s">
        <v>179</v>
      </c>
      <c r="AT717" t="s">
        <v>240</v>
      </c>
      <c r="AU717" t="s">
        <v>240</v>
      </c>
      <c r="AV717" t="s">
        <v>654</v>
      </c>
      <c r="AW717" t="s">
        <v>69</v>
      </c>
      <c r="AX717" t="s">
        <v>655</v>
      </c>
      <c r="AY717" t="s">
        <v>656</v>
      </c>
      <c r="AZ717" t="s">
        <v>245</v>
      </c>
      <c r="BA717" t="s">
        <v>244</v>
      </c>
      <c r="BB717" t="s">
        <v>244</v>
      </c>
      <c r="BC717" t="s">
        <v>264</v>
      </c>
      <c r="BD717" t="s">
        <v>660</v>
      </c>
      <c r="BE717" t="s">
        <v>2445</v>
      </c>
      <c r="BF717" t="s">
        <v>658</v>
      </c>
      <c r="BG717" t="s">
        <v>150</v>
      </c>
      <c r="BH717" t="str">
        <f>IF(COUNTIF(工作表1!A:A, $C717)&gt;0, "預購款", "非預購款")</f>
        <v>非預購款</v>
      </c>
    </row>
    <row r="718" spans="1:60" x14ac:dyDescent="0.25">
      <c r="A718" t="s">
        <v>647</v>
      </c>
      <c r="B718" t="s">
        <v>283</v>
      </c>
      <c r="C718" t="s">
        <v>648</v>
      </c>
      <c r="D718" t="s">
        <v>649</v>
      </c>
      <c r="E718" t="s">
        <v>650</v>
      </c>
      <c r="F718" t="s">
        <v>178</v>
      </c>
      <c r="G718" t="s">
        <v>651</v>
      </c>
      <c r="H718" t="s">
        <v>132</v>
      </c>
      <c r="I718" t="s">
        <v>97</v>
      </c>
      <c r="J718" t="s">
        <v>98</v>
      </c>
      <c r="K718" t="s">
        <v>69</v>
      </c>
      <c r="L718" t="s">
        <v>652</v>
      </c>
      <c r="M718" t="s">
        <v>71</v>
      </c>
      <c r="N718" t="s">
        <v>100</v>
      </c>
      <c r="O718" t="s">
        <v>524</v>
      </c>
      <c r="P718" t="s">
        <v>525</v>
      </c>
      <c r="R718" t="s">
        <v>526</v>
      </c>
      <c r="S718" t="s">
        <v>179</v>
      </c>
      <c r="T718" t="s">
        <v>258</v>
      </c>
      <c r="U718" t="s">
        <v>104</v>
      </c>
      <c r="V718" t="s">
        <v>653</v>
      </c>
      <c r="W718">
        <v>690</v>
      </c>
      <c r="X718">
        <v>29.99</v>
      </c>
      <c r="Y718">
        <v>89</v>
      </c>
      <c r="Z718">
        <v>499000</v>
      </c>
      <c r="AA718">
        <v>210450</v>
      </c>
      <c r="AB718">
        <v>170</v>
      </c>
      <c r="AD718" t="s">
        <v>238</v>
      </c>
      <c r="AE718">
        <v>1</v>
      </c>
      <c r="AF718">
        <v>0</v>
      </c>
      <c r="AI718">
        <v>20</v>
      </c>
      <c r="AJ718">
        <v>60</v>
      </c>
      <c r="AK718">
        <v>80</v>
      </c>
      <c r="AL718">
        <v>305</v>
      </c>
      <c r="AM718">
        <v>77</v>
      </c>
      <c r="AN718">
        <v>0</v>
      </c>
      <c r="AO718">
        <v>77</v>
      </c>
      <c r="AP718" t="s">
        <v>80</v>
      </c>
      <c r="AQ718" t="s">
        <v>179</v>
      </c>
      <c r="AT718" t="s">
        <v>240</v>
      </c>
      <c r="AU718" t="s">
        <v>240</v>
      </c>
      <c r="AV718" t="s">
        <v>654</v>
      </c>
      <c r="AW718" t="s">
        <v>69</v>
      </c>
      <c r="AX718" t="s">
        <v>655</v>
      </c>
      <c r="AY718" t="s">
        <v>656</v>
      </c>
      <c r="AZ718" t="s">
        <v>245</v>
      </c>
      <c r="BA718" t="s">
        <v>244</v>
      </c>
      <c r="BB718" t="s">
        <v>244</v>
      </c>
      <c r="BC718" t="s">
        <v>264</v>
      </c>
      <c r="BD718" t="s">
        <v>661</v>
      </c>
      <c r="BE718" t="s">
        <v>2445</v>
      </c>
      <c r="BF718" t="s">
        <v>658</v>
      </c>
      <c r="BG718" t="s">
        <v>150</v>
      </c>
      <c r="BH718" t="str">
        <f>IF(COUNTIF(工作表1!A:A, $C718)&gt;0, "預購款", "非預購款")</f>
        <v>非預購款</v>
      </c>
    </row>
    <row r="719" spans="1:60" x14ac:dyDescent="0.25">
      <c r="A719" t="s">
        <v>2019</v>
      </c>
      <c r="B719" t="s">
        <v>301</v>
      </c>
      <c r="C719" t="s">
        <v>2020</v>
      </c>
      <c r="D719" t="s">
        <v>2021</v>
      </c>
      <c r="E719" t="s">
        <v>2022</v>
      </c>
      <c r="F719" t="s">
        <v>178</v>
      </c>
      <c r="G719" t="s">
        <v>2023</v>
      </c>
      <c r="H719" t="s">
        <v>119</v>
      </c>
      <c r="I719" t="s">
        <v>1228</v>
      </c>
      <c r="J719" t="s">
        <v>1229</v>
      </c>
      <c r="K719" t="s">
        <v>69</v>
      </c>
      <c r="L719" t="s">
        <v>2024</v>
      </c>
      <c r="M719" t="s">
        <v>71</v>
      </c>
      <c r="N719" t="s">
        <v>100</v>
      </c>
      <c r="O719" t="s">
        <v>1900</v>
      </c>
      <c r="P719" t="s">
        <v>1901</v>
      </c>
      <c r="R719" t="s">
        <v>1902</v>
      </c>
      <c r="S719" t="s">
        <v>179</v>
      </c>
      <c r="T719" t="s">
        <v>291</v>
      </c>
      <c r="U719" t="s">
        <v>104</v>
      </c>
      <c r="V719" t="s">
        <v>653</v>
      </c>
      <c r="W719">
        <v>690</v>
      </c>
      <c r="X719">
        <v>29.99</v>
      </c>
      <c r="Y719">
        <v>89</v>
      </c>
      <c r="Z719">
        <v>499000</v>
      </c>
      <c r="AA719">
        <v>75900</v>
      </c>
      <c r="AB719">
        <v>150</v>
      </c>
      <c r="AD719" t="s">
        <v>238</v>
      </c>
      <c r="AE719">
        <v>1</v>
      </c>
      <c r="AF719">
        <v>0</v>
      </c>
      <c r="AI719">
        <v>0</v>
      </c>
      <c r="AJ719">
        <v>80</v>
      </c>
      <c r="AK719">
        <v>80</v>
      </c>
      <c r="AL719">
        <v>110</v>
      </c>
      <c r="AM719">
        <v>90</v>
      </c>
      <c r="AN719">
        <v>0</v>
      </c>
      <c r="AO719">
        <v>90</v>
      </c>
      <c r="AP719" t="s">
        <v>80</v>
      </c>
      <c r="AQ719" t="s">
        <v>176</v>
      </c>
      <c r="AT719" t="s">
        <v>240</v>
      </c>
      <c r="AU719" t="s">
        <v>240</v>
      </c>
      <c r="AV719" t="s">
        <v>2025</v>
      </c>
      <c r="AW719" t="s">
        <v>69</v>
      </c>
      <c r="AX719" t="s">
        <v>2026</v>
      </c>
      <c r="AY719" t="s">
        <v>2027</v>
      </c>
      <c r="AZ719" t="s">
        <v>243</v>
      </c>
      <c r="BA719" t="s">
        <v>245</v>
      </c>
      <c r="BB719" t="s">
        <v>245</v>
      </c>
      <c r="BC719" t="s">
        <v>244</v>
      </c>
      <c r="BD719" t="s">
        <v>2446</v>
      </c>
      <c r="BE719" t="s">
        <v>2447</v>
      </c>
      <c r="BF719" t="s">
        <v>971</v>
      </c>
      <c r="BG719" t="s">
        <v>87</v>
      </c>
      <c r="BH719" t="str">
        <f>IF(COUNTIF(工作表1!A:A, $C719)&gt;0, "預購款", "非預購款")</f>
        <v>非預購款</v>
      </c>
    </row>
    <row r="720" spans="1:60" x14ac:dyDescent="0.25">
      <c r="A720" t="s">
        <v>2019</v>
      </c>
      <c r="B720" t="s">
        <v>301</v>
      </c>
      <c r="C720" t="s">
        <v>2020</v>
      </c>
      <c r="D720" t="s">
        <v>2021</v>
      </c>
      <c r="E720" t="s">
        <v>2022</v>
      </c>
      <c r="F720" t="s">
        <v>178</v>
      </c>
      <c r="G720" t="s">
        <v>2023</v>
      </c>
      <c r="H720" t="s">
        <v>130</v>
      </c>
      <c r="I720" t="s">
        <v>1228</v>
      </c>
      <c r="J720" t="s">
        <v>1229</v>
      </c>
      <c r="K720" t="s">
        <v>69</v>
      </c>
      <c r="L720" t="s">
        <v>2024</v>
      </c>
      <c r="M720" t="s">
        <v>71</v>
      </c>
      <c r="N720" t="s">
        <v>100</v>
      </c>
      <c r="O720" t="s">
        <v>1900</v>
      </c>
      <c r="P720" t="s">
        <v>1901</v>
      </c>
      <c r="R720" t="s">
        <v>1902</v>
      </c>
      <c r="S720" t="s">
        <v>179</v>
      </c>
      <c r="T720" t="s">
        <v>291</v>
      </c>
      <c r="U720" t="s">
        <v>104</v>
      </c>
      <c r="V720" t="s">
        <v>653</v>
      </c>
      <c r="W720">
        <v>690</v>
      </c>
      <c r="X720">
        <v>29.99</v>
      </c>
      <c r="Y720">
        <v>89</v>
      </c>
      <c r="Z720">
        <v>499000</v>
      </c>
      <c r="AA720">
        <v>75900</v>
      </c>
      <c r="AB720">
        <v>150</v>
      </c>
      <c r="AD720" t="s">
        <v>238</v>
      </c>
      <c r="AE720">
        <v>1</v>
      </c>
      <c r="AF720">
        <v>0</v>
      </c>
      <c r="AI720">
        <v>0</v>
      </c>
      <c r="AJ720">
        <v>30</v>
      </c>
      <c r="AK720">
        <v>30</v>
      </c>
      <c r="AL720">
        <v>110</v>
      </c>
      <c r="AM720">
        <v>40</v>
      </c>
      <c r="AN720">
        <v>0</v>
      </c>
      <c r="AO720">
        <v>40</v>
      </c>
      <c r="AP720" t="s">
        <v>80</v>
      </c>
      <c r="AQ720" t="s">
        <v>176</v>
      </c>
      <c r="AT720" t="s">
        <v>240</v>
      </c>
      <c r="AU720" t="s">
        <v>240</v>
      </c>
      <c r="AV720" t="s">
        <v>2025</v>
      </c>
      <c r="AW720" t="s">
        <v>69</v>
      </c>
      <c r="AX720" t="s">
        <v>2026</v>
      </c>
      <c r="AY720" t="s">
        <v>2027</v>
      </c>
      <c r="AZ720" t="s">
        <v>243</v>
      </c>
      <c r="BA720" t="s">
        <v>245</v>
      </c>
      <c r="BB720" t="s">
        <v>245</v>
      </c>
      <c r="BC720" t="s">
        <v>244</v>
      </c>
      <c r="BD720" t="s">
        <v>2448</v>
      </c>
      <c r="BE720" t="s">
        <v>2447</v>
      </c>
      <c r="BF720" t="s">
        <v>971</v>
      </c>
      <c r="BG720" t="s">
        <v>87</v>
      </c>
      <c r="BH720" t="str">
        <f>IF(COUNTIF(工作表1!A:A, $C720)&gt;0, "預購款", "非預購款")</f>
        <v>非預購款</v>
      </c>
    </row>
    <row r="721" spans="1:60" x14ac:dyDescent="0.25">
      <c r="A721" t="s">
        <v>2449</v>
      </c>
      <c r="B721" t="s">
        <v>301</v>
      </c>
      <c r="C721" t="s">
        <v>2450</v>
      </c>
      <c r="D721" t="s">
        <v>2451</v>
      </c>
      <c r="E721" t="s">
        <v>2452</v>
      </c>
      <c r="F721" t="s">
        <v>178</v>
      </c>
      <c r="G721" t="s">
        <v>2453</v>
      </c>
      <c r="H721" t="s">
        <v>119</v>
      </c>
      <c r="I721" t="s">
        <v>422</v>
      </c>
      <c r="J721" t="s">
        <v>423</v>
      </c>
      <c r="K721" t="s">
        <v>69</v>
      </c>
      <c r="L721" t="s">
        <v>2454</v>
      </c>
      <c r="M721" t="s">
        <v>71</v>
      </c>
      <c r="N721" t="s">
        <v>100</v>
      </c>
      <c r="O721" t="s">
        <v>2306</v>
      </c>
      <c r="P721" t="s">
        <v>2307</v>
      </c>
      <c r="R721" t="s">
        <v>1588</v>
      </c>
      <c r="S721" t="s">
        <v>179</v>
      </c>
      <c r="T721" t="s">
        <v>258</v>
      </c>
      <c r="U721" t="s">
        <v>150</v>
      </c>
      <c r="V721" t="s">
        <v>641</v>
      </c>
      <c r="W721">
        <v>690</v>
      </c>
      <c r="X721">
        <v>29.99</v>
      </c>
      <c r="Y721">
        <v>89</v>
      </c>
      <c r="Z721">
        <v>499000</v>
      </c>
      <c r="AA721">
        <v>133860</v>
      </c>
      <c r="AB721">
        <v>250</v>
      </c>
      <c r="AD721" t="s">
        <v>238</v>
      </c>
      <c r="AE721">
        <v>1</v>
      </c>
      <c r="AF721">
        <v>8</v>
      </c>
      <c r="AI721">
        <v>0</v>
      </c>
      <c r="AJ721">
        <v>90</v>
      </c>
      <c r="AK721">
        <v>98</v>
      </c>
      <c r="AL721">
        <v>194</v>
      </c>
      <c r="AM721">
        <v>108</v>
      </c>
      <c r="AN721">
        <v>0</v>
      </c>
      <c r="AO721">
        <v>108</v>
      </c>
      <c r="AP721" t="s">
        <v>80</v>
      </c>
      <c r="AQ721" t="s">
        <v>187</v>
      </c>
      <c r="AR721" t="s">
        <v>86</v>
      </c>
      <c r="AS721" t="s">
        <v>86</v>
      </c>
      <c r="AT721" t="s">
        <v>86</v>
      </c>
      <c r="AU721" t="s">
        <v>86</v>
      </c>
      <c r="AV721" t="s">
        <v>81</v>
      </c>
      <c r="AW721" t="s">
        <v>69</v>
      </c>
      <c r="AX721" t="s">
        <v>262</v>
      </c>
      <c r="AY721" t="s">
        <v>2455</v>
      </c>
      <c r="AZ721" t="s">
        <v>245</v>
      </c>
      <c r="BA721" t="s">
        <v>244</v>
      </c>
      <c r="BB721" t="s">
        <v>245</v>
      </c>
      <c r="BC721" t="s">
        <v>264</v>
      </c>
      <c r="BD721" t="s">
        <v>2456</v>
      </c>
      <c r="BE721" t="s">
        <v>2457</v>
      </c>
      <c r="BG721" t="s">
        <v>87</v>
      </c>
      <c r="BH721" t="str">
        <f>IF(COUNTIF(工作表1!A:A, $C721)&gt;0, "預購款", "非預購款")</f>
        <v>非預購款</v>
      </c>
    </row>
    <row r="722" spans="1:60" x14ac:dyDescent="0.25">
      <c r="A722" t="s">
        <v>2449</v>
      </c>
      <c r="B722" t="s">
        <v>301</v>
      </c>
      <c r="C722" t="s">
        <v>2450</v>
      </c>
      <c r="D722" t="s">
        <v>2451</v>
      </c>
      <c r="E722" t="s">
        <v>2452</v>
      </c>
      <c r="F722" t="s">
        <v>178</v>
      </c>
      <c r="G722" t="s">
        <v>2453</v>
      </c>
      <c r="H722" t="s">
        <v>130</v>
      </c>
      <c r="I722" t="s">
        <v>422</v>
      </c>
      <c r="J722" t="s">
        <v>423</v>
      </c>
      <c r="K722" t="s">
        <v>69</v>
      </c>
      <c r="L722" t="s">
        <v>2454</v>
      </c>
      <c r="M722" t="s">
        <v>71</v>
      </c>
      <c r="N722" t="s">
        <v>100</v>
      </c>
      <c r="O722" t="s">
        <v>2306</v>
      </c>
      <c r="P722" t="s">
        <v>2307</v>
      </c>
      <c r="R722" t="s">
        <v>1588</v>
      </c>
      <c r="S722" t="s">
        <v>179</v>
      </c>
      <c r="T722" t="s">
        <v>258</v>
      </c>
      <c r="U722" t="s">
        <v>150</v>
      </c>
      <c r="V722" t="s">
        <v>641</v>
      </c>
      <c r="W722">
        <v>690</v>
      </c>
      <c r="X722">
        <v>29.99</v>
      </c>
      <c r="Y722">
        <v>89</v>
      </c>
      <c r="Z722">
        <v>499000</v>
      </c>
      <c r="AA722">
        <v>133860</v>
      </c>
      <c r="AB722">
        <v>250</v>
      </c>
      <c r="AD722" t="s">
        <v>238</v>
      </c>
      <c r="AE722">
        <v>1</v>
      </c>
      <c r="AF722">
        <v>6</v>
      </c>
      <c r="AI722">
        <v>0</v>
      </c>
      <c r="AJ722">
        <v>90</v>
      </c>
      <c r="AK722">
        <v>96</v>
      </c>
      <c r="AL722">
        <v>194</v>
      </c>
      <c r="AM722">
        <v>110</v>
      </c>
      <c r="AN722">
        <v>0</v>
      </c>
      <c r="AO722">
        <v>110</v>
      </c>
      <c r="AP722" t="s">
        <v>80</v>
      </c>
      <c r="AQ722" t="s">
        <v>187</v>
      </c>
      <c r="AR722" t="s">
        <v>86</v>
      </c>
      <c r="AS722" t="s">
        <v>86</v>
      </c>
      <c r="AT722" t="s">
        <v>86</v>
      </c>
      <c r="AU722" t="s">
        <v>86</v>
      </c>
      <c r="AV722" t="s">
        <v>81</v>
      </c>
      <c r="AW722" t="s">
        <v>69</v>
      </c>
      <c r="AX722" t="s">
        <v>262</v>
      </c>
      <c r="AY722" t="s">
        <v>2455</v>
      </c>
      <c r="AZ722" t="s">
        <v>245</v>
      </c>
      <c r="BA722" t="s">
        <v>244</v>
      </c>
      <c r="BB722" t="s">
        <v>245</v>
      </c>
      <c r="BC722" t="s">
        <v>264</v>
      </c>
      <c r="BD722" t="s">
        <v>2458</v>
      </c>
      <c r="BE722" t="s">
        <v>2457</v>
      </c>
      <c r="BG722" t="s">
        <v>87</v>
      </c>
      <c r="BH722" t="str">
        <f>IF(COUNTIF(工作表1!A:A, $C722)&gt;0, "預購款", "非預購款")</f>
        <v>非預購款</v>
      </c>
    </row>
    <row r="723" spans="1:60" x14ac:dyDescent="0.25">
      <c r="A723" t="s">
        <v>900</v>
      </c>
      <c r="B723" t="s">
        <v>315</v>
      </c>
      <c r="C723" t="s">
        <v>901</v>
      </c>
      <c r="D723" t="s">
        <v>902</v>
      </c>
      <c r="E723" t="s">
        <v>903</v>
      </c>
      <c r="F723" t="s">
        <v>178</v>
      </c>
      <c r="G723" t="s">
        <v>904</v>
      </c>
      <c r="H723" t="s">
        <v>119</v>
      </c>
      <c r="I723" t="s">
        <v>97</v>
      </c>
      <c r="J723" t="s">
        <v>98</v>
      </c>
      <c r="K723" t="s">
        <v>69</v>
      </c>
      <c r="L723" t="s">
        <v>905</v>
      </c>
      <c r="M723" t="s">
        <v>71</v>
      </c>
      <c r="N723" t="s">
        <v>100</v>
      </c>
      <c r="O723" t="s">
        <v>101</v>
      </c>
      <c r="P723" t="s">
        <v>102</v>
      </c>
      <c r="R723" t="s">
        <v>734</v>
      </c>
      <c r="S723" t="s">
        <v>179</v>
      </c>
      <c r="T723" t="s">
        <v>76</v>
      </c>
      <c r="U723" t="s">
        <v>104</v>
      </c>
      <c r="V723" t="s">
        <v>593</v>
      </c>
      <c r="W723">
        <v>490</v>
      </c>
      <c r="X723">
        <v>22.99</v>
      </c>
      <c r="Y723">
        <v>60</v>
      </c>
      <c r="Z723">
        <v>355000</v>
      </c>
      <c r="AA723">
        <v>127400</v>
      </c>
      <c r="AB723">
        <v>160</v>
      </c>
      <c r="AD723" t="s">
        <v>238</v>
      </c>
      <c r="AE723">
        <v>1</v>
      </c>
      <c r="AF723">
        <v>0</v>
      </c>
      <c r="AI723">
        <v>0</v>
      </c>
      <c r="AJ723">
        <v>95</v>
      </c>
      <c r="AK723">
        <v>95</v>
      </c>
      <c r="AL723">
        <v>260</v>
      </c>
      <c r="AM723">
        <v>95</v>
      </c>
      <c r="AN723">
        <v>0</v>
      </c>
      <c r="AO723">
        <v>95</v>
      </c>
      <c r="AP723" t="s">
        <v>80</v>
      </c>
      <c r="AQ723" t="s">
        <v>176</v>
      </c>
      <c r="AR723" t="s">
        <v>86</v>
      </c>
      <c r="AS723" t="s">
        <v>86</v>
      </c>
      <c r="AT723" t="s">
        <v>86</v>
      </c>
      <c r="AU723" t="s">
        <v>86</v>
      </c>
      <c r="AV723" t="s">
        <v>81</v>
      </c>
      <c r="AW723" t="s">
        <v>69</v>
      </c>
      <c r="AX723" t="s">
        <v>126</v>
      </c>
      <c r="AY723" t="s">
        <v>906</v>
      </c>
      <c r="AZ723" t="s">
        <v>245</v>
      </c>
      <c r="BA723" t="s">
        <v>244</v>
      </c>
      <c r="BB723" t="s">
        <v>244</v>
      </c>
      <c r="BC723" t="s">
        <v>244</v>
      </c>
      <c r="BD723" t="s">
        <v>907</v>
      </c>
      <c r="BE723" t="s">
        <v>2459</v>
      </c>
      <c r="BF723" t="s">
        <v>86</v>
      </c>
      <c r="BG723" t="s">
        <v>150</v>
      </c>
      <c r="BH723" t="str">
        <f>IF(COUNTIF(工作表1!A:A, $C723)&gt;0, "預購款", "非預購款")</f>
        <v>非預購款</v>
      </c>
    </row>
    <row r="724" spans="1:60" x14ac:dyDescent="0.25">
      <c r="A724" t="s">
        <v>900</v>
      </c>
      <c r="B724" t="s">
        <v>315</v>
      </c>
      <c r="C724" t="s">
        <v>901</v>
      </c>
      <c r="D724" t="s">
        <v>902</v>
      </c>
      <c r="E724" t="s">
        <v>903</v>
      </c>
      <c r="F724" t="s">
        <v>178</v>
      </c>
      <c r="G724" t="s">
        <v>904</v>
      </c>
      <c r="H724" t="s">
        <v>130</v>
      </c>
      <c r="I724" t="s">
        <v>97</v>
      </c>
      <c r="J724" t="s">
        <v>98</v>
      </c>
      <c r="K724" t="s">
        <v>69</v>
      </c>
      <c r="L724" t="s">
        <v>905</v>
      </c>
      <c r="M724" t="s">
        <v>71</v>
      </c>
      <c r="N724" t="s">
        <v>100</v>
      </c>
      <c r="O724" t="s">
        <v>101</v>
      </c>
      <c r="P724" t="s">
        <v>102</v>
      </c>
      <c r="R724" t="s">
        <v>734</v>
      </c>
      <c r="S724" t="s">
        <v>179</v>
      </c>
      <c r="T724" t="s">
        <v>76</v>
      </c>
      <c r="U724" t="s">
        <v>104</v>
      </c>
      <c r="V724" t="s">
        <v>593</v>
      </c>
      <c r="W724">
        <v>490</v>
      </c>
      <c r="X724">
        <v>22.99</v>
      </c>
      <c r="Y724">
        <v>60</v>
      </c>
      <c r="Z724">
        <v>355000</v>
      </c>
      <c r="AA724">
        <v>127400</v>
      </c>
      <c r="AB724">
        <v>160</v>
      </c>
      <c r="AD724" t="s">
        <v>238</v>
      </c>
      <c r="AE724">
        <v>1</v>
      </c>
      <c r="AF724">
        <v>0</v>
      </c>
      <c r="AI724">
        <v>0</v>
      </c>
      <c r="AJ724">
        <v>105</v>
      </c>
      <c r="AK724">
        <v>105</v>
      </c>
      <c r="AL724">
        <v>260</v>
      </c>
      <c r="AM724">
        <v>105</v>
      </c>
      <c r="AN724">
        <v>0</v>
      </c>
      <c r="AO724">
        <v>105</v>
      </c>
      <c r="AP724" t="s">
        <v>80</v>
      </c>
      <c r="AQ724" t="s">
        <v>176</v>
      </c>
      <c r="AR724" t="s">
        <v>86</v>
      </c>
      <c r="AS724" t="s">
        <v>86</v>
      </c>
      <c r="AT724" t="s">
        <v>86</v>
      </c>
      <c r="AU724" t="s">
        <v>86</v>
      </c>
      <c r="AV724" t="s">
        <v>81</v>
      </c>
      <c r="AW724" t="s">
        <v>69</v>
      </c>
      <c r="AX724" t="s">
        <v>126</v>
      </c>
      <c r="AY724" t="s">
        <v>906</v>
      </c>
      <c r="AZ724" t="s">
        <v>245</v>
      </c>
      <c r="BA724" t="s">
        <v>244</v>
      </c>
      <c r="BB724" t="s">
        <v>244</v>
      </c>
      <c r="BC724" t="s">
        <v>244</v>
      </c>
      <c r="BD724" t="s">
        <v>909</v>
      </c>
      <c r="BE724" t="s">
        <v>2459</v>
      </c>
      <c r="BF724" t="s">
        <v>86</v>
      </c>
      <c r="BG724" t="s">
        <v>150</v>
      </c>
      <c r="BH724" t="str">
        <f>IF(COUNTIF(工作表1!A:A, $C724)&gt;0, "預購款", "非預購款")</f>
        <v>非預購款</v>
      </c>
    </row>
    <row r="725" spans="1:60" x14ac:dyDescent="0.25">
      <c r="A725" t="s">
        <v>900</v>
      </c>
      <c r="B725" t="s">
        <v>315</v>
      </c>
      <c r="C725" t="s">
        <v>901</v>
      </c>
      <c r="D725" t="s">
        <v>902</v>
      </c>
      <c r="E725" t="s">
        <v>903</v>
      </c>
      <c r="F725" t="s">
        <v>178</v>
      </c>
      <c r="G725" t="s">
        <v>904</v>
      </c>
      <c r="H725" t="s">
        <v>132</v>
      </c>
      <c r="I725" t="s">
        <v>97</v>
      </c>
      <c r="J725" t="s">
        <v>98</v>
      </c>
      <c r="K725" t="s">
        <v>69</v>
      </c>
      <c r="L725" t="s">
        <v>905</v>
      </c>
      <c r="M725" t="s">
        <v>71</v>
      </c>
      <c r="N725" t="s">
        <v>100</v>
      </c>
      <c r="O725" t="s">
        <v>101</v>
      </c>
      <c r="P725" t="s">
        <v>102</v>
      </c>
      <c r="R725" t="s">
        <v>734</v>
      </c>
      <c r="S725" t="s">
        <v>179</v>
      </c>
      <c r="T725" t="s">
        <v>76</v>
      </c>
      <c r="U725" t="s">
        <v>104</v>
      </c>
      <c r="V725" t="s">
        <v>593</v>
      </c>
      <c r="W725">
        <v>490</v>
      </c>
      <c r="X725">
        <v>22.99</v>
      </c>
      <c r="Y725">
        <v>60</v>
      </c>
      <c r="Z725">
        <v>355000</v>
      </c>
      <c r="AA725">
        <v>127400</v>
      </c>
      <c r="AB725">
        <v>160</v>
      </c>
      <c r="AD725" t="s">
        <v>238</v>
      </c>
      <c r="AE725">
        <v>1</v>
      </c>
      <c r="AF725">
        <v>0</v>
      </c>
      <c r="AI725">
        <v>0</v>
      </c>
      <c r="AJ725">
        <v>60</v>
      </c>
      <c r="AK725">
        <v>60</v>
      </c>
      <c r="AL725">
        <v>260</v>
      </c>
      <c r="AM725">
        <v>60</v>
      </c>
      <c r="AN725">
        <v>0</v>
      </c>
      <c r="AO725">
        <v>60</v>
      </c>
      <c r="AP725" t="s">
        <v>80</v>
      </c>
      <c r="AQ725" t="s">
        <v>176</v>
      </c>
      <c r="AR725" t="s">
        <v>86</v>
      </c>
      <c r="AS725" t="s">
        <v>86</v>
      </c>
      <c r="AT725" t="s">
        <v>86</v>
      </c>
      <c r="AU725" t="s">
        <v>86</v>
      </c>
      <c r="AV725" t="s">
        <v>81</v>
      </c>
      <c r="AW725" t="s">
        <v>69</v>
      </c>
      <c r="AX725" t="s">
        <v>126</v>
      </c>
      <c r="AY725" t="s">
        <v>906</v>
      </c>
      <c r="AZ725" t="s">
        <v>245</v>
      </c>
      <c r="BA725" t="s">
        <v>244</v>
      </c>
      <c r="BB725" t="s">
        <v>244</v>
      </c>
      <c r="BC725" t="s">
        <v>244</v>
      </c>
      <c r="BD725" t="s">
        <v>910</v>
      </c>
      <c r="BE725" t="s">
        <v>2459</v>
      </c>
      <c r="BF725" t="s">
        <v>86</v>
      </c>
      <c r="BG725" t="s">
        <v>150</v>
      </c>
      <c r="BH725" t="str">
        <f>IF(COUNTIF(工作表1!A:A, $C725)&gt;0, "預購款", "非預購款")</f>
        <v>非預購款</v>
      </c>
    </row>
    <row r="726" spans="1:60" x14ac:dyDescent="0.25">
      <c r="A726" t="s">
        <v>2460</v>
      </c>
      <c r="B726" t="s">
        <v>315</v>
      </c>
      <c r="C726" t="s">
        <v>2461</v>
      </c>
      <c r="D726" t="s">
        <v>2462</v>
      </c>
      <c r="E726" t="s">
        <v>2463</v>
      </c>
      <c r="F726" t="s">
        <v>178</v>
      </c>
      <c r="G726" t="s">
        <v>2464</v>
      </c>
      <c r="H726" t="s">
        <v>119</v>
      </c>
      <c r="I726" t="s">
        <v>97</v>
      </c>
      <c r="J726" t="s">
        <v>98</v>
      </c>
      <c r="K726" t="s">
        <v>69</v>
      </c>
      <c r="L726" t="s">
        <v>2465</v>
      </c>
      <c r="M726" t="s">
        <v>71</v>
      </c>
      <c r="N726" t="s">
        <v>100</v>
      </c>
      <c r="O726" t="s">
        <v>2306</v>
      </c>
      <c r="P726" t="s">
        <v>2307</v>
      </c>
      <c r="R726" t="s">
        <v>1588</v>
      </c>
      <c r="S726" t="s">
        <v>179</v>
      </c>
      <c r="T726" t="s">
        <v>291</v>
      </c>
      <c r="U726" t="s">
        <v>502</v>
      </c>
      <c r="V726" t="s">
        <v>1512</v>
      </c>
      <c r="W726">
        <v>990</v>
      </c>
      <c r="X726">
        <v>39.99</v>
      </c>
      <c r="Y726">
        <v>129</v>
      </c>
      <c r="Z726">
        <v>709000</v>
      </c>
      <c r="AA726">
        <v>178200</v>
      </c>
      <c r="AB726">
        <v>460</v>
      </c>
      <c r="AD726" t="s">
        <v>238</v>
      </c>
      <c r="AE726">
        <v>2</v>
      </c>
      <c r="AF726">
        <v>0</v>
      </c>
      <c r="AI726">
        <v>15</v>
      </c>
      <c r="AJ726">
        <v>50</v>
      </c>
      <c r="AK726">
        <v>65</v>
      </c>
      <c r="AL726">
        <v>180</v>
      </c>
      <c r="AM726">
        <v>73</v>
      </c>
      <c r="AN726">
        <v>0</v>
      </c>
      <c r="AO726">
        <v>73</v>
      </c>
      <c r="AP726" t="s">
        <v>80</v>
      </c>
      <c r="AQ726" t="s">
        <v>187</v>
      </c>
      <c r="AT726" t="s">
        <v>86</v>
      </c>
      <c r="AU726" t="s">
        <v>86</v>
      </c>
      <c r="AV726" t="s">
        <v>2466</v>
      </c>
      <c r="AW726" t="s">
        <v>69</v>
      </c>
      <c r="AX726" t="s">
        <v>218</v>
      </c>
      <c r="AY726" t="s">
        <v>2467</v>
      </c>
      <c r="AZ726" t="s">
        <v>245</v>
      </c>
      <c r="BA726" t="s">
        <v>244</v>
      </c>
      <c r="BB726" t="s">
        <v>244</v>
      </c>
      <c r="BC726" t="s">
        <v>264</v>
      </c>
      <c r="BD726" t="s">
        <v>2469</v>
      </c>
      <c r="BE726" t="s">
        <v>2468</v>
      </c>
      <c r="BF726" t="s">
        <v>291</v>
      </c>
      <c r="BG726" t="s">
        <v>150</v>
      </c>
      <c r="BH726" t="str">
        <f>IF(COUNTIF(工作表1!A:A, $C726)&gt;0, "預購款", "非預購款")</f>
        <v>非預購款</v>
      </c>
    </row>
    <row r="727" spans="1:60" x14ac:dyDescent="0.25">
      <c r="A727" t="s">
        <v>2460</v>
      </c>
      <c r="B727" t="s">
        <v>315</v>
      </c>
      <c r="C727" t="s">
        <v>2461</v>
      </c>
      <c r="D727" t="s">
        <v>2462</v>
      </c>
      <c r="E727" t="s">
        <v>2463</v>
      </c>
      <c r="F727" t="s">
        <v>178</v>
      </c>
      <c r="G727" t="s">
        <v>2464</v>
      </c>
      <c r="H727" t="s">
        <v>130</v>
      </c>
      <c r="I727" t="s">
        <v>97</v>
      </c>
      <c r="J727" t="s">
        <v>98</v>
      </c>
      <c r="K727" t="s">
        <v>69</v>
      </c>
      <c r="L727" t="s">
        <v>2465</v>
      </c>
      <c r="M727" t="s">
        <v>71</v>
      </c>
      <c r="N727" t="s">
        <v>100</v>
      </c>
      <c r="O727" t="s">
        <v>2306</v>
      </c>
      <c r="P727" t="s">
        <v>2307</v>
      </c>
      <c r="R727" t="s">
        <v>1588</v>
      </c>
      <c r="S727" t="s">
        <v>179</v>
      </c>
      <c r="T727" t="s">
        <v>291</v>
      </c>
      <c r="U727" t="s">
        <v>502</v>
      </c>
      <c r="V727" t="s">
        <v>1512</v>
      </c>
      <c r="W727">
        <v>990</v>
      </c>
      <c r="X727">
        <v>39.99</v>
      </c>
      <c r="Y727">
        <v>129</v>
      </c>
      <c r="Z727">
        <v>709000</v>
      </c>
      <c r="AA727">
        <v>178200</v>
      </c>
      <c r="AB727">
        <v>460</v>
      </c>
      <c r="AD727" t="s">
        <v>238</v>
      </c>
      <c r="AE727">
        <v>2</v>
      </c>
      <c r="AF727">
        <v>0</v>
      </c>
      <c r="AI727">
        <v>15</v>
      </c>
      <c r="AJ727">
        <v>20</v>
      </c>
      <c r="AK727">
        <v>35</v>
      </c>
      <c r="AL727">
        <v>180</v>
      </c>
      <c r="AM727">
        <v>43</v>
      </c>
      <c r="AN727">
        <v>0</v>
      </c>
      <c r="AO727">
        <v>43</v>
      </c>
      <c r="AP727" t="s">
        <v>80</v>
      </c>
      <c r="AQ727" t="s">
        <v>187</v>
      </c>
      <c r="AT727" t="s">
        <v>86</v>
      </c>
      <c r="AU727" t="s">
        <v>86</v>
      </c>
      <c r="AV727" t="s">
        <v>2466</v>
      </c>
      <c r="AW727" t="s">
        <v>69</v>
      </c>
      <c r="AX727" t="s">
        <v>218</v>
      </c>
      <c r="AY727" t="s">
        <v>2467</v>
      </c>
      <c r="AZ727" t="s">
        <v>245</v>
      </c>
      <c r="BA727" t="s">
        <v>244</v>
      </c>
      <c r="BB727" t="s">
        <v>244</v>
      </c>
      <c r="BC727" t="s">
        <v>264</v>
      </c>
      <c r="BD727" t="s">
        <v>2470</v>
      </c>
      <c r="BE727" t="s">
        <v>2468</v>
      </c>
      <c r="BF727" t="s">
        <v>291</v>
      </c>
      <c r="BG727" t="s">
        <v>150</v>
      </c>
      <c r="BH727" t="str">
        <f>IF(COUNTIF(工作表1!A:A, $C727)&gt;0, "預購款", "非預購款")</f>
        <v>非預購款</v>
      </c>
    </row>
    <row r="728" spans="1:60" x14ac:dyDescent="0.25">
      <c r="A728" t="s">
        <v>2460</v>
      </c>
      <c r="B728" t="s">
        <v>315</v>
      </c>
      <c r="C728" t="s">
        <v>2461</v>
      </c>
      <c r="D728" t="s">
        <v>2462</v>
      </c>
      <c r="E728" t="s">
        <v>2463</v>
      </c>
      <c r="F728" t="s">
        <v>178</v>
      </c>
      <c r="G728" t="s">
        <v>2464</v>
      </c>
      <c r="H728" t="s">
        <v>132</v>
      </c>
      <c r="I728" t="s">
        <v>97</v>
      </c>
      <c r="J728" t="s">
        <v>98</v>
      </c>
      <c r="K728" t="s">
        <v>69</v>
      </c>
      <c r="L728" t="s">
        <v>2465</v>
      </c>
      <c r="M728" t="s">
        <v>71</v>
      </c>
      <c r="N728" t="s">
        <v>100</v>
      </c>
      <c r="O728" t="s">
        <v>2306</v>
      </c>
      <c r="P728" t="s">
        <v>2307</v>
      </c>
      <c r="R728" t="s">
        <v>1588</v>
      </c>
      <c r="S728" t="s">
        <v>179</v>
      </c>
      <c r="T728" t="s">
        <v>291</v>
      </c>
      <c r="U728" t="s">
        <v>502</v>
      </c>
      <c r="V728" t="s">
        <v>1512</v>
      </c>
      <c r="W728">
        <v>990</v>
      </c>
      <c r="X728">
        <v>39.99</v>
      </c>
      <c r="Y728">
        <v>129</v>
      </c>
      <c r="Z728">
        <v>709000</v>
      </c>
      <c r="AA728">
        <v>178200</v>
      </c>
      <c r="AB728">
        <v>460</v>
      </c>
      <c r="AD728" t="s">
        <v>238</v>
      </c>
      <c r="AE728">
        <v>2</v>
      </c>
      <c r="AF728">
        <v>0</v>
      </c>
      <c r="AI728">
        <v>10</v>
      </c>
      <c r="AJ728">
        <v>10</v>
      </c>
      <c r="AK728">
        <v>20</v>
      </c>
      <c r="AL728">
        <v>180</v>
      </c>
      <c r="AM728">
        <v>28</v>
      </c>
      <c r="AN728">
        <v>0</v>
      </c>
      <c r="AO728">
        <v>28</v>
      </c>
      <c r="AP728" t="s">
        <v>80</v>
      </c>
      <c r="AQ728" t="s">
        <v>187</v>
      </c>
      <c r="AT728" t="s">
        <v>86</v>
      </c>
      <c r="AU728" t="s">
        <v>86</v>
      </c>
      <c r="AV728" t="s">
        <v>2466</v>
      </c>
      <c r="AW728" t="s">
        <v>69</v>
      </c>
      <c r="AX728" t="s">
        <v>218</v>
      </c>
      <c r="AY728" t="s">
        <v>2467</v>
      </c>
      <c r="AZ728" t="s">
        <v>245</v>
      </c>
      <c r="BA728" t="s">
        <v>244</v>
      </c>
      <c r="BB728" t="s">
        <v>244</v>
      </c>
      <c r="BC728" t="s">
        <v>264</v>
      </c>
      <c r="BD728" t="s">
        <v>2471</v>
      </c>
      <c r="BE728" t="s">
        <v>2468</v>
      </c>
      <c r="BF728" t="s">
        <v>291</v>
      </c>
      <c r="BG728" t="s">
        <v>150</v>
      </c>
      <c r="BH728" t="str">
        <f>IF(COUNTIF(工作表1!A:A, $C728)&gt;0, "預購款", "非預購款")</f>
        <v>非預購款</v>
      </c>
    </row>
    <row r="729" spans="1:60" x14ac:dyDescent="0.25">
      <c r="A729" t="s">
        <v>2151</v>
      </c>
      <c r="B729" t="s">
        <v>678</v>
      </c>
      <c r="C729" t="s">
        <v>2152</v>
      </c>
      <c r="D729" t="s">
        <v>2153</v>
      </c>
      <c r="E729" t="s">
        <v>2154</v>
      </c>
      <c r="F729" t="s">
        <v>178</v>
      </c>
      <c r="G729" t="s">
        <v>2155</v>
      </c>
      <c r="H729" t="s">
        <v>273</v>
      </c>
      <c r="I729" t="s">
        <v>288</v>
      </c>
      <c r="J729" t="s">
        <v>289</v>
      </c>
      <c r="K729" t="s">
        <v>69</v>
      </c>
      <c r="L729" t="s">
        <v>2141</v>
      </c>
      <c r="M729" t="s">
        <v>71</v>
      </c>
      <c r="N729" t="s">
        <v>100</v>
      </c>
      <c r="O729" t="s">
        <v>1900</v>
      </c>
      <c r="P729" t="s">
        <v>1901</v>
      </c>
      <c r="R729" t="s">
        <v>1902</v>
      </c>
      <c r="S729" t="s">
        <v>179</v>
      </c>
      <c r="T729" t="s">
        <v>274</v>
      </c>
      <c r="U729" t="s">
        <v>104</v>
      </c>
      <c r="V729" t="s">
        <v>292</v>
      </c>
      <c r="W729">
        <v>690</v>
      </c>
      <c r="X729">
        <v>29.99</v>
      </c>
      <c r="Y729">
        <v>89</v>
      </c>
      <c r="Z729">
        <v>499000</v>
      </c>
      <c r="AA729">
        <v>75900</v>
      </c>
      <c r="AB729">
        <v>242</v>
      </c>
      <c r="AD729" t="s">
        <v>238</v>
      </c>
      <c r="AE729">
        <v>1</v>
      </c>
      <c r="AF729">
        <v>0</v>
      </c>
      <c r="AI729">
        <v>0</v>
      </c>
      <c r="AJ729">
        <v>50</v>
      </c>
      <c r="AK729">
        <v>50</v>
      </c>
      <c r="AL729">
        <v>110</v>
      </c>
      <c r="AM729">
        <v>56</v>
      </c>
      <c r="AN729">
        <v>0</v>
      </c>
      <c r="AO729">
        <v>56</v>
      </c>
      <c r="AP729" t="s">
        <v>80</v>
      </c>
      <c r="AQ729" t="s">
        <v>187</v>
      </c>
      <c r="AT729" t="s">
        <v>86</v>
      </c>
      <c r="AU729" t="s">
        <v>86</v>
      </c>
      <c r="AV729" t="s">
        <v>2156</v>
      </c>
      <c r="AW729" t="s">
        <v>69</v>
      </c>
      <c r="AX729" t="s">
        <v>738</v>
      </c>
      <c r="AY729" t="s">
        <v>2157</v>
      </c>
      <c r="AZ729" t="s">
        <v>243</v>
      </c>
      <c r="BA729" t="s">
        <v>244</v>
      </c>
      <c r="BB729" t="s">
        <v>244</v>
      </c>
      <c r="BC729" t="s">
        <v>244</v>
      </c>
      <c r="BD729" t="s">
        <v>2472</v>
      </c>
      <c r="BE729" t="s">
        <v>2473</v>
      </c>
      <c r="BF729" t="s">
        <v>279</v>
      </c>
      <c r="BG729" t="s">
        <v>150</v>
      </c>
      <c r="BH729" t="str">
        <f>IF(COUNTIF(工作表1!A:A, $C729)&gt;0, "預購款", "非預購款")</f>
        <v>非預購款</v>
      </c>
    </row>
    <row r="730" spans="1:60" x14ac:dyDescent="0.25">
      <c r="A730" t="s">
        <v>2151</v>
      </c>
      <c r="B730" t="s">
        <v>678</v>
      </c>
      <c r="C730" t="s">
        <v>2152</v>
      </c>
      <c r="D730" t="s">
        <v>2153</v>
      </c>
      <c r="E730" t="s">
        <v>2154</v>
      </c>
      <c r="F730" t="s">
        <v>178</v>
      </c>
      <c r="G730" t="s">
        <v>2155</v>
      </c>
      <c r="H730" t="s">
        <v>501</v>
      </c>
      <c r="I730" t="s">
        <v>288</v>
      </c>
      <c r="J730" t="s">
        <v>289</v>
      </c>
      <c r="K730" t="s">
        <v>69</v>
      </c>
      <c r="L730" t="s">
        <v>2141</v>
      </c>
      <c r="M730" t="s">
        <v>71</v>
      </c>
      <c r="N730" t="s">
        <v>100</v>
      </c>
      <c r="O730" t="s">
        <v>1900</v>
      </c>
      <c r="P730" t="s">
        <v>1901</v>
      </c>
      <c r="R730" t="s">
        <v>1902</v>
      </c>
      <c r="S730" t="s">
        <v>179</v>
      </c>
      <c r="T730" t="s">
        <v>274</v>
      </c>
      <c r="U730" t="s">
        <v>104</v>
      </c>
      <c r="V730" t="s">
        <v>292</v>
      </c>
      <c r="W730">
        <v>690</v>
      </c>
      <c r="X730">
        <v>29.99</v>
      </c>
      <c r="Y730">
        <v>89</v>
      </c>
      <c r="Z730">
        <v>499000</v>
      </c>
      <c r="AA730">
        <v>75900</v>
      </c>
      <c r="AB730">
        <v>242</v>
      </c>
      <c r="AD730" t="s">
        <v>238</v>
      </c>
      <c r="AE730">
        <v>1</v>
      </c>
      <c r="AF730">
        <v>0</v>
      </c>
      <c r="AI730">
        <v>0</v>
      </c>
      <c r="AJ730">
        <v>20</v>
      </c>
      <c r="AK730">
        <v>20</v>
      </c>
      <c r="AL730">
        <v>110</v>
      </c>
      <c r="AM730">
        <v>23</v>
      </c>
      <c r="AN730">
        <v>0</v>
      </c>
      <c r="AO730">
        <v>23</v>
      </c>
      <c r="AP730" t="s">
        <v>80</v>
      </c>
      <c r="AQ730" t="s">
        <v>187</v>
      </c>
      <c r="AT730" t="s">
        <v>86</v>
      </c>
      <c r="AU730" t="s">
        <v>86</v>
      </c>
      <c r="AV730" t="s">
        <v>2156</v>
      </c>
      <c r="AW730" t="s">
        <v>69</v>
      </c>
      <c r="AX730" t="s">
        <v>738</v>
      </c>
      <c r="AY730" t="s">
        <v>2157</v>
      </c>
      <c r="AZ730" t="s">
        <v>243</v>
      </c>
      <c r="BA730" t="s">
        <v>244</v>
      </c>
      <c r="BB730" t="s">
        <v>244</v>
      </c>
      <c r="BC730" t="s">
        <v>244</v>
      </c>
      <c r="BD730" t="s">
        <v>2474</v>
      </c>
      <c r="BE730" t="s">
        <v>2473</v>
      </c>
      <c r="BF730" t="s">
        <v>279</v>
      </c>
      <c r="BG730" t="s">
        <v>150</v>
      </c>
      <c r="BH730" t="str">
        <f>IF(COUNTIF(工作表1!A:A, $C730)&gt;0, "預購款", "非預購款")</f>
        <v>非預購款</v>
      </c>
    </row>
    <row r="731" spans="1:60" x14ac:dyDescent="0.25">
      <c r="A731" t="s">
        <v>2151</v>
      </c>
      <c r="B731" t="s">
        <v>678</v>
      </c>
      <c r="C731" t="s">
        <v>2152</v>
      </c>
      <c r="D731" t="s">
        <v>2153</v>
      </c>
      <c r="E731" t="s">
        <v>2154</v>
      </c>
      <c r="F731" t="s">
        <v>178</v>
      </c>
      <c r="G731" t="s">
        <v>2155</v>
      </c>
      <c r="H731" t="s">
        <v>280</v>
      </c>
      <c r="I731" t="s">
        <v>288</v>
      </c>
      <c r="J731" t="s">
        <v>289</v>
      </c>
      <c r="K731" t="s">
        <v>69</v>
      </c>
      <c r="L731" t="s">
        <v>2141</v>
      </c>
      <c r="M731" t="s">
        <v>71</v>
      </c>
      <c r="N731" t="s">
        <v>100</v>
      </c>
      <c r="O731" t="s">
        <v>1900</v>
      </c>
      <c r="P731" t="s">
        <v>1901</v>
      </c>
      <c r="R731" t="s">
        <v>1902</v>
      </c>
      <c r="S731" t="s">
        <v>179</v>
      </c>
      <c r="T731" t="s">
        <v>274</v>
      </c>
      <c r="U731" t="s">
        <v>104</v>
      </c>
      <c r="V731" t="s">
        <v>292</v>
      </c>
      <c r="W731">
        <v>690</v>
      </c>
      <c r="X731">
        <v>29.99</v>
      </c>
      <c r="Y731">
        <v>89</v>
      </c>
      <c r="Z731">
        <v>499000</v>
      </c>
      <c r="AA731">
        <v>75900</v>
      </c>
      <c r="AB731">
        <v>242</v>
      </c>
      <c r="AD731" t="s">
        <v>238</v>
      </c>
      <c r="AE731">
        <v>1</v>
      </c>
      <c r="AF731">
        <v>0</v>
      </c>
      <c r="AI731">
        <v>0</v>
      </c>
      <c r="AJ731">
        <v>40</v>
      </c>
      <c r="AK731">
        <v>40</v>
      </c>
      <c r="AL731">
        <v>110</v>
      </c>
      <c r="AM731">
        <v>46</v>
      </c>
      <c r="AN731">
        <v>0</v>
      </c>
      <c r="AO731">
        <v>46</v>
      </c>
      <c r="AP731" t="s">
        <v>80</v>
      </c>
      <c r="AQ731" t="s">
        <v>187</v>
      </c>
      <c r="AT731" t="s">
        <v>86</v>
      </c>
      <c r="AU731" t="s">
        <v>86</v>
      </c>
      <c r="AV731" t="s">
        <v>2156</v>
      </c>
      <c r="AW731" t="s">
        <v>69</v>
      </c>
      <c r="AX731" t="s">
        <v>738</v>
      </c>
      <c r="AY731" t="s">
        <v>2157</v>
      </c>
      <c r="AZ731" t="s">
        <v>243</v>
      </c>
      <c r="BA731" t="s">
        <v>244</v>
      </c>
      <c r="BB731" t="s">
        <v>244</v>
      </c>
      <c r="BC731" t="s">
        <v>244</v>
      </c>
      <c r="BD731" t="s">
        <v>2475</v>
      </c>
      <c r="BE731" t="s">
        <v>2473</v>
      </c>
      <c r="BF731" t="s">
        <v>279</v>
      </c>
      <c r="BG731" t="s">
        <v>150</v>
      </c>
      <c r="BH731" t="str">
        <f>IF(COUNTIF(工作表1!A:A, $C731)&gt;0, "預購款", "非預購款")</f>
        <v>非預購款</v>
      </c>
    </row>
    <row r="732" spans="1:60" x14ac:dyDescent="0.25">
      <c r="A732" t="s">
        <v>2476</v>
      </c>
      <c r="B732" t="s">
        <v>678</v>
      </c>
      <c r="C732" t="s">
        <v>2477</v>
      </c>
      <c r="D732" t="s">
        <v>2478</v>
      </c>
      <c r="E732" t="s">
        <v>2479</v>
      </c>
      <c r="F732" t="s">
        <v>178</v>
      </c>
      <c r="G732" t="s">
        <v>2480</v>
      </c>
      <c r="H732" t="s">
        <v>119</v>
      </c>
      <c r="I732" t="s">
        <v>97</v>
      </c>
      <c r="J732" t="s">
        <v>98</v>
      </c>
      <c r="K732" t="s">
        <v>69</v>
      </c>
      <c r="L732" t="s">
        <v>2481</v>
      </c>
      <c r="M732" t="s">
        <v>71</v>
      </c>
      <c r="N732" t="s">
        <v>100</v>
      </c>
      <c r="O732" t="s">
        <v>2306</v>
      </c>
      <c r="P732" t="s">
        <v>2307</v>
      </c>
      <c r="R732" t="s">
        <v>1588</v>
      </c>
      <c r="S732" t="s">
        <v>179</v>
      </c>
      <c r="T732" t="s">
        <v>258</v>
      </c>
      <c r="U732" t="s">
        <v>684</v>
      </c>
      <c r="V732" t="s">
        <v>685</v>
      </c>
      <c r="W732">
        <v>790</v>
      </c>
      <c r="X732">
        <v>34.99</v>
      </c>
      <c r="Y732">
        <v>99</v>
      </c>
      <c r="Z732">
        <v>569000</v>
      </c>
      <c r="AA732">
        <v>292300</v>
      </c>
      <c r="AB732">
        <v>310</v>
      </c>
      <c r="AD732" t="s">
        <v>238</v>
      </c>
      <c r="AE732">
        <v>1</v>
      </c>
      <c r="AF732">
        <v>15</v>
      </c>
      <c r="AI732">
        <v>15</v>
      </c>
      <c r="AJ732">
        <v>130</v>
      </c>
      <c r="AK732">
        <v>160</v>
      </c>
      <c r="AL732">
        <v>370</v>
      </c>
      <c r="AM732">
        <v>169</v>
      </c>
      <c r="AN732">
        <v>0</v>
      </c>
      <c r="AO732">
        <v>169</v>
      </c>
      <c r="AP732" t="s">
        <v>80</v>
      </c>
      <c r="AQ732" t="s">
        <v>187</v>
      </c>
      <c r="AR732" t="s">
        <v>86</v>
      </c>
      <c r="AS732" t="s">
        <v>86</v>
      </c>
      <c r="AT732" t="s">
        <v>86</v>
      </c>
      <c r="AU732" t="s">
        <v>86</v>
      </c>
      <c r="AV732" t="s">
        <v>2482</v>
      </c>
      <c r="AW732" t="s">
        <v>69</v>
      </c>
      <c r="AX732" t="s">
        <v>737</v>
      </c>
      <c r="AY732" t="s">
        <v>2483</v>
      </c>
      <c r="AZ732" t="s">
        <v>244</v>
      </c>
      <c r="BA732" t="s">
        <v>264</v>
      </c>
      <c r="BB732" t="s">
        <v>264</v>
      </c>
      <c r="BC732" t="s">
        <v>245</v>
      </c>
      <c r="BD732" t="s">
        <v>2484</v>
      </c>
      <c r="BE732" t="s">
        <v>2485</v>
      </c>
      <c r="BF732" t="s">
        <v>240</v>
      </c>
      <c r="BG732" t="s">
        <v>150</v>
      </c>
      <c r="BH732" t="str">
        <f>IF(COUNTIF(工作表1!A:A, $C732)&gt;0, "預購款", "非預購款")</f>
        <v>非預購款</v>
      </c>
    </row>
    <row r="733" spans="1:60" x14ac:dyDescent="0.25">
      <c r="A733" t="s">
        <v>2476</v>
      </c>
      <c r="B733" t="s">
        <v>678</v>
      </c>
      <c r="C733" t="s">
        <v>2477</v>
      </c>
      <c r="D733" t="s">
        <v>2478</v>
      </c>
      <c r="E733" t="s">
        <v>2479</v>
      </c>
      <c r="F733" t="s">
        <v>178</v>
      </c>
      <c r="G733" t="s">
        <v>2480</v>
      </c>
      <c r="H733" t="s">
        <v>130</v>
      </c>
      <c r="I733" t="s">
        <v>97</v>
      </c>
      <c r="J733" t="s">
        <v>98</v>
      </c>
      <c r="K733" t="s">
        <v>69</v>
      </c>
      <c r="L733" t="s">
        <v>2481</v>
      </c>
      <c r="M733" t="s">
        <v>71</v>
      </c>
      <c r="N733" t="s">
        <v>100</v>
      </c>
      <c r="O733" t="s">
        <v>2306</v>
      </c>
      <c r="P733" t="s">
        <v>2307</v>
      </c>
      <c r="R733" t="s">
        <v>1588</v>
      </c>
      <c r="S733" t="s">
        <v>179</v>
      </c>
      <c r="T733" t="s">
        <v>258</v>
      </c>
      <c r="U733" t="s">
        <v>684</v>
      </c>
      <c r="V733" t="s">
        <v>685</v>
      </c>
      <c r="W733">
        <v>790</v>
      </c>
      <c r="X733">
        <v>34.99</v>
      </c>
      <c r="Y733">
        <v>99</v>
      </c>
      <c r="Z733">
        <v>569000</v>
      </c>
      <c r="AA733">
        <v>292300</v>
      </c>
      <c r="AB733">
        <v>310</v>
      </c>
      <c r="AD733" t="s">
        <v>238</v>
      </c>
      <c r="AE733">
        <v>1</v>
      </c>
      <c r="AF733">
        <v>10</v>
      </c>
      <c r="AI733">
        <v>15</v>
      </c>
      <c r="AJ733">
        <v>120</v>
      </c>
      <c r="AK733">
        <v>145</v>
      </c>
      <c r="AL733">
        <v>370</v>
      </c>
      <c r="AM733">
        <v>150</v>
      </c>
      <c r="AN733">
        <v>0</v>
      </c>
      <c r="AO733">
        <v>150</v>
      </c>
      <c r="AP733" t="s">
        <v>80</v>
      </c>
      <c r="AQ733" t="s">
        <v>187</v>
      </c>
      <c r="AR733" t="s">
        <v>86</v>
      </c>
      <c r="AS733" t="s">
        <v>86</v>
      </c>
      <c r="AT733" t="s">
        <v>86</v>
      </c>
      <c r="AU733" t="s">
        <v>86</v>
      </c>
      <c r="AV733" t="s">
        <v>2482</v>
      </c>
      <c r="AW733" t="s">
        <v>69</v>
      </c>
      <c r="AX733" t="s">
        <v>737</v>
      </c>
      <c r="AY733" t="s">
        <v>2483</v>
      </c>
      <c r="AZ733" t="s">
        <v>244</v>
      </c>
      <c r="BA733" t="s">
        <v>264</v>
      </c>
      <c r="BB733" t="s">
        <v>264</v>
      </c>
      <c r="BC733" t="s">
        <v>245</v>
      </c>
      <c r="BD733" t="s">
        <v>2486</v>
      </c>
      <c r="BE733" t="s">
        <v>2485</v>
      </c>
      <c r="BF733" t="s">
        <v>240</v>
      </c>
      <c r="BG733" t="s">
        <v>150</v>
      </c>
      <c r="BH733" t="str">
        <f>IF(COUNTIF(工作表1!A:A, $C733)&gt;0, "預購款", "非預購款")</f>
        <v>非預購款</v>
      </c>
    </row>
    <row r="734" spans="1:60" x14ac:dyDescent="0.25">
      <c r="A734" t="s">
        <v>2476</v>
      </c>
      <c r="B734" t="s">
        <v>678</v>
      </c>
      <c r="C734" t="s">
        <v>2477</v>
      </c>
      <c r="D734" t="s">
        <v>2478</v>
      </c>
      <c r="E734" t="s">
        <v>2479</v>
      </c>
      <c r="F734" t="s">
        <v>178</v>
      </c>
      <c r="G734" t="s">
        <v>2480</v>
      </c>
      <c r="H734" t="s">
        <v>132</v>
      </c>
      <c r="I734" t="s">
        <v>97</v>
      </c>
      <c r="J734" t="s">
        <v>98</v>
      </c>
      <c r="K734" t="s">
        <v>69</v>
      </c>
      <c r="L734" t="s">
        <v>2481</v>
      </c>
      <c r="M734" t="s">
        <v>71</v>
      </c>
      <c r="N734" t="s">
        <v>100</v>
      </c>
      <c r="O734" t="s">
        <v>2306</v>
      </c>
      <c r="P734" t="s">
        <v>2307</v>
      </c>
      <c r="R734" t="s">
        <v>1588</v>
      </c>
      <c r="S734" t="s">
        <v>179</v>
      </c>
      <c r="T734" t="s">
        <v>258</v>
      </c>
      <c r="U734" t="s">
        <v>684</v>
      </c>
      <c r="V734" t="s">
        <v>685</v>
      </c>
      <c r="W734">
        <v>790</v>
      </c>
      <c r="X734">
        <v>34.99</v>
      </c>
      <c r="Y734">
        <v>99</v>
      </c>
      <c r="Z734">
        <v>569000</v>
      </c>
      <c r="AA734">
        <v>292300</v>
      </c>
      <c r="AB734">
        <v>310</v>
      </c>
      <c r="AD734" t="s">
        <v>238</v>
      </c>
      <c r="AE734">
        <v>1</v>
      </c>
      <c r="AF734">
        <v>0</v>
      </c>
      <c r="AI734">
        <v>15</v>
      </c>
      <c r="AJ734">
        <v>50</v>
      </c>
      <c r="AK734">
        <v>65</v>
      </c>
      <c r="AL734">
        <v>370</v>
      </c>
      <c r="AM734">
        <v>68</v>
      </c>
      <c r="AN734">
        <v>0</v>
      </c>
      <c r="AO734">
        <v>68</v>
      </c>
      <c r="AP734" t="s">
        <v>80</v>
      </c>
      <c r="AQ734" t="s">
        <v>187</v>
      </c>
      <c r="AR734" t="s">
        <v>86</v>
      </c>
      <c r="AS734" t="s">
        <v>86</v>
      </c>
      <c r="AT734" t="s">
        <v>86</v>
      </c>
      <c r="AU734" t="s">
        <v>86</v>
      </c>
      <c r="AV734" t="s">
        <v>2482</v>
      </c>
      <c r="AW734" t="s">
        <v>69</v>
      </c>
      <c r="AX734" t="s">
        <v>737</v>
      </c>
      <c r="AY734" t="s">
        <v>2483</v>
      </c>
      <c r="AZ734" t="s">
        <v>244</v>
      </c>
      <c r="BA734" t="s">
        <v>264</v>
      </c>
      <c r="BB734" t="s">
        <v>264</v>
      </c>
      <c r="BC734" t="s">
        <v>245</v>
      </c>
      <c r="BD734" t="s">
        <v>2487</v>
      </c>
      <c r="BE734" t="s">
        <v>2485</v>
      </c>
      <c r="BF734" t="s">
        <v>240</v>
      </c>
      <c r="BG734" t="s">
        <v>150</v>
      </c>
      <c r="BH734" t="str">
        <f>IF(COUNTIF(工作表1!A:A, $C734)&gt;0, "預購款", "非預購款")</f>
        <v>非預購款</v>
      </c>
    </row>
    <row r="735" spans="1:60" x14ac:dyDescent="0.25">
      <c r="A735" t="s">
        <v>2488</v>
      </c>
      <c r="B735" t="s">
        <v>678</v>
      </c>
      <c r="C735" t="s">
        <v>2489</v>
      </c>
      <c r="D735" t="s">
        <v>2490</v>
      </c>
      <c r="E735" t="s">
        <v>2491</v>
      </c>
      <c r="F735" t="s">
        <v>178</v>
      </c>
      <c r="G735" t="s">
        <v>2492</v>
      </c>
      <c r="H735" t="s">
        <v>119</v>
      </c>
      <c r="I735" t="s">
        <v>97</v>
      </c>
      <c r="J735" t="s">
        <v>98</v>
      </c>
      <c r="K735" t="s">
        <v>69</v>
      </c>
      <c r="L735" t="s">
        <v>2493</v>
      </c>
      <c r="M735" t="s">
        <v>71</v>
      </c>
      <c r="N735" t="s">
        <v>100</v>
      </c>
      <c r="O735" t="s">
        <v>2306</v>
      </c>
      <c r="P735" t="s">
        <v>2307</v>
      </c>
      <c r="R735" t="s">
        <v>1588</v>
      </c>
      <c r="S735" t="s">
        <v>179</v>
      </c>
      <c r="T735" t="s">
        <v>258</v>
      </c>
      <c r="U735" t="s">
        <v>146</v>
      </c>
      <c r="V735" t="s">
        <v>321</v>
      </c>
      <c r="W735">
        <v>490</v>
      </c>
      <c r="X735">
        <v>22.99</v>
      </c>
      <c r="Y735">
        <v>60</v>
      </c>
      <c r="Z735">
        <v>355000</v>
      </c>
      <c r="AA735">
        <v>196000</v>
      </c>
      <c r="AB735">
        <v>265</v>
      </c>
      <c r="AD735" t="s">
        <v>238</v>
      </c>
      <c r="AE735">
        <v>1</v>
      </c>
      <c r="AF735">
        <v>10</v>
      </c>
      <c r="AI735">
        <v>15</v>
      </c>
      <c r="AJ735">
        <v>180</v>
      </c>
      <c r="AK735">
        <v>205</v>
      </c>
      <c r="AL735">
        <v>400</v>
      </c>
      <c r="AM735">
        <v>217</v>
      </c>
      <c r="AN735">
        <v>0</v>
      </c>
      <c r="AO735">
        <v>217</v>
      </c>
      <c r="AP735" t="s">
        <v>80</v>
      </c>
      <c r="AQ735" t="s">
        <v>187</v>
      </c>
      <c r="AR735" t="s">
        <v>86</v>
      </c>
      <c r="AS735" t="s">
        <v>86</v>
      </c>
      <c r="AT735" t="s">
        <v>86</v>
      </c>
      <c r="AU735" t="s">
        <v>86</v>
      </c>
      <c r="AV735" t="s">
        <v>2494</v>
      </c>
      <c r="AW735" t="s">
        <v>69</v>
      </c>
      <c r="AX735" t="s">
        <v>262</v>
      </c>
      <c r="AY735" t="s">
        <v>2495</v>
      </c>
      <c r="AZ735" t="s">
        <v>244</v>
      </c>
      <c r="BA735" t="s">
        <v>264</v>
      </c>
      <c r="BB735" t="s">
        <v>264</v>
      </c>
      <c r="BC735" t="s">
        <v>245</v>
      </c>
      <c r="BD735" t="s">
        <v>2496</v>
      </c>
      <c r="BE735" t="s">
        <v>2497</v>
      </c>
      <c r="BF735" t="s">
        <v>240</v>
      </c>
      <c r="BG735" t="s">
        <v>150</v>
      </c>
      <c r="BH735" t="str">
        <f>IF(COUNTIF(工作表1!A:A, $C735)&gt;0, "預購款", "非預購款")</f>
        <v>非預購款</v>
      </c>
    </row>
    <row r="736" spans="1:60" x14ac:dyDescent="0.25">
      <c r="A736" t="s">
        <v>2488</v>
      </c>
      <c r="B736" t="s">
        <v>678</v>
      </c>
      <c r="C736" t="s">
        <v>2489</v>
      </c>
      <c r="D736" t="s">
        <v>2490</v>
      </c>
      <c r="E736" t="s">
        <v>2491</v>
      </c>
      <c r="F736" t="s">
        <v>178</v>
      </c>
      <c r="G736" t="s">
        <v>2492</v>
      </c>
      <c r="H736" t="s">
        <v>130</v>
      </c>
      <c r="I736" t="s">
        <v>97</v>
      </c>
      <c r="J736" t="s">
        <v>98</v>
      </c>
      <c r="K736" t="s">
        <v>69</v>
      </c>
      <c r="L736" t="s">
        <v>2493</v>
      </c>
      <c r="M736" t="s">
        <v>71</v>
      </c>
      <c r="N736" t="s">
        <v>100</v>
      </c>
      <c r="O736" t="s">
        <v>2306</v>
      </c>
      <c r="P736" t="s">
        <v>2307</v>
      </c>
      <c r="R736" t="s">
        <v>1588</v>
      </c>
      <c r="S736" t="s">
        <v>179</v>
      </c>
      <c r="T736" t="s">
        <v>258</v>
      </c>
      <c r="U736" t="s">
        <v>146</v>
      </c>
      <c r="V736" t="s">
        <v>321</v>
      </c>
      <c r="W736">
        <v>490</v>
      </c>
      <c r="X736">
        <v>22.99</v>
      </c>
      <c r="Y736">
        <v>60</v>
      </c>
      <c r="Z736">
        <v>355000</v>
      </c>
      <c r="AA736">
        <v>196000</v>
      </c>
      <c r="AB736">
        <v>265</v>
      </c>
      <c r="AD736" t="s">
        <v>238</v>
      </c>
      <c r="AE736">
        <v>1</v>
      </c>
      <c r="AF736">
        <v>15</v>
      </c>
      <c r="AI736">
        <v>15</v>
      </c>
      <c r="AJ736">
        <v>110</v>
      </c>
      <c r="AK736">
        <v>140</v>
      </c>
      <c r="AL736">
        <v>400</v>
      </c>
      <c r="AM736">
        <v>147</v>
      </c>
      <c r="AN736">
        <v>0</v>
      </c>
      <c r="AO736">
        <v>147</v>
      </c>
      <c r="AP736" t="s">
        <v>80</v>
      </c>
      <c r="AQ736" t="s">
        <v>187</v>
      </c>
      <c r="AR736" t="s">
        <v>86</v>
      </c>
      <c r="AS736" t="s">
        <v>86</v>
      </c>
      <c r="AT736" t="s">
        <v>86</v>
      </c>
      <c r="AU736" t="s">
        <v>86</v>
      </c>
      <c r="AV736" t="s">
        <v>2494</v>
      </c>
      <c r="AW736" t="s">
        <v>69</v>
      </c>
      <c r="AX736" t="s">
        <v>262</v>
      </c>
      <c r="AY736" t="s">
        <v>2495</v>
      </c>
      <c r="AZ736" t="s">
        <v>244</v>
      </c>
      <c r="BA736" t="s">
        <v>264</v>
      </c>
      <c r="BB736" t="s">
        <v>264</v>
      </c>
      <c r="BC736" t="s">
        <v>245</v>
      </c>
      <c r="BD736" t="s">
        <v>2498</v>
      </c>
      <c r="BE736" t="s">
        <v>2497</v>
      </c>
      <c r="BF736" t="s">
        <v>240</v>
      </c>
      <c r="BG736" t="s">
        <v>150</v>
      </c>
      <c r="BH736" t="str">
        <f>IF(COUNTIF(工作表1!A:A, $C736)&gt;0, "預購款", "非預購款")</f>
        <v>非預購款</v>
      </c>
    </row>
    <row r="737" spans="1:60" x14ac:dyDescent="0.25">
      <c r="A737" t="s">
        <v>2488</v>
      </c>
      <c r="B737" t="s">
        <v>678</v>
      </c>
      <c r="C737" t="s">
        <v>2489</v>
      </c>
      <c r="D737" t="s">
        <v>2490</v>
      </c>
      <c r="E737" t="s">
        <v>2491</v>
      </c>
      <c r="F737" t="s">
        <v>178</v>
      </c>
      <c r="G737" t="s">
        <v>2492</v>
      </c>
      <c r="H737" t="s">
        <v>132</v>
      </c>
      <c r="I737" t="s">
        <v>97</v>
      </c>
      <c r="J737" t="s">
        <v>98</v>
      </c>
      <c r="K737" t="s">
        <v>69</v>
      </c>
      <c r="L737" t="s">
        <v>2493</v>
      </c>
      <c r="M737" t="s">
        <v>71</v>
      </c>
      <c r="N737" t="s">
        <v>100</v>
      </c>
      <c r="O737" t="s">
        <v>2306</v>
      </c>
      <c r="P737" t="s">
        <v>2307</v>
      </c>
      <c r="R737" t="s">
        <v>1588</v>
      </c>
      <c r="S737" t="s">
        <v>179</v>
      </c>
      <c r="T737" t="s">
        <v>258</v>
      </c>
      <c r="U737" t="s">
        <v>146</v>
      </c>
      <c r="V737" t="s">
        <v>321</v>
      </c>
      <c r="W737">
        <v>490</v>
      </c>
      <c r="X737">
        <v>22.99</v>
      </c>
      <c r="Y737">
        <v>60</v>
      </c>
      <c r="Z737">
        <v>355000</v>
      </c>
      <c r="AA737">
        <v>196000</v>
      </c>
      <c r="AB737">
        <v>265</v>
      </c>
      <c r="AD737" t="s">
        <v>238</v>
      </c>
      <c r="AE737">
        <v>1</v>
      </c>
      <c r="AF737">
        <v>0</v>
      </c>
      <c r="AI737">
        <v>15</v>
      </c>
      <c r="AJ737">
        <v>40</v>
      </c>
      <c r="AK737">
        <v>55</v>
      </c>
      <c r="AL737">
        <v>400</v>
      </c>
      <c r="AM737">
        <v>55</v>
      </c>
      <c r="AN737">
        <v>0</v>
      </c>
      <c r="AO737">
        <v>55</v>
      </c>
      <c r="AP737" t="s">
        <v>80</v>
      </c>
      <c r="AQ737" t="s">
        <v>187</v>
      </c>
      <c r="AR737" t="s">
        <v>86</v>
      </c>
      <c r="AS737" t="s">
        <v>86</v>
      </c>
      <c r="AT737" t="s">
        <v>86</v>
      </c>
      <c r="AU737" t="s">
        <v>86</v>
      </c>
      <c r="AV737" t="s">
        <v>2494</v>
      </c>
      <c r="AW737" t="s">
        <v>69</v>
      </c>
      <c r="AX737" t="s">
        <v>262</v>
      </c>
      <c r="AY737" t="s">
        <v>2495</v>
      </c>
      <c r="AZ737" t="s">
        <v>244</v>
      </c>
      <c r="BA737" t="s">
        <v>264</v>
      </c>
      <c r="BB737" t="s">
        <v>264</v>
      </c>
      <c r="BC737" t="s">
        <v>245</v>
      </c>
      <c r="BD737" t="s">
        <v>2499</v>
      </c>
      <c r="BE737" t="s">
        <v>2497</v>
      </c>
      <c r="BF737" t="s">
        <v>240</v>
      </c>
      <c r="BG737" t="s">
        <v>150</v>
      </c>
      <c r="BH737" t="str">
        <f>IF(COUNTIF(工作表1!A:A, $C737)&gt;0, "預購款", "非預購款")</f>
        <v>非預購款</v>
      </c>
    </row>
    <row r="738" spans="1:60" x14ac:dyDescent="0.25">
      <c r="A738" t="s">
        <v>2500</v>
      </c>
      <c r="B738" t="s">
        <v>474</v>
      </c>
      <c r="C738" t="s">
        <v>2501</v>
      </c>
      <c r="D738" t="s">
        <v>2502</v>
      </c>
      <c r="E738" t="s">
        <v>2503</v>
      </c>
      <c r="F738" t="s">
        <v>178</v>
      </c>
      <c r="G738" t="s">
        <v>2504</v>
      </c>
      <c r="H738" t="s">
        <v>66</v>
      </c>
      <c r="I738" t="s">
        <v>120</v>
      </c>
      <c r="J738" t="s">
        <v>121</v>
      </c>
      <c r="K738" t="s">
        <v>69</v>
      </c>
      <c r="L738" t="s">
        <v>2505</v>
      </c>
      <c r="M738" t="s">
        <v>71</v>
      </c>
      <c r="N738" t="s">
        <v>100</v>
      </c>
      <c r="O738" t="s">
        <v>2306</v>
      </c>
      <c r="P738" t="s">
        <v>2307</v>
      </c>
      <c r="R738" t="s">
        <v>1588</v>
      </c>
      <c r="S738" t="s">
        <v>179</v>
      </c>
      <c r="T738" t="s">
        <v>291</v>
      </c>
      <c r="U738" t="s">
        <v>150</v>
      </c>
      <c r="V738" t="s">
        <v>307</v>
      </c>
      <c r="W738">
        <v>690</v>
      </c>
      <c r="X738">
        <v>29.99</v>
      </c>
      <c r="Y738">
        <v>89</v>
      </c>
      <c r="Z738">
        <v>499000</v>
      </c>
      <c r="AA738">
        <v>124200</v>
      </c>
      <c r="AB738">
        <v>300</v>
      </c>
      <c r="AD738" t="s">
        <v>238</v>
      </c>
      <c r="AE738">
        <v>2</v>
      </c>
      <c r="AF738">
        <v>0</v>
      </c>
      <c r="AI738">
        <v>0</v>
      </c>
      <c r="AJ738">
        <v>60</v>
      </c>
      <c r="AK738">
        <v>60</v>
      </c>
      <c r="AL738">
        <v>180</v>
      </c>
      <c r="AM738">
        <v>60</v>
      </c>
      <c r="AN738">
        <v>0</v>
      </c>
      <c r="AO738">
        <v>60</v>
      </c>
      <c r="AP738" t="s">
        <v>80</v>
      </c>
      <c r="AQ738" t="s">
        <v>176</v>
      </c>
      <c r="AT738" t="s">
        <v>86</v>
      </c>
      <c r="AU738" t="s">
        <v>86</v>
      </c>
      <c r="AV738" t="s">
        <v>2506</v>
      </c>
      <c r="AW738" t="s">
        <v>69</v>
      </c>
      <c r="AX738" t="s">
        <v>126</v>
      </c>
      <c r="AY738" t="s">
        <v>2507</v>
      </c>
      <c r="AZ738" t="s">
        <v>245</v>
      </c>
      <c r="BA738" t="s">
        <v>310</v>
      </c>
      <c r="BB738" t="s">
        <v>244</v>
      </c>
      <c r="BC738" t="s">
        <v>244</v>
      </c>
      <c r="BD738" t="s">
        <v>2508</v>
      </c>
      <c r="BE738" t="s">
        <v>2509</v>
      </c>
      <c r="BF738" t="s">
        <v>291</v>
      </c>
      <c r="BG738" t="s">
        <v>87</v>
      </c>
      <c r="BH738" t="str">
        <f>IF(COUNTIF(工作表1!A:A, $C738)&gt;0, "預購款", "非預購款")</f>
        <v>非預購款</v>
      </c>
    </row>
    <row r="739" spans="1:60" x14ac:dyDescent="0.25">
      <c r="A739" t="s">
        <v>2500</v>
      </c>
      <c r="B739" t="s">
        <v>474</v>
      </c>
      <c r="C739" t="s">
        <v>2501</v>
      </c>
      <c r="D739" t="s">
        <v>2502</v>
      </c>
      <c r="E739" t="s">
        <v>2503</v>
      </c>
      <c r="F739" t="s">
        <v>178</v>
      </c>
      <c r="G739" t="s">
        <v>2504</v>
      </c>
      <c r="H739" t="s">
        <v>66</v>
      </c>
      <c r="I739" t="s">
        <v>97</v>
      </c>
      <c r="J739" t="s">
        <v>98</v>
      </c>
      <c r="K739" t="s">
        <v>69</v>
      </c>
      <c r="L739" t="s">
        <v>2505</v>
      </c>
      <c r="M739" t="s">
        <v>71</v>
      </c>
      <c r="N739" t="s">
        <v>100</v>
      </c>
      <c r="O739" t="s">
        <v>2306</v>
      </c>
      <c r="P739" t="s">
        <v>2307</v>
      </c>
      <c r="R739" t="s">
        <v>1588</v>
      </c>
      <c r="S739" t="s">
        <v>179</v>
      </c>
      <c r="T739" t="s">
        <v>291</v>
      </c>
      <c r="U739" t="s">
        <v>150</v>
      </c>
      <c r="V739" t="s">
        <v>307</v>
      </c>
      <c r="W739">
        <v>690</v>
      </c>
      <c r="X739">
        <v>29.99</v>
      </c>
      <c r="Y739">
        <v>89</v>
      </c>
      <c r="Z739">
        <v>499000</v>
      </c>
      <c r="AA739">
        <v>124200</v>
      </c>
      <c r="AB739">
        <v>300</v>
      </c>
      <c r="AD739" t="s">
        <v>238</v>
      </c>
      <c r="AE739">
        <v>2</v>
      </c>
      <c r="AF739">
        <v>0</v>
      </c>
      <c r="AI739">
        <v>0</v>
      </c>
      <c r="AJ739">
        <v>120</v>
      </c>
      <c r="AK739">
        <v>120</v>
      </c>
      <c r="AL739">
        <v>180</v>
      </c>
      <c r="AM739">
        <v>118</v>
      </c>
      <c r="AN739">
        <v>0</v>
      </c>
      <c r="AO739">
        <v>118</v>
      </c>
      <c r="AP739" t="s">
        <v>80</v>
      </c>
      <c r="AQ739" t="s">
        <v>176</v>
      </c>
      <c r="AT739" t="s">
        <v>86</v>
      </c>
      <c r="AU739" t="s">
        <v>86</v>
      </c>
      <c r="AV739" t="s">
        <v>2506</v>
      </c>
      <c r="AW739" t="s">
        <v>69</v>
      </c>
      <c r="AX739" t="s">
        <v>126</v>
      </c>
      <c r="AY739" t="s">
        <v>2507</v>
      </c>
      <c r="AZ739" t="s">
        <v>245</v>
      </c>
      <c r="BA739" t="s">
        <v>310</v>
      </c>
      <c r="BB739" t="s">
        <v>244</v>
      </c>
      <c r="BC739" t="s">
        <v>244</v>
      </c>
      <c r="BD739" t="s">
        <v>2510</v>
      </c>
      <c r="BE739" t="s">
        <v>2509</v>
      </c>
      <c r="BF739" t="s">
        <v>291</v>
      </c>
      <c r="BG739" t="s">
        <v>87</v>
      </c>
      <c r="BH739" t="str">
        <f>IF(COUNTIF(工作表1!A:A, $C739)&gt;0, "預購款", "非預購款")</f>
        <v>非預購款</v>
      </c>
    </row>
    <row r="740" spans="1:60" x14ac:dyDescent="0.25">
      <c r="A740" t="s">
        <v>702</v>
      </c>
      <c r="B740" t="s">
        <v>60</v>
      </c>
      <c r="C740" t="s">
        <v>703</v>
      </c>
      <c r="D740" t="s">
        <v>704</v>
      </c>
      <c r="E740" t="s">
        <v>705</v>
      </c>
      <c r="F740" t="s">
        <v>178</v>
      </c>
      <c r="G740" t="s">
        <v>706</v>
      </c>
      <c r="H740" t="s">
        <v>119</v>
      </c>
      <c r="I740" t="s">
        <v>162</v>
      </c>
      <c r="J740" t="s">
        <v>163</v>
      </c>
      <c r="K740" t="s">
        <v>69</v>
      </c>
      <c r="L740" t="s">
        <v>707</v>
      </c>
      <c r="M740" t="s">
        <v>71</v>
      </c>
      <c r="N740" t="s">
        <v>72</v>
      </c>
      <c r="O740" t="s">
        <v>708</v>
      </c>
      <c r="P740" t="s">
        <v>709</v>
      </c>
      <c r="R740" t="s">
        <v>710</v>
      </c>
      <c r="S740" t="s">
        <v>179</v>
      </c>
      <c r="T740" t="s">
        <v>76</v>
      </c>
      <c r="U740" t="s">
        <v>383</v>
      </c>
      <c r="V740" t="s">
        <v>384</v>
      </c>
      <c r="W740">
        <v>990</v>
      </c>
      <c r="X740">
        <v>39.99</v>
      </c>
      <c r="Y740">
        <v>129</v>
      </c>
      <c r="Z740">
        <v>709000</v>
      </c>
      <c r="AA740">
        <v>480150</v>
      </c>
      <c r="AB740">
        <v>496</v>
      </c>
      <c r="AD740" t="s">
        <v>238</v>
      </c>
      <c r="AE740">
        <v>2</v>
      </c>
      <c r="AF740">
        <v>0</v>
      </c>
      <c r="AI740">
        <v>0</v>
      </c>
      <c r="AJ740">
        <v>130</v>
      </c>
      <c r="AK740">
        <v>130</v>
      </c>
      <c r="AL740">
        <v>485</v>
      </c>
      <c r="AM740">
        <v>121</v>
      </c>
      <c r="AN740">
        <v>0</v>
      </c>
      <c r="AO740">
        <v>121</v>
      </c>
      <c r="AP740" t="s">
        <v>80</v>
      </c>
      <c r="AQ740" t="s">
        <v>176</v>
      </c>
      <c r="AR740" t="s">
        <v>261</v>
      </c>
      <c r="AT740" t="s">
        <v>86</v>
      </c>
      <c r="AU740" t="s">
        <v>86</v>
      </c>
      <c r="AV740" t="s">
        <v>81</v>
      </c>
      <c r="AW740" t="s">
        <v>69</v>
      </c>
      <c r="AX740" t="s">
        <v>387</v>
      </c>
      <c r="AY740" t="s">
        <v>711</v>
      </c>
      <c r="AZ740" t="s">
        <v>244</v>
      </c>
      <c r="BA740" t="s">
        <v>244</v>
      </c>
      <c r="BB740" t="s">
        <v>243</v>
      </c>
      <c r="BC740" t="s">
        <v>245</v>
      </c>
      <c r="BD740" t="s">
        <v>712</v>
      </c>
      <c r="BE740" t="s">
        <v>2511</v>
      </c>
      <c r="BF740" t="s">
        <v>86</v>
      </c>
      <c r="BG740" t="s">
        <v>110</v>
      </c>
      <c r="BH740" t="str">
        <f>IF(COUNTIF(工作表1!A:A, $C740)&gt;0, "預購款", "非預購款")</f>
        <v>非預購款</v>
      </c>
    </row>
    <row r="741" spans="1:60" x14ac:dyDescent="0.25">
      <c r="A741" t="s">
        <v>702</v>
      </c>
      <c r="B741" t="s">
        <v>60</v>
      </c>
      <c r="C741" t="s">
        <v>703</v>
      </c>
      <c r="D741" t="s">
        <v>704</v>
      </c>
      <c r="E741" t="s">
        <v>705</v>
      </c>
      <c r="F741" t="s">
        <v>178</v>
      </c>
      <c r="G741" t="s">
        <v>706</v>
      </c>
      <c r="H741" t="s">
        <v>130</v>
      </c>
      <c r="I741" t="s">
        <v>162</v>
      </c>
      <c r="J741" t="s">
        <v>163</v>
      </c>
      <c r="K741" t="s">
        <v>69</v>
      </c>
      <c r="L741" t="s">
        <v>707</v>
      </c>
      <c r="M741" t="s">
        <v>71</v>
      </c>
      <c r="N741" t="s">
        <v>72</v>
      </c>
      <c r="O741" t="s">
        <v>708</v>
      </c>
      <c r="P741" t="s">
        <v>709</v>
      </c>
      <c r="R741" t="s">
        <v>710</v>
      </c>
      <c r="S741" t="s">
        <v>179</v>
      </c>
      <c r="T741" t="s">
        <v>76</v>
      </c>
      <c r="U741" t="s">
        <v>383</v>
      </c>
      <c r="V741" t="s">
        <v>384</v>
      </c>
      <c r="W741">
        <v>990</v>
      </c>
      <c r="X741">
        <v>39.99</v>
      </c>
      <c r="Y741">
        <v>129</v>
      </c>
      <c r="Z741">
        <v>709000</v>
      </c>
      <c r="AA741">
        <v>480150</v>
      </c>
      <c r="AB741">
        <v>496</v>
      </c>
      <c r="AD741" t="s">
        <v>238</v>
      </c>
      <c r="AE741">
        <v>2</v>
      </c>
      <c r="AF741">
        <v>0</v>
      </c>
      <c r="AI741">
        <v>0</v>
      </c>
      <c r="AJ741">
        <v>90</v>
      </c>
      <c r="AK741">
        <v>90</v>
      </c>
      <c r="AL741">
        <v>485</v>
      </c>
      <c r="AM741">
        <v>81</v>
      </c>
      <c r="AN741">
        <v>0</v>
      </c>
      <c r="AO741">
        <v>81</v>
      </c>
      <c r="AP741" t="s">
        <v>80</v>
      </c>
      <c r="AQ741" t="s">
        <v>176</v>
      </c>
      <c r="AR741" t="s">
        <v>261</v>
      </c>
      <c r="AT741" t="s">
        <v>86</v>
      </c>
      <c r="AU741" t="s">
        <v>86</v>
      </c>
      <c r="AV741" t="s">
        <v>81</v>
      </c>
      <c r="AW741" t="s">
        <v>69</v>
      </c>
      <c r="AX741" t="s">
        <v>387</v>
      </c>
      <c r="AY741" t="s">
        <v>711</v>
      </c>
      <c r="AZ741" t="s">
        <v>244</v>
      </c>
      <c r="BA741" t="s">
        <v>244</v>
      </c>
      <c r="BB741" t="s">
        <v>243</v>
      </c>
      <c r="BC741" t="s">
        <v>245</v>
      </c>
      <c r="BD741" t="s">
        <v>714</v>
      </c>
      <c r="BE741" t="s">
        <v>2511</v>
      </c>
      <c r="BF741" t="s">
        <v>86</v>
      </c>
      <c r="BG741" t="s">
        <v>110</v>
      </c>
      <c r="BH741" t="str">
        <f>IF(COUNTIF(工作表1!A:A, $C741)&gt;0, "預購款", "非預購款")</f>
        <v>非預購款</v>
      </c>
    </row>
    <row r="742" spans="1:60" x14ac:dyDescent="0.25">
      <c r="A742" t="s">
        <v>702</v>
      </c>
      <c r="B742" t="s">
        <v>60</v>
      </c>
      <c r="C742" t="s">
        <v>703</v>
      </c>
      <c r="D742" t="s">
        <v>704</v>
      </c>
      <c r="E742" t="s">
        <v>705</v>
      </c>
      <c r="F742" t="s">
        <v>178</v>
      </c>
      <c r="G742" t="s">
        <v>706</v>
      </c>
      <c r="H742" t="s">
        <v>132</v>
      </c>
      <c r="I742" t="s">
        <v>162</v>
      </c>
      <c r="J742" t="s">
        <v>163</v>
      </c>
      <c r="K742" t="s">
        <v>69</v>
      </c>
      <c r="L742" t="s">
        <v>707</v>
      </c>
      <c r="M742" t="s">
        <v>71</v>
      </c>
      <c r="N742" t="s">
        <v>72</v>
      </c>
      <c r="O742" t="s">
        <v>708</v>
      </c>
      <c r="P742" t="s">
        <v>709</v>
      </c>
      <c r="R742" t="s">
        <v>710</v>
      </c>
      <c r="S742" t="s">
        <v>179</v>
      </c>
      <c r="T742" t="s">
        <v>76</v>
      </c>
      <c r="U742" t="s">
        <v>383</v>
      </c>
      <c r="V742" t="s">
        <v>384</v>
      </c>
      <c r="W742">
        <v>990</v>
      </c>
      <c r="X742">
        <v>39.99</v>
      </c>
      <c r="Y742">
        <v>129</v>
      </c>
      <c r="Z742">
        <v>709000</v>
      </c>
      <c r="AA742">
        <v>480150</v>
      </c>
      <c r="AB742">
        <v>496</v>
      </c>
      <c r="AD742" t="s">
        <v>238</v>
      </c>
      <c r="AE742">
        <v>2</v>
      </c>
      <c r="AF742">
        <v>0</v>
      </c>
      <c r="AI742">
        <v>0</v>
      </c>
      <c r="AJ742">
        <v>40</v>
      </c>
      <c r="AK742">
        <v>40</v>
      </c>
      <c r="AL742">
        <v>485</v>
      </c>
      <c r="AM742">
        <v>39</v>
      </c>
      <c r="AN742">
        <v>0</v>
      </c>
      <c r="AO742">
        <v>39</v>
      </c>
      <c r="AP742" t="s">
        <v>80</v>
      </c>
      <c r="AQ742" t="s">
        <v>176</v>
      </c>
      <c r="AR742" t="s">
        <v>261</v>
      </c>
      <c r="AT742" t="s">
        <v>86</v>
      </c>
      <c r="AU742" t="s">
        <v>86</v>
      </c>
      <c r="AV742" t="s">
        <v>81</v>
      </c>
      <c r="AW742" t="s">
        <v>69</v>
      </c>
      <c r="AX742" t="s">
        <v>387</v>
      </c>
      <c r="AY742" t="s">
        <v>711</v>
      </c>
      <c r="AZ742" t="s">
        <v>244</v>
      </c>
      <c r="BA742" t="s">
        <v>244</v>
      </c>
      <c r="BB742" t="s">
        <v>243</v>
      </c>
      <c r="BC742" t="s">
        <v>245</v>
      </c>
      <c r="BD742" t="s">
        <v>715</v>
      </c>
      <c r="BE742" t="s">
        <v>2511</v>
      </c>
      <c r="BF742" t="s">
        <v>86</v>
      </c>
      <c r="BG742" t="s">
        <v>110</v>
      </c>
      <c r="BH742" t="str">
        <f>IF(COUNTIF(工作表1!A:A, $C742)&gt;0, "預購款", "非預購款")</f>
        <v>非預購款</v>
      </c>
    </row>
    <row r="743" spans="1:60" x14ac:dyDescent="0.25">
      <c r="A743" t="s">
        <v>702</v>
      </c>
      <c r="B743" t="s">
        <v>60</v>
      </c>
      <c r="C743" t="s">
        <v>703</v>
      </c>
      <c r="D743" t="s">
        <v>704</v>
      </c>
      <c r="E743" t="s">
        <v>705</v>
      </c>
      <c r="F743" t="s">
        <v>178</v>
      </c>
      <c r="G743" t="s">
        <v>706</v>
      </c>
      <c r="H743" t="s">
        <v>119</v>
      </c>
      <c r="I743" t="s">
        <v>88</v>
      </c>
      <c r="J743" t="s">
        <v>89</v>
      </c>
      <c r="K743" t="s">
        <v>69</v>
      </c>
      <c r="L743" t="s">
        <v>707</v>
      </c>
      <c r="M743" t="s">
        <v>71</v>
      </c>
      <c r="N743" t="s">
        <v>72</v>
      </c>
      <c r="O743" t="s">
        <v>708</v>
      </c>
      <c r="P743" t="s">
        <v>709</v>
      </c>
      <c r="R743" t="s">
        <v>710</v>
      </c>
      <c r="S743" t="s">
        <v>179</v>
      </c>
      <c r="T743" t="s">
        <v>76</v>
      </c>
      <c r="U743" t="s">
        <v>383</v>
      </c>
      <c r="V743" t="s">
        <v>384</v>
      </c>
      <c r="W743">
        <v>990</v>
      </c>
      <c r="X743">
        <v>39.99</v>
      </c>
      <c r="Y743">
        <v>129</v>
      </c>
      <c r="Z743">
        <v>709000</v>
      </c>
      <c r="AA743">
        <v>480150</v>
      </c>
      <c r="AB743">
        <v>496</v>
      </c>
      <c r="AD743" t="s">
        <v>238</v>
      </c>
      <c r="AE743">
        <v>2</v>
      </c>
      <c r="AF743">
        <v>0</v>
      </c>
      <c r="AI743">
        <v>0</v>
      </c>
      <c r="AJ743">
        <v>85</v>
      </c>
      <c r="AK743">
        <v>85</v>
      </c>
      <c r="AL743">
        <v>485</v>
      </c>
      <c r="AM743">
        <v>81</v>
      </c>
      <c r="AN743">
        <v>0</v>
      </c>
      <c r="AO743">
        <v>81</v>
      </c>
      <c r="AP743" t="s">
        <v>80</v>
      </c>
      <c r="AQ743" t="s">
        <v>176</v>
      </c>
      <c r="AR743" t="s">
        <v>261</v>
      </c>
      <c r="AT743" t="s">
        <v>86</v>
      </c>
      <c r="AU743" t="s">
        <v>86</v>
      </c>
      <c r="AV743" t="s">
        <v>81</v>
      </c>
      <c r="AW743" t="s">
        <v>69</v>
      </c>
      <c r="AX743" t="s">
        <v>387</v>
      </c>
      <c r="AY743" t="s">
        <v>711</v>
      </c>
      <c r="AZ743" t="s">
        <v>244</v>
      </c>
      <c r="BA743" t="s">
        <v>244</v>
      </c>
      <c r="BB743" t="s">
        <v>243</v>
      </c>
      <c r="BC743" t="s">
        <v>245</v>
      </c>
      <c r="BD743" t="s">
        <v>716</v>
      </c>
      <c r="BE743" t="s">
        <v>2511</v>
      </c>
      <c r="BF743" t="s">
        <v>86</v>
      </c>
      <c r="BG743" t="s">
        <v>110</v>
      </c>
      <c r="BH743" t="str">
        <f>IF(COUNTIF(工作表1!A:A, $C743)&gt;0, "預購款", "非預購款")</f>
        <v>非預購款</v>
      </c>
    </row>
    <row r="744" spans="1:60" x14ac:dyDescent="0.25">
      <c r="A744" t="s">
        <v>702</v>
      </c>
      <c r="B744" t="s">
        <v>60</v>
      </c>
      <c r="C744" t="s">
        <v>703</v>
      </c>
      <c r="D744" t="s">
        <v>704</v>
      </c>
      <c r="E744" t="s">
        <v>705</v>
      </c>
      <c r="F744" t="s">
        <v>178</v>
      </c>
      <c r="G744" t="s">
        <v>706</v>
      </c>
      <c r="H744" t="s">
        <v>130</v>
      </c>
      <c r="I744" t="s">
        <v>88</v>
      </c>
      <c r="J744" t="s">
        <v>89</v>
      </c>
      <c r="K744" t="s">
        <v>69</v>
      </c>
      <c r="L744" t="s">
        <v>707</v>
      </c>
      <c r="M744" t="s">
        <v>71</v>
      </c>
      <c r="N744" t="s">
        <v>72</v>
      </c>
      <c r="O744" t="s">
        <v>708</v>
      </c>
      <c r="P744" t="s">
        <v>709</v>
      </c>
      <c r="R744" t="s">
        <v>710</v>
      </c>
      <c r="S744" t="s">
        <v>179</v>
      </c>
      <c r="T744" t="s">
        <v>76</v>
      </c>
      <c r="U744" t="s">
        <v>383</v>
      </c>
      <c r="V744" t="s">
        <v>384</v>
      </c>
      <c r="W744">
        <v>990</v>
      </c>
      <c r="X744">
        <v>39.99</v>
      </c>
      <c r="Y744">
        <v>129</v>
      </c>
      <c r="Z744">
        <v>709000</v>
      </c>
      <c r="AA744">
        <v>480150</v>
      </c>
      <c r="AB744">
        <v>496</v>
      </c>
      <c r="AD744" t="s">
        <v>238</v>
      </c>
      <c r="AE744">
        <v>2</v>
      </c>
      <c r="AF744">
        <v>0</v>
      </c>
      <c r="AI744">
        <v>10</v>
      </c>
      <c r="AJ744">
        <v>70</v>
      </c>
      <c r="AK744">
        <v>80</v>
      </c>
      <c r="AL744">
        <v>485</v>
      </c>
      <c r="AM744">
        <v>79</v>
      </c>
      <c r="AN744">
        <v>0</v>
      </c>
      <c r="AO744">
        <v>79</v>
      </c>
      <c r="AP744" t="s">
        <v>80</v>
      </c>
      <c r="AQ744" t="s">
        <v>176</v>
      </c>
      <c r="AR744" t="s">
        <v>261</v>
      </c>
      <c r="AT744" t="s">
        <v>86</v>
      </c>
      <c r="AU744" t="s">
        <v>86</v>
      </c>
      <c r="AV744" t="s">
        <v>81</v>
      </c>
      <c r="AW744" t="s">
        <v>69</v>
      </c>
      <c r="AX744" t="s">
        <v>387</v>
      </c>
      <c r="AY744" t="s">
        <v>711</v>
      </c>
      <c r="AZ744" t="s">
        <v>244</v>
      </c>
      <c r="BA744" t="s">
        <v>244</v>
      </c>
      <c r="BB744" t="s">
        <v>243</v>
      </c>
      <c r="BC744" t="s">
        <v>245</v>
      </c>
      <c r="BD744" t="s">
        <v>717</v>
      </c>
      <c r="BE744" t="s">
        <v>2511</v>
      </c>
      <c r="BF744" t="s">
        <v>86</v>
      </c>
      <c r="BG744" t="s">
        <v>110</v>
      </c>
      <c r="BH744" t="str">
        <f>IF(COUNTIF(工作表1!A:A, $C744)&gt;0, "預購款", "非預購款")</f>
        <v>非預購款</v>
      </c>
    </row>
    <row r="745" spans="1:60" x14ac:dyDescent="0.25">
      <c r="A745" t="s">
        <v>702</v>
      </c>
      <c r="B745" t="s">
        <v>60</v>
      </c>
      <c r="C745" t="s">
        <v>703</v>
      </c>
      <c r="D745" t="s">
        <v>704</v>
      </c>
      <c r="E745" t="s">
        <v>705</v>
      </c>
      <c r="F745" t="s">
        <v>178</v>
      </c>
      <c r="G745" t="s">
        <v>706</v>
      </c>
      <c r="H745" t="s">
        <v>132</v>
      </c>
      <c r="I745" t="s">
        <v>88</v>
      </c>
      <c r="J745" t="s">
        <v>89</v>
      </c>
      <c r="K745" t="s">
        <v>69</v>
      </c>
      <c r="L745" t="s">
        <v>707</v>
      </c>
      <c r="M745" t="s">
        <v>71</v>
      </c>
      <c r="N745" t="s">
        <v>72</v>
      </c>
      <c r="O745" t="s">
        <v>708</v>
      </c>
      <c r="P745" t="s">
        <v>709</v>
      </c>
      <c r="R745" t="s">
        <v>710</v>
      </c>
      <c r="S745" t="s">
        <v>179</v>
      </c>
      <c r="T745" t="s">
        <v>76</v>
      </c>
      <c r="U745" t="s">
        <v>383</v>
      </c>
      <c r="V745" t="s">
        <v>384</v>
      </c>
      <c r="W745">
        <v>990</v>
      </c>
      <c r="X745">
        <v>39.99</v>
      </c>
      <c r="Y745">
        <v>129</v>
      </c>
      <c r="Z745">
        <v>709000</v>
      </c>
      <c r="AA745">
        <v>480150</v>
      </c>
      <c r="AB745">
        <v>496</v>
      </c>
      <c r="AD745" t="s">
        <v>238</v>
      </c>
      <c r="AE745">
        <v>2</v>
      </c>
      <c r="AF745">
        <v>0</v>
      </c>
      <c r="AI745">
        <v>15</v>
      </c>
      <c r="AJ745">
        <v>45</v>
      </c>
      <c r="AK745">
        <v>60</v>
      </c>
      <c r="AL745">
        <v>485</v>
      </c>
      <c r="AM745">
        <v>58</v>
      </c>
      <c r="AN745">
        <v>0</v>
      </c>
      <c r="AO745">
        <v>58</v>
      </c>
      <c r="AP745" t="s">
        <v>80</v>
      </c>
      <c r="AQ745" t="s">
        <v>176</v>
      </c>
      <c r="AR745" t="s">
        <v>261</v>
      </c>
      <c r="AT745" t="s">
        <v>86</v>
      </c>
      <c r="AU745" t="s">
        <v>86</v>
      </c>
      <c r="AV745" t="s">
        <v>81</v>
      </c>
      <c r="AW745" t="s">
        <v>69</v>
      </c>
      <c r="AX745" t="s">
        <v>387</v>
      </c>
      <c r="AY745" t="s">
        <v>711</v>
      </c>
      <c r="AZ745" t="s">
        <v>244</v>
      </c>
      <c r="BA745" t="s">
        <v>244</v>
      </c>
      <c r="BB745" t="s">
        <v>243</v>
      </c>
      <c r="BC745" t="s">
        <v>245</v>
      </c>
      <c r="BD745" t="s">
        <v>718</v>
      </c>
      <c r="BE745" t="s">
        <v>2511</v>
      </c>
      <c r="BF745" t="s">
        <v>86</v>
      </c>
      <c r="BG745" t="s">
        <v>110</v>
      </c>
      <c r="BH745" t="str">
        <f>IF(COUNTIF(工作表1!A:A, $C745)&gt;0, "預購款", "非預購款")</f>
        <v>非預購款</v>
      </c>
    </row>
    <row r="746" spans="1:60" x14ac:dyDescent="0.25">
      <c r="A746" t="s">
        <v>2536</v>
      </c>
      <c r="B746" t="s">
        <v>315</v>
      </c>
      <c r="C746" t="s">
        <v>2537</v>
      </c>
      <c r="D746" t="s">
        <v>2538</v>
      </c>
      <c r="E746" t="s">
        <v>2539</v>
      </c>
      <c r="F746" t="s">
        <v>1893</v>
      </c>
      <c r="G746" t="s">
        <v>2540</v>
      </c>
      <c r="H746" t="s">
        <v>119</v>
      </c>
      <c r="I746" t="s">
        <v>120</v>
      </c>
      <c r="J746" t="s">
        <v>121</v>
      </c>
      <c r="K746" t="s">
        <v>69</v>
      </c>
      <c r="L746" t="s">
        <v>2541</v>
      </c>
      <c r="M746" t="s">
        <v>71</v>
      </c>
      <c r="N746" t="s">
        <v>198</v>
      </c>
      <c r="O746" t="s">
        <v>2306</v>
      </c>
      <c r="P746" t="s">
        <v>2307</v>
      </c>
      <c r="R746" t="s">
        <v>2518</v>
      </c>
      <c r="S746" t="s">
        <v>1597</v>
      </c>
      <c r="T746" t="s">
        <v>76</v>
      </c>
      <c r="U746" t="s">
        <v>104</v>
      </c>
      <c r="V746" t="s">
        <v>653</v>
      </c>
      <c r="W746">
        <v>890</v>
      </c>
      <c r="X746">
        <v>39.99</v>
      </c>
      <c r="Y746">
        <v>115</v>
      </c>
      <c r="Z746">
        <v>639000</v>
      </c>
      <c r="AA746">
        <v>550020</v>
      </c>
      <c r="AB746">
        <v>150</v>
      </c>
      <c r="AD746" t="s">
        <v>238</v>
      </c>
      <c r="AE746">
        <v>2</v>
      </c>
      <c r="AF746">
        <v>0</v>
      </c>
      <c r="AI746">
        <v>30</v>
      </c>
      <c r="AJ746">
        <v>60</v>
      </c>
      <c r="AK746">
        <v>90</v>
      </c>
      <c r="AL746">
        <v>618</v>
      </c>
      <c r="AM746">
        <v>100</v>
      </c>
      <c r="AN746">
        <v>0</v>
      </c>
      <c r="AO746">
        <v>100</v>
      </c>
      <c r="AP746" t="s">
        <v>80</v>
      </c>
      <c r="AQ746" t="s">
        <v>184</v>
      </c>
      <c r="AR746" t="s">
        <v>86</v>
      </c>
      <c r="AS746" t="s">
        <v>86</v>
      </c>
      <c r="AT746" t="s">
        <v>86</v>
      </c>
      <c r="AU746" t="s">
        <v>86</v>
      </c>
      <c r="AV746" t="s">
        <v>2519</v>
      </c>
      <c r="AW746" t="s">
        <v>69</v>
      </c>
      <c r="AX746" t="s">
        <v>2542</v>
      </c>
      <c r="AY746" t="s">
        <v>2543</v>
      </c>
      <c r="AZ746" t="s">
        <v>243</v>
      </c>
      <c r="BA746" t="s">
        <v>244</v>
      </c>
      <c r="BB746" t="s">
        <v>244</v>
      </c>
      <c r="BC746" t="s">
        <v>244</v>
      </c>
      <c r="BD746" t="s">
        <v>2544</v>
      </c>
      <c r="BE746" t="s">
        <v>2545</v>
      </c>
      <c r="BF746" t="s">
        <v>786</v>
      </c>
      <c r="BG746" t="s">
        <v>150</v>
      </c>
      <c r="BH746" t="str">
        <f>IF(COUNTIF(工作表1!A:A, $C746)&gt;0, "預購款", "非預購款")</f>
        <v>預購款</v>
      </c>
    </row>
    <row r="747" spans="1:60" x14ac:dyDescent="0.25">
      <c r="A747" t="s">
        <v>2536</v>
      </c>
      <c r="B747" t="s">
        <v>315</v>
      </c>
      <c r="C747" t="s">
        <v>2537</v>
      </c>
      <c r="D747" t="s">
        <v>2538</v>
      </c>
      <c r="E747" t="s">
        <v>2539</v>
      </c>
      <c r="F747" t="s">
        <v>1893</v>
      </c>
      <c r="G747" t="s">
        <v>2540</v>
      </c>
      <c r="H747" t="s">
        <v>130</v>
      </c>
      <c r="I747" t="s">
        <v>120</v>
      </c>
      <c r="J747" t="s">
        <v>121</v>
      </c>
      <c r="K747" t="s">
        <v>69</v>
      </c>
      <c r="L747" t="s">
        <v>2541</v>
      </c>
      <c r="M747" t="s">
        <v>71</v>
      </c>
      <c r="N747" t="s">
        <v>198</v>
      </c>
      <c r="O747" t="s">
        <v>2306</v>
      </c>
      <c r="P747" t="s">
        <v>2307</v>
      </c>
      <c r="R747" t="s">
        <v>2518</v>
      </c>
      <c r="S747" t="s">
        <v>1597</v>
      </c>
      <c r="T747" t="s">
        <v>76</v>
      </c>
      <c r="U747" t="s">
        <v>104</v>
      </c>
      <c r="V747" t="s">
        <v>653</v>
      </c>
      <c r="W747">
        <v>890</v>
      </c>
      <c r="X747">
        <v>39.99</v>
      </c>
      <c r="Y747">
        <v>115</v>
      </c>
      <c r="Z747">
        <v>639000</v>
      </c>
      <c r="AA747">
        <v>550020</v>
      </c>
      <c r="AB747">
        <v>150</v>
      </c>
      <c r="AD747" t="s">
        <v>238</v>
      </c>
      <c r="AE747">
        <v>2</v>
      </c>
      <c r="AF747">
        <v>0</v>
      </c>
      <c r="AI747">
        <v>40</v>
      </c>
      <c r="AJ747">
        <v>70</v>
      </c>
      <c r="AK747">
        <v>110</v>
      </c>
      <c r="AL747">
        <v>618</v>
      </c>
      <c r="AM747">
        <v>119</v>
      </c>
      <c r="AN747">
        <v>0</v>
      </c>
      <c r="AO747">
        <v>119</v>
      </c>
      <c r="AP747" t="s">
        <v>80</v>
      </c>
      <c r="AQ747" t="s">
        <v>184</v>
      </c>
      <c r="AR747" t="s">
        <v>86</v>
      </c>
      <c r="AS747" t="s">
        <v>86</v>
      </c>
      <c r="AT747" t="s">
        <v>86</v>
      </c>
      <c r="AU747" t="s">
        <v>86</v>
      </c>
      <c r="AV747" t="s">
        <v>2519</v>
      </c>
      <c r="AW747" t="s">
        <v>69</v>
      </c>
      <c r="AX747" t="s">
        <v>2542</v>
      </c>
      <c r="AY747" t="s">
        <v>2543</v>
      </c>
      <c r="AZ747" t="s">
        <v>243</v>
      </c>
      <c r="BA747" t="s">
        <v>244</v>
      </c>
      <c r="BB747" t="s">
        <v>244</v>
      </c>
      <c r="BC747" t="s">
        <v>244</v>
      </c>
      <c r="BD747" t="s">
        <v>2546</v>
      </c>
      <c r="BE747" t="s">
        <v>2545</v>
      </c>
      <c r="BF747" t="s">
        <v>786</v>
      </c>
      <c r="BG747" t="s">
        <v>150</v>
      </c>
      <c r="BH747" t="str">
        <f>IF(COUNTIF(工作表1!A:A, $C747)&gt;0, "預購款", "非預購款")</f>
        <v>預購款</v>
      </c>
    </row>
    <row r="748" spans="1:60" x14ac:dyDescent="0.25">
      <c r="A748" t="s">
        <v>2536</v>
      </c>
      <c r="B748" t="s">
        <v>315</v>
      </c>
      <c r="C748" t="s">
        <v>2537</v>
      </c>
      <c r="D748" t="s">
        <v>2538</v>
      </c>
      <c r="E748" t="s">
        <v>2539</v>
      </c>
      <c r="F748" t="s">
        <v>1893</v>
      </c>
      <c r="G748" t="s">
        <v>2540</v>
      </c>
      <c r="H748" t="s">
        <v>132</v>
      </c>
      <c r="I748" t="s">
        <v>120</v>
      </c>
      <c r="J748" t="s">
        <v>121</v>
      </c>
      <c r="K748" t="s">
        <v>69</v>
      </c>
      <c r="L748" t="s">
        <v>2541</v>
      </c>
      <c r="M748" t="s">
        <v>71</v>
      </c>
      <c r="N748" t="s">
        <v>198</v>
      </c>
      <c r="O748" t="s">
        <v>2306</v>
      </c>
      <c r="P748" t="s">
        <v>2307</v>
      </c>
      <c r="R748" t="s">
        <v>2518</v>
      </c>
      <c r="S748" t="s">
        <v>1597</v>
      </c>
      <c r="T748" t="s">
        <v>76</v>
      </c>
      <c r="U748" t="s">
        <v>104</v>
      </c>
      <c r="V748" t="s">
        <v>653</v>
      </c>
      <c r="W748">
        <v>890</v>
      </c>
      <c r="X748">
        <v>39.99</v>
      </c>
      <c r="Y748">
        <v>115</v>
      </c>
      <c r="Z748">
        <v>639000</v>
      </c>
      <c r="AA748">
        <v>550020</v>
      </c>
      <c r="AB748">
        <v>150</v>
      </c>
      <c r="AD748" t="s">
        <v>238</v>
      </c>
      <c r="AE748">
        <v>2</v>
      </c>
      <c r="AF748">
        <v>0</v>
      </c>
      <c r="AI748">
        <v>10</v>
      </c>
      <c r="AJ748">
        <v>40</v>
      </c>
      <c r="AK748">
        <v>50</v>
      </c>
      <c r="AL748">
        <v>618</v>
      </c>
      <c r="AM748">
        <v>52</v>
      </c>
      <c r="AN748">
        <v>0</v>
      </c>
      <c r="AO748">
        <v>52</v>
      </c>
      <c r="AP748" t="s">
        <v>80</v>
      </c>
      <c r="AQ748" t="s">
        <v>184</v>
      </c>
      <c r="AR748" t="s">
        <v>86</v>
      </c>
      <c r="AS748" t="s">
        <v>86</v>
      </c>
      <c r="AT748" t="s">
        <v>86</v>
      </c>
      <c r="AU748" t="s">
        <v>86</v>
      </c>
      <c r="AV748" t="s">
        <v>2519</v>
      </c>
      <c r="AW748" t="s">
        <v>69</v>
      </c>
      <c r="AX748" t="s">
        <v>2542</v>
      </c>
      <c r="AY748" t="s">
        <v>2543</v>
      </c>
      <c r="AZ748" t="s">
        <v>243</v>
      </c>
      <c r="BA748" t="s">
        <v>244</v>
      </c>
      <c r="BB748" t="s">
        <v>244</v>
      </c>
      <c r="BC748" t="s">
        <v>244</v>
      </c>
      <c r="BD748" t="s">
        <v>2547</v>
      </c>
      <c r="BE748" t="s">
        <v>2545</v>
      </c>
      <c r="BF748" t="s">
        <v>786</v>
      </c>
      <c r="BG748" t="s">
        <v>150</v>
      </c>
      <c r="BH748" t="str">
        <f>IF(COUNTIF(工作表1!A:A, $C748)&gt;0, "預購款", "非預購款")</f>
        <v>預購款</v>
      </c>
    </row>
    <row r="749" spans="1:60" x14ac:dyDescent="0.25">
      <c r="A749" t="s">
        <v>2536</v>
      </c>
      <c r="B749" t="s">
        <v>315</v>
      </c>
      <c r="C749" t="s">
        <v>2537</v>
      </c>
      <c r="D749" t="s">
        <v>2538</v>
      </c>
      <c r="E749" t="s">
        <v>2539</v>
      </c>
      <c r="F749" t="s">
        <v>1893</v>
      </c>
      <c r="G749" t="s">
        <v>2540</v>
      </c>
      <c r="H749" t="s">
        <v>119</v>
      </c>
      <c r="I749" t="s">
        <v>162</v>
      </c>
      <c r="J749" t="s">
        <v>163</v>
      </c>
      <c r="K749" t="s">
        <v>69</v>
      </c>
      <c r="L749" t="s">
        <v>2541</v>
      </c>
      <c r="M749" t="s">
        <v>71</v>
      </c>
      <c r="N749" t="s">
        <v>198</v>
      </c>
      <c r="O749" t="s">
        <v>2306</v>
      </c>
      <c r="P749" t="s">
        <v>2307</v>
      </c>
      <c r="R749" t="s">
        <v>2518</v>
      </c>
      <c r="S749" t="s">
        <v>1597</v>
      </c>
      <c r="T749" t="s">
        <v>76</v>
      </c>
      <c r="U749" t="s">
        <v>104</v>
      </c>
      <c r="V749" t="s">
        <v>653</v>
      </c>
      <c r="W749">
        <v>890</v>
      </c>
      <c r="X749">
        <v>39.99</v>
      </c>
      <c r="Y749">
        <v>115</v>
      </c>
      <c r="Z749">
        <v>639000</v>
      </c>
      <c r="AA749">
        <v>550020</v>
      </c>
      <c r="AB749">
        <v>150</v>
      </c>
      <c r="AD749" t="s">
        <v>238</v>
      </c>
      <c r="AE749">
        <v>2</v>
      </c>
      <c r="AF749">
        <v>8</v>
      </c>
      <c r="AI749">
        <v>40</v>
      </c>
      <c r="AJ749">
        <v>130</v>
      </c>
      <c r="AK749">
        <v>178</v>
      </c>
      <c r="AL749">
        <v>618</v>
      </c>
      <c r="AM749">
        <v>181</v>
      </c>
      <c r="AN749">
        <v>0</v>
      </c>
      <c r="AO749">
        <v>181</v>
      </c>
      <c r="AP749" t="s">
        <v>80</v>
      </c>
      <c r="AQ749" t="s">
        <v>184</v>
      </c>
      <c r="AR749" t="s">
        <v>86</v>
      </c>
      <c r="AS749" t="s">
        <v>86</v>
      </c>
      <c r="AT749" t="s">
        <v>86</v>
      </c>
      <c r="AU749" t="s">
        <v>86</v>
      </c>
      <c r="AV749" t="s">
        <v>2519</v>
      </c>
      <c r="AW749" t="s">
        <v>69</v>
      </c>
      <c r="AX749" t="s">
        <v>2542</v>
      </c>
      <c r="AY749" t="s">
        <v>2543</v>
      </c>
      <c r="AZ749" t="s">
        <v>243</v>
      </c>
      <c r="BA749" t="s">
        <v>244</v>
      </c>
      <c r="BB749" t="s">
        <v>244</v>
      </c>
      <c r="BC749" t="s">
        <v>244</v>
      </c>
      <c r="BD749" t="s">
        <v>2548</v>
      </c>
      <c r="BE749" t="s">
        <v>2545</v>
      </c>
      <c r="BF749" t="s">
        <v>786</v>
      </c>
      <c r="BG749" t="s">
        <v>150</v>
      </c>
      <c r="BH749" t="str">
        <f>IF(COUNTIF(工作表1!A:A, $C749)&gt;0, "預購款", "非預購款")</f>
        <v>預購款</v>
      </c>
    </row>
    <row r="750" spans="1:60" x14ac:dyDescent="0.25">
      <c r="A750" t="s">
        <v>2536</v>
      </c>
      <c r="B750" t="s">
        <v>315</v>
      </c>
      <c r="C750" t="s">
        <v>2537</v>
      </c>
      <c r="D750" t="s">
        <v>2538</v>
      </c>
      <c r="E750" t="s">
        <v>2539</v>
      </c>
      <c r="F750" t="s">
        <v>1893</v>
      </c>
      <c r="G750" t="s">
        <v>2540</v>
      </c>
      <c r="H750" t="s">
        <v>130</v>
      </c>
      <c r="I750" t="s">
        <v>162</v>
      </c>
      <c r="J750" t="s">
        <v>163</v>
      </c>
      <c r="K750" t="s">
        <v>69</v>
      </c>
      <c r="L750" t="s">
        <v>2541</v>
      </c>
      <c r="M750" t="s">
        <v>71</v>
      </c>
      <c r="N750" t="s">
        <v>198</v>
      </c>
      <c r="O750" t="s">
        <v>2306</v>
      </c>
      <c r="P750" t="s">
        <v>2307</v>
      </c>
      <c r="R750" t="s">
        <v>2518</v>
      </c>
      <c r="S750" t="s">
        <v>1597</v>
      </c>
      <c r="T750" t="s">
        <v>76</v>
      </c>
      <c r="U750" t="s">
        <v>104</v>
      </c>
      <c r="V750" t="s">
        <v>653</v>
      </c>
      <c r="W750">
        <v>890</v>
      </c>
      <c r="X750">
        <v>39.99</v>
      </c>
      <c r="Y750">
        <v>115</v>
      </c>
      <c r="Z750">
        <v>639000</v>
      </c>
      <c r="AA750">
        <v>550020</v>
      </c>
      <c r="AB750">
        <v>150</v>
      </c>
      <c r="AD750" t="s">
        <v>238</v>
      </c>
      <c r="AE750">
        <v>2</v>
      </c>
      <c r="AF750">
        <v>5</v>
      </c>
      <c r="AI750">
        <v>25</v>
      </c>
      <c r="AJ750">
        <v>90</v>
      </c>
      <c r="AK750">
        <v>120</v>
      </c>
      <c r="AL750">
        <v>618</v>
      </c>
      <c r="AM750">
        <v>128</v>
      </c>
      <c r="AN750">
        <v>0</v>
      </c>
      <c r="AO750">
        <v>128</v>
      </c>
      <c r="AP750" t="s">
        <v>80</v>
      </c>
      <c r="AQ750" t="s">
        <v>184</v>
      </c>
      <c r="AR750" t="s">
        <v>86</v>
      </c>
      <c r="AS750" t="s">
        <v>86</v>
      </c>
      <c r="AT750" t="s">
        <v>86</v>
      </c>
      <c r="AU750" t="s">
        <v>86</v>
      </c>
      <c r="AV750" t="s">
        <v>2519</v>
      </c>
      <c r="AW750" t="s">
        <v>69</v>
      </c>
      <c r="AX750" t="s">
        <v>2542</v>
      </c>
      <c r="AY750" t="s">
        <v>2543</v>
      </c>
      <c r="AZ750" t="s">
        <v>243</v>
      </c>
      <c r="BA750" t="s">
        <v>244</v>
      </c>
      <c r="BB750" t="s">
        <v>244</v>
      </c>
      <c r="BC750" t="s">
        <v>244</v>
      </c>
      <c r="BD750" t="s">
        <v>2549</v>
      </c>
      <c r="BE750" t="s">
        <v>2545</v>
      </c>
      <c r="BF750" t="s">
        <v>786</v>
      </c>
      <c r="BG750" t="s">
        <v>150</v>
      </c>
      <c r="BH750" t="str">
        <f>IF(COUNTIF(工作表1!A:A, $C750)&gt;0, "預購款", "非預購款")</f>
        <v>預購款</v>
      </c>
    </row>
    <row r="751" spans="1:60" x14ac:dyDescent="0.25">
      <c r="A751" t="s">
        <v>2536</v>
      </c>
      <c r="B751" t="s">
        <v>315</v>
      </c>
      <c r="C751" t="s">
        <v>2537</v>
      </c>
      <c r="D751" t="s">
        <v>2538</v>
      </c>
      <c r="E751" t="s">
        <v>2539</v>
      </c>
      <c r="F751" t="s">
        <v>1893</v>
      </c>
      <c r="G751" t="s">
        <v>2540</v>
      </c>
      <c r="H751" t="s">
        <v>132</v>
      </c>
      <c r="I751" t="s">
        <v>162</v>
      </c>
      <c r="J751" t="s">
        <v>163</v>
      </c>
      <c r="K751" t="s">
        <v>69</v>
      </c>
      <c r="L751" t="s">
        <v>2541</v>
      </c>
      <c r="M751" t="s">
        <v>71</v>
      </c>
      <c r="N751" t="s">
        <v>198</v>
      </c>
      <c r="O751" t="s">
        <v>2306</v>
      </c>
      <c r="P751" t="s">
        <v>2307</v>
      </c>
      <c r="R751" t="s">
        <v>2518</v>
      </c>
      <c r="S751" t="s">
        <v>1597</v>
      </c>
      <c r="T751" t="s">
        <v>76</v>
      </c>
      <c r="U751" t="s">
        <v>104</v>
      </c>
      <c r="V751" t="s">
        <v>653</v>
      </c>
      <c r="W751">
        <v>890</v>
      </c>
      <c r="X751">
        <v>39.99</v>
      </c>
      <c r="Y751">
        <v>115</v>
      </c>
      <c r="Z751">
        <v>639000</v>
      </c>
      <c r="AA751">
        <v>550020</v>
      </c>
      <c r="AB751">
        <v>150</v>
      </c>
      <c r="AD751" t="s">
        <v>238</v>
      </c>
      <c r="AE751">
        <v>2</v>
      </c>
      <c r="AF751">
        <v>0</v>
      </c>
      <c r="AI751">
        <v>15</v>
      </c>
      <c r="AJ751">
        <v>55</v>
      </c>
      <c r="AK751">
        <v>70</v>
      </c>
      <c r="AL751">
        <v>618</v>
      </c>
      <c r="AM751">
        <v>72</v>
      </c>
      <c r="AN751">
        <v>0</v>
      </c>
      <c r="AO751">
        <v>72</v>
      </c>
      <c r="AP751" t="s">
        <v>80</v>
      </c>
      <c r="AQ751" t="s">
        <v>184</v>
      </c>
      <c r="AR751" t="s">
        <v>86</v>
      </c>
      <c r="AS751" t="s">
        <v>86</v>
      </c>
      <c r="AT751" t="s">
        <v>86</v>
      </c>
      <c r="AU751" t="s">
        <v>86</v>
      </c>
      <c r="AV751" t="s">
        <v>2519</v>
      </c>
      <c r="AW751" t="s">
        <v>69</v>
      </c>
      <c r="AX751" t="s">
        <v>2542</v>
      </c>
      <c r="AY751" t="s">
        <v>2543</v>
      </c>
      <c r="AZ751" t="s">
        <v>243</v>
      </c>
      <c r="BA751" t="s">
        <v>244</v>
      </c>
      <c r="BB751" t="s">
        <v>244</v>
      </c>
      <c r="BC751" t="s">
        <v>244</v>
      </c>
      <c r="BD751" t="s">
        <v>2550</v>
      </c>
      <c r="BE751" t="s">
        <v>2545</v>
      </c>
      <c r="BF751" t="s">
        <v>786</v>
      </c>
      <c r="BG751" t="s">
        <v>150</v>
      </c>
      <c r="BH751" t="str">
        <f>IF(COUNTIF(工作表1!A:A, $C751)&gt;0, "預購款", "非預購款")</f>
        <v>預購款</v>
      </c>
    </row>
    <row r="752" spans="1:60" x14ac:dyDescent="0.25">
      <c r="A752" t="s">
        <v>2551</v>
      </c>
      <c r="B752" t="s">
        <v>315</v>
      </c>
      <c r="C752" t="s">
        <v>2552</v>
      </c>
      <c r="D752" t="s">
        <v>2553</v>
      </c>
      <c r="E752" t="s">
        <v>2554</v>
      </c>
      <c r="F752" t="s">
        <v>1893</v>
      </c>
      <c r="G752" t="s">
        <v>2555</v>
      </c>
      <c r="H752" t="s">
        <v>119</v>
      </c>
      <c r="I752" t="s">
        <v>120</v>
      </c>
      <c r="J752" t="s">
        <v>121</v>
      </c>
      <c r="K752" t="s">
        <v>69</v>
      </c>
      <c r="L752" t="s">
        <v>2556</v>
      </c>
      <c r="M752" t="s">
        <v>71</v>
      </c>
      <c r="N752" t="s">
        <v>198</v>
      </c>
      <c r="O752" t="s">
        <v>2306</v>
      </c>
      <c r="P752" t="s">
        <v>2307</v>
      </c>
      <c r="R752" t="s">
        <v>2530</v>
      </c>
      <c r="S752" t="s">
        <v>1597</v>
      </c>
      <c r="T752" t="s">
        <v>76</v>
      </c>
      <c r="U752" t="s">
        <v>383</v>
      </c>
      <c r="V752" t="s">
        <v>384</v>
      </c>
      <c r="W752">
        <v>1480</v>
      </c>
      <c r="X752">
        <v>59.99</v>
      </c>
      <c r="Y752">
        <v>189</v>
      </c>
      <c r="Z752">
        <v>1069000</v>
      </c>
      <c r="AA752">
        <v>1015280</v>
      </c>
      <c r="AB752">
        <v>470</v>
      </c>
      <c r="AD752" t="s">
        <v>238</v>
      </c>
      <c r="AE752">
        <v>2</v>
      </c>
      <c r="AF752">
        <v>15</v>
      </c>
      <c r="AI752">
        <v>60</v>
      </c>
      <c r="AJ752">
        <v>85</v>
      </c>
      <c r="AK752">
        <v>160</v>
      </c>
      <c r="AL752">
        <v>686</v>
      </c>
      <c r="AM752">
        <v>159</v>
      </c>
      <c r="AN752">
        <v>0</v>
      </c>
      <c r="AO752">
        <v>159</v>
      </c>
      <c r="AP752" t="s">
        <v>69</v>
      </c>
      <c r="AR752" t="s">
        <v>86</v>
      </c>
      <c r="AS752" t="s">
        <v>86</v>
      </c>
      <c r="AT752" t="s">
        <v>86</v>
      </c>
      <c r="AU752" t="s">
        <v>86</v>
      </c>
      <c r="AV752" t="s">
        <v>2531</v>
      </c>
      <c r="AW752" t="s">
        <v>69</v>
      </c>
      <c r="AX752" t="s">
        <v>2520</v>
      </c>
      <c r="AY752" t="s">
        <v>2557</v>
      </c>
      <c r="AZ752" t="s">
        <v>245</v>
      </c>
      <c r="BA752" t="s">
        <v>245</v>
      </c>
      <c r="BB752" t="s">
        <v>244</v>
      </c>
      <c r="BC752" t="s">
        <v>244</v>
      </c>
      <c r="BD752" t="s">
        <v>2558</v>
      </c>
      <c r="BE752" t="s">
        <v>2559</v>
      </c>
      <c r="BF752" t="s">
        <v>86</v>
      </c>
      <c r="BG752" t="s">
        <v>150</v>
      </c>
      <c r="BH752" t="str">
        <f>IF(COUNTIF(工作表1!A:A, $C752)&gt;0, "預購款", "非預購款")</f>
        <v>預購款</v>
      </c>
    </row>
    <row r="753" spans="1:60" x14ac:dyDescent="0.25">
      <c r="A753" t="s">
        <v>2551</v>
      </c>
      <c r="B753" t="s">
        <v>315</v>
      </c>
      <c r="C753" t="s">
        <v>2552</v>
      </c>
      <c r="D753" t="s">
        <v>2553</v>
      </c>
      <c r="E753" t="s">
        <v>2554</v>
      </c>
      <c r="F753" t="s">
        <v>1893</v>
      </c>
      <c r="G753" t="s">
        <v>2555</v>
      </c>
      <c r="H753" t="s">
        <v>130</v>
      </c>
      <c r="I753" t="s">
        <v>120</v>
      </c>
      <c r="J753" t="s">
        <v>121</v>
      </c>
      <c r="K753" t="s">
        <v>69</v>
      </c>
      <c r="L753" t="s">
        <v>2556</v>
      </c>
      <c r="M753" t="s">
        <v>71</v>
      </c>
      <c r="N753" t="s">
        <v>198</v>
      </c>
      <c r="O753" t="s">
        <v>2306</v>
      </c>
      <c r="P753" t="s">
        <v>2307</v>
      </c>
      <c r="R753" t="s">
        <v>2530</v>
      </c>
      <c r="S753" t="s">
        <v>1597</v>
      </c>
      <c r="T753" t="s">
        <v>76</v>
      </c>
      <c r="U753" t="s">
        <v>383</v>
      </c>
      <c r="V753" t="s">
        <v>384</v>
      </c>
      <c r="W753">
        <v>1480</v>
      </c>
      <c r="X753">
        <v>59.99</v>
      </c>
      <c r="Y753">
        <v>189</v>
      </c>
      <c r="Z753">
        <v>1069000</v>
      </c>
      <c r="AA753">
        <v>1015280</v>
      </c>
      <c r="AB753">
        <v>470</v>
      </c>
      <c r="AD753" t="s">
        <v>238</v>
      </c>
      <c r="AE753">
        <v>2</v>
      </c>
      <c r="AF753">
        <v>10</v>
      </c>
      <c r="AI753">
        <v>20</v>
      </c>
      <c r="AJ753">
        <v>45</v>
      </c>
      <c r="AK753">
        <v>75</v>
      </c>
      <c r="AL753">
        <v>686</v>
      </c>
      <c r="AM753">
        <v>85</v>
      </c>
      <c r="AN753">
        <v>0</v>
      </c>
      <c r="AO753">
        <v>85</v>
      </c>
      <c r="AP753" t="s">
        <v>69</v>
      </c>
      <c r="AR753" t="s">
        <v>86</v>
      </c>
      <c r="AS753" t="s">
        <v>86</v>
      </c>
      <c r="AT753" t="s">
        <v>86</v>
      </c>
      <c r="AU753" t="s">
        <v>86</v>
      </c>
      <c r="AV753" t="s">
        <v>2531</v>
      </c>
      <c r="AW753" t="s">
        <v>69</v>
      </c>
      <c r="AX753" t="s">
        <v>2520</v>
      </c>
      <c r="AY753" t="s">
        <v>2557</v>
      </c>
      <c r="AZ753" t="s">
        <v>245</v>
      </c>
      <c r="BA753" t="s">
        <v>245</v>
      </c>
      <c r="BB753" t="s">
        <v>244</v>
      </c>
      <c r="BC753" t="s">
        <v>244</v>
      </c>
      <c r="BD753" t="s">
        <v>2560</v>
      </c>
      <c r="BE753" t="s">
        <v>2559</v>
      </c>
      <c r="BF753" t="s">
        <v>86</v>
      </c>
      <c r="BG753" t="s">
        <v>150</v>
      </c>
      <c r="BH753" t="str">
        <f>IF(COUNTIF(工作表1!A:A, $C753)&gt;0, "預購款", "非預購款")</f>
        <v>預購款</v>
      </c>
    </row>
    <row r="754" spans="1:60" x14ac:dyDescent="0.25">
      <c r="A754" t="s">
        <v>2551</v>
      </c>
      <c r="B754" t="s">
        <v>315</v>
      </c>
      <c r="C754" t="s">
        <v>2552</v>
      </c>
      <c r="D754" t="s">
        <v>2553</v>
      </c>
      <c r="E754" t="s">
        <v>2554</v>
      </c>
      <c r="F754" t="s">
        <v>1893</v>
      </c>
      <c r="G754" t="s">
        <v>2555</v>
      </c>
      <c r="H754" t="s">
        <v>132</v>
      </c>
      <c r="I754" t="s">
        <v>120</v>
      </c>
      <c r="J754" t="s">
        <v>121</v>
      </c>
      <c r="K754" t="s">
        <v>69</v>
      </c>
      <c r="L754" t="s">
        <v>2556</v>
      </c>
      <c r="M754" t="s">
        <v>71</v>
      </c>
      <c r="N754" t="s">
        <v>198</v>
      </c>
      <c r="O754" t="s">
        <v>2306</v>
      </c>
      <c r="P754" t="s">
        <v>2307</v>
      </c>
      <c r="R754" t="s">
        <v>2530</v>
      </c>
      <c r="S754" t="s">
        <v>1597</v>
      </c>
      <c r="T754" t="s">
        <v>76</v>
      </c>
      <c r="U754" t="s">
        <v>383</v>
      </c>
      <c r="V754" t="s">
        <v>384</v>
      </c>
      <c r="W754">
        <v>1480</v>
      </c>
      <c r="X754">
        <v>59.99</v>
      </c>
      <c r="Y754">
        <v>189</v>
      </c>
      <c r="Z754">
        <v>1069000</v>
      </c>
      <c r="AA754">
        <v>1015280</v>
      </c>
      <c r="AB754">
        <v>470</v>
      </c>
      <c r="AD754" t="s">
        <v>238</v>
      </c>
      <c r="AE754">
        <v>2</v>
      </c>
      <c r="AF754">
        <v>3</v>
      </c>
      <c r="AI754">
        <v>20</v>
      </c>
      <c r="AJ754">
        <v>25</v>
      </c>
      <c r="AK754">
        <v>48</v>
      </c>
      <c r="AL754">
        <v>686</v>
      </c>
      <c r="AM754">
        <v>52</v>
      </c>
      <c r="AN754">
        <v>0</v>
      </c>
      <c r="AO754">
        <v>52</v>
      </c>
      <c r="AP754" t="s">
        <v>69</v>
      </c>
      <c r="AR754" t="s">
        <v>86</v>
      </c>
      <c r="AS754" t="s">
        <v>86</v>
      </c>
      <c r="AT754" t="s">
        <v>86</v>
      </c>
      <c r="AU754" t="s">
        <v>86</v>
      </c>
      <c r="AV754" t="s">
        <v>2531</v>
      </c>
      <c r="AW754" t="s">
        <v>69</v>
      </c>
      <c r="AX754" t="s">
        <v>2520</v>
      </c>
      <c r="AY754" t="s">
        <v>2557</v>
      </c>
      <c r="AZ754" t="s">
        <v>245</v>
      </c>
      <c r="BA754" t="s">
        <v>245</v>
      </c>
      <c r="BB754" t="s">
        <v>244</v>
      </c>
      <c r="BC754" t="s">
        <v>244</v>
      </c>
      <c r="BD754" t="s">
        <v>2561</v>
      </c>
      <c r="BE754" t="s">
        <v>2559</v>
      </c>
      <c r="BF754" t="s">
        <v>86</v>
      </c>
      <c r="BG754" t="s">
        <v>150</v>
      </c>
      <c r="BH754" t="str">
        <f>IF(COUNTIF(工作表1!A:A, $C754)&gt;0, "預購款", "非預購款")</f>
        <v>預購款</v>
      </c>
    </row>
    <row r="755" spans="1:60" x14ac:dyDescent="0.25">
      <c r="A755" t="s">
        <v>2551</v>
      </c>
      <c r="B755" t="s">
        <v>315</v>
      </c>
      <c r="C755" t="s">
        <v>2552</v>
      </c>
      <c r="D755" t="s">
        <v>2553</v>
      </c>
      <c r="E755" t="s">
        <v>2554</v>
      </c>
      <c r="F755" t="s">
        <v>1893</v>
      </c>
      <c r="G755" t="s">
        <v>2555</v>
      </c>
      <c r="H755" t="s">
        <v>119</v>
      </c>
      <c r="I755" t="s">
        <v>162</v>
      </c>
      <c r="J755" t="s">
        <v>163</v>
      </c>
      <c r="K755" t="s">
        <v>69</v>
      </c>
      <c r="L755" t="s">
        <v>2556</v>
      </c>
      <c r="M755" t="s">
        <v>71</v>
      </c>
      <c r="N755" t="s">
        <v>198</v>
      </c>
      <c r="O755" t="s">
        <v>2306</v>
      </c>
      <c r="P755" t="s">
        <v>2307</v>
      </c>
      <c r="R755" t="s">
        <v>2530</v>
      </c>
      <c r="S755" t="s">
        <v>1597</v>
      </c>
      <c r="T755" t="s">
        <v>76</v>
      </c>
      <c r="U755" t="s">
        <v>383</v>
      </c>
      <c r="V755" t="s">
        <v>384</v>
      </c>
      <c r="W755">
        <v>1480</v>
      </c>
      <c r="X755">
        <v>59.99</v>
      </c>
      <c r="Y755">
        <v>189</v>
      </c>
      <c r="Z755">
        <v>1069000</v>
      </c>
      <c r="AA755">
        <v>1015280</v>
      </c>
      <c r="AB755">
        <v>470</v>
      </c>
      <c r="AD755" t="s">
        <v>238</v>
      </c>
      <c r="AE755">
        <v>2</v>
      </c>
      <c r="AF755">
        <v>15</v>
      </c>
      <c r="AI755">
        <v>70</v>
      </c>
      <c r="AJ755">
        <v>150</v>
      </c>
      <c r="AK755">
        <v>235</v>
      </c>
      <c r="AL755">
        <v>686</v>
      </c>
      <c r="AM755">
        <v>231</v>
      </c>
      <c r="AN755">
        <v>0</v>
      </c>
      <c r="AO755">
        <v>231</v>
      </c>
      <c r="AP755" t="s">
        <v>69</v>
      </c>
      <c r="AR755" t="s">
        <v>86</v>
      </c>
      <c r="AS755" t="s">
        <v>86</v>
      </c>
      <c r="AT755" t="s">
        <v>86</v>
      </c>
      <c r="AU755" t="s">
        <v>86</v>
      </c>
      <c r="AV755" t="s">
        <v>2531</v>
      </c>
      <c r="AW755" t="s">
        <v>69</v>
      </c>
      <c r="AX755" t="s">
        <v>2520</v>
      </c>
      <c r="AY755" t="s">
        <v>2557</v>
      </c>
      <c r="AZ755" t="s">
        <v>245</v>
      </c>
      <c r="BA755" t="s">
        <v>245</v>
      </c>
      <c r="BB755" t="s">
        <v>244</v>
      </c>
      <c r="BC755" t="s">
        <v>244</v>
      </c>
      <c r="BD755" t="s">
        <v>2562</v>
      </c>
      <c r="BE755" t="s">
        <v>2559</v>
      </c>
      <c r="BF755" t="s">
        <v>86</v>
      </c>
      <c r="BG755" t="s">
        <v>150</v>
      </c>
      <c r="BH755" t="str">
        <f>IF(COUNTIF(工作表1!A:A, $C755)&gt;0, "預購款", "非預購款")</f>
        <v>預購款</v>
      </c>
    </row>
    <row r="756" spans="1:60" x14ac:dyDescent="0.25">
      <c r="A756" t="s">
        <v>2551</v>
      </c>
      <c r="B756" t="s">
        <v>315</v>
      </c>
      <c r="C756" t="s">
        <v>2552</v>
      </c>
      <c r="D756" t="s">
        <v>2553</v>
      </c>
      <c r="E756" t="s">
        <v>2554</v>
      </c>
      <c r="F756" t="s">
        <v>1893</v>
      </c>
      <c r="G756" t="s">
        <v>2555</v>
      </c>
      <c r="H756" t="s">
        <v>130</v>
      </c>
      <c r="I756" t="s">
        <v>162</v>
      </c>
      <c r="J756" t="s">
        <v>163</v>
      </c>
      <c r="K756" t="s">
        <v>69</v>
      </c>
      <c r="L756" t="s">
        <v>2556</v>
      </c>
      <c r="M756" t="s">
        <v>71</v>
      </c>
      <c r="N756" t="s">
        <v>198</v>
      </c>
      <c r="O756" t="s">
        <v>2306</v>
      </c>
      <c r="P756" t="s">
        <v>2307</v>
      </c>
      <c r="R756" t="s">
        <v>2530</v>
      </c>
      <c r="S756" t="s">
        <v>1597</v>
      </c>
      <c r="T756" t="s">
        <v>76</v>
      </c>
      <c r="U756" t="s">
        <v>383</v>
      </c>
      <c r="V756" t="s">
        <v>384</v>
      </c>
      <c r="W756">
        <v>1480</v>
      </c>
      <c r="X756">
        <v>59.99</v>
      </c>
      <c r="Y756">
        <v>189</v>
      </c>
      <c r="Z756">
        <v>1069000</v>
      </c>
      <c r="AA756">
        <v>1015280</v>
      </c>
      <c r="AB756">
        <v>470</v>
      </c>
      <c r="AD756" t="s">
        <v>238</v>
      </c>
      <c r="AE756">
        <v>2</v>
      </c>
      <c r="AF756">
        <v>10</v>
      </c>
      <c r="AI756">
        <v>20</v>
      </c>
      <c r="AJ756">
        <v>90</v>
      </c>
      <c r="AK756">
        <v>120</v>
      </c>
      <c r="AL756">
        <v>686</v>
      </c>
      <c r="AM756">
        <v>113</v>
      </c>
      <c r="AN756">
        <v>0</v>
      </c>
      <c r="AO756">
        <v>113</v>
      </c>
      <c r="AP756" t="s">
        <v>69</v>
      </c>
      <c r="AR756" t="s">
        <v>86</v>
      </c>
      <c r="AS756" t="s">
        <v>86</v>
      </c>
      <c r="AT756" t="s">
        <v>86</v>
      </c>
      <c r="AU756" t="s">
        <v>86</v>
      </c>
      <c r="AV756" t="s">
        <v>2531</v>
      </c>
      <c r="AW756" t="s">
        <v>69</v>
      </c>
      <c r="AX756" t="s">
        <v>2520</v>
      </c>
      <c r="AY756" t="s">
        <v>2557</v>
      </c>
      <c r="AZ756" t="s">
        <v>245</v>
      </c>
      <c r="BA756" t="s">
        <v>245</v>
      </c>
      <c r="BB756" t="s">
        <v>244</v>
      </c>
      <c r="BC756" t="s">
        <v>244</v>
      </c>
      <c r="BD756" t="s">
        <v>2563</v>
      </c>
      <c r="BE756" t="s">
        <v>2559</v>
      </c>
      <c r="BF756" t="s">
        <v>86</v>
      </c>
      <c r="BG756" t="s">
        <v>150</v>
      </c>
      <c r="BH756" t="str">
        <f>IF(COUNTIF(工作表1!A:A, $C756)&gt;0, "預購款", "非預購款")</f>
        <v>預購款</v>
      </c>
    </row>
    <row r="757" spans="1:60" x14ac:dyDescent="0.25">
      <c r="A757" t="s">
        <v>2551</v>
      </c>
      <c r="B757" t="s">
        <v>315</v>
      </c>
      <c r="C757" t="s">
        <v>2552</v>
      </c>
      <c r="D757" t="s">
        <v>2553</v>
      </c>
      <c r="E757" t="s">
        <v>2554</v>
      </c>
      <c r="F757" t="s">
        <v>1893</v>
      </c>
      <c r="G757" t="s">
        <v>2555</v>
      </c>
      <c r="H757" t="s">
        <v>132</v>
      </c>
      <c r="I757" t="s">
        <v>162</v>
      </c>
      <c r="J757" t="s">
        <v>163</v>
      </c>
      <c r="K757" t="s">
        <v>69</v>
      </c>
      <c r="L757" t="s">
        <v>2556</v>
      </c>
      <c r="M757" t="s">
        <v>71</v>
      </c>
      <c r="N757" t="s">
        <v>198</v>
      </c>
      <c r="O757" t="s">
        <v>2306</v>
      </c>
      <c r="P757" t="s">
        <v>2307</v>
      </c>
      <c r="R757" t="s">
        <v>2530</v>
      </c>
      <c r="S757" t="s">
        <v>1597</v>
      </c>
      <c r="T757" t="s">
        <v>76</v>
      </c>
      <c r="U757" t="s">
        <v>383</v>
      </c>
      <c r="V757" t="s">
        <v>384</v>
      </c>
      <c r="W757">
        <v>1480</v>
      </c>
      <c r="X757">
        <v>59.99</v>
      </c>
      <c r="Y757">
        <v>189</v>
      </c>
      <c r="Z757">
        <v>1069000</v>
      </c>
      <c r="AA757">
        <v>1015280</v>
      </c>
      <c r="AB757">
        <v>470</v>
      </c>
      <c r="AD757" t="s">
        <v>238</v>
      </c>
      <c r="AE757">
        <v>2</v>
      </c>
      <c r="AF757">
        <v>3</v>
      </c>
      <c r="AI757">
        <v>20</v>
      </c>
      <c r="AJ757">
        <v>25</v>
      </c>
      <c r="AK757">
        <v>48</v>
      </c>
      <c r="AL757">
        <v>686</v>
      </c>
      <c r="AM757">
        <v>47</v>
      </c>
      <c r="AN757">
        <v>0</v>
      </c>
      <c r="AO757">
        <v>47</v>
      </c>
      <c r="AP757" t="s">
        <v>69</v>
      </c>
      <c r="AR757" t="s">
        <v>86</v>
      </c>
      <c r="AS757" t="s">
        <v>86</v>
      </c>
      <c r="AT757" t="s">
        <v>86</v>
      </c>
      <c r="AU757" t="s">
        <v>86</v>
      </c>
      <c r="AV757" t="s">
        <v>2531</v>
      </c>
      <c r="AW757" t="s">
        <v>69</v>
      </c>
      <c r="AX757" t="s">
        <v>2520</v>
      </c>
      <c r="AY757" t="s">
        <v>2557</v>
      </c>
      <c r="AZ757" t="s">
        <v>245</v>
      </c>
      <c r="BA757" t="s">
        <v>245</v>
      </c>
      <c r="BB757" t="s">
        <v>244</v>
      </c>
      <c r="BC757" t="s">
        <v>244</v>
      </c>
      <c r="BD757" t="s">
        <v>2564</v>
      </c>
      <c r="BE757" t="s">
        <v>2559</v>
      </c>
      <c r="BF757" t="s">
        <v>86</v>
      </c>
      <c r="BG757" t="s">
        <v>150</v>
      </c>
      <c r="BH757" t="str">
        <f>IF(COUNTIF(工作表1!A:A, $C757)&gt;0, "預購款", "非預購款")</f>
        <v>預購款</v>
      </c>
    </row>
    <row r="758" spans="1:60" x14ac:dyDescent="0.25">
      <c r="A758" t="s">
        <v>2565</v>
      </c>
      <c r="B758" t="s">
        <v>315</v>
      </c>
      <c r="C758" t="s">
        <v>2566</v>
      </c>
      <c r="D758" t="s">
        <v>2567</v>
      </c>
      <c r="E758" t="s">
        <v>2568</v>
      </c>
      <c r="F758" t="s">
        <v>1893</v>
      </c>
      <c r="G758" t="s">
        <v>2569</v>
      </c>
      <c r="H758" t="s">
        <v>273</v>
      </c>
      <c r="I758" t="s">
        <v>120</v>
      </c>
      <c r="J758" t="s">
        <v>121</v>
      </c>
      <c r="K758" t="s">
        <v>69</v>
      </c>
      <c r="L758" t="s">
        <v>2556</v>
      </c>
      <c r="M758" t="s">
        <v>71</v>
      </c>
      <c r="N758" t="s">
        <v>198</v>
      </c>
      <c r="O758" t="s">
        <v>2306</v>
      </c>
      <c r="P758" t="s">
        <v>2307</v>
      </c>
      <c r="R758" t="s">
        <v>2518</v>
      </c>
      <c r="S758" t="s">
        <v>1597</v>
      </c>
      <c r="T758" t="s">
        <v>274</v>
      </c>
      <c r="U758" t="s">
        <v>383</v>
      </c>
      <c r="V758" t="s">
        <v>384</v>
      </c>
      <c r="W758">
        <v>1580</v>
      </c>
      <c r="X758">
        <v>64.989999999999995</v>
      </c>
      <c r="Y758">
        <v>209</v>
      </c>
      <c r="Z758">
        <v>1139000</v>
      </c>
      <c r="AA758">
        <v>387100</v>
      </c>
      <c r="AB758">
        <v>604</v>
      </c>
      <c r="AD758" t="s">
        <v>238</v>
      </c>
      <c r="AE758">
        <v>2</v>
      </c>
      <c r="AF758">
        <v>3</v>
      </c>
      <c r="AI758">
        <v>10</v>
      </c>
      <c r="AJ758">
        <v>50</v>
      </c>
      <c r="AK758">
        <v>63</v>
      </c>
      <c r="AL758">
        <v>245</v>
      </c>
      <c r="AM758">
        <v>68</v>
      </c>
      <c r="AN758">
        <v>0</v>
      </c>
      <c r="AO758">
        <v>68</v>
      </c>
      <c r="AP758" t="s">
        <v>69</v>
      </c>
      <c r="AS758" t="s">
        <v>86</v>
      </c>
      <c r="AT758" t="s">
        <v>261</v>
      </c>
      <c r="AU758" t="s">
        <v>86</v>
      </c>
      <c r="AV758" t="s">
        <v>2570</v>
      </c>
      <c r="AW758" t="s">
        <v>69</v>
      </c>
      <c r="AX758" t="s">
        <v>2520</v>
      </c>
      <c r="AY758" t="s">
        <v>2571</v>
      </c>
      <c r="AZ758" t="s">
        <v>245</v>
      </c>
      <c r="BA758" t="s">
        <v>245</v>
      </c>
      <c r="BB758" t="s">
        <v>244</v>
      </c>
      <c r="BC758" t="s">
        <v>244</v>
      </c>
      <c r="BD758" t="s">
        <v>2572</v>
      </c>
      <c r="BE758" t="s">
        <v>2573</v>
      </c>
      <c r="BF758" t="s">
        <v>279</v>
      </c>
      <c r="BG758" t="s">
        <v>150</v>
      </c>
      <c r="BH758" t="str">
        <f>IF(COUNTIF(工作表1!A:A, $C758)&gt;0, "預購款", "非預購款")</f>
        <v>預購款</v>
      </c>
    </row>
    <row r="759" spans="1:60" x14ac:dyDescent="0.25">
      <c r="A759" t="s">
        <v>2565</v>
      </c>
      <c r="B759" t="s">
        <v>315</v>
      </c>
      <c r="C759" t="s">
        <v>2566</v>
      </c>
      <c r="D759" t="s">
        <v>2567</v>
      </c>
      <c r="E759" t="s">
        <v>2568</v>
      </c>
      <c r="F759" t="s">
        <v>1893</v>
      </c>
      <c r="G759" t="s">
        <v>2569</v>
      </c>
      <c r="H759" t="s">
        <v>501</v>
      </c>
      <c r="I759" t="s">
        <v>120</v>
      </c>
      <c r="J759" t="s">
        <v>121</v>
      </c>
      <c r="K759" t="s">
        <v>69</v>
      </c>
      <c r="L759" t="s">
        <v>2556</v>
      </c>
      <c r="M759" t="s">
        <v>71</v>
      </c>
      <c r="N759" t="s">
        <v>198</v>
      </c>
      <c r="O759" t="s">
        <v>2306</v>
      </c>
      <c r="P759" t="s">
        <v>2307</v>
      </c>
      <c r="R759" t="s">
        <v>2518</v>
      </c>
      <c r="S759" t="s">
        <v>1597</v>
      </c>
      <c r="T759" t="s">
        <v>274</v>
      </c>
      <c r="U759" t="s">
        <v>383</v>
      </c>
      <c r="V759" t="s">
        <v>384</v>
      </c>
      <c r="W759">
        <v>1580</v>
      </c>
      <c r="X759">
        <v>64.989999999999995</v>
      </c>
      <c r="Y759">
        <v>209</v>
      </c>
      <c r="Z759">
        <v>1139000</v>
      </c>
      <c r="AA759">
        <v>387100</v>
      </c>
      <c r="AB759">
        <v>604</v>
      </c>
      <c r="AD759" t="s">
        <v>238</v>
      </c>
      <c r="AE759">
        <v>2</v>
      </c>
      <c r="AF759">
        <v>0</v>
      </c>
      <c r="AI759">
        <v>10</v>
      </c>
      <c r="AJ759">
        <v>10</v>
      </c>
      <c r="AK759">
        <v>20</v>
      </c>
      <c r="AL759">
        <v>245</v>
      </c>
      <c r="AM759">
        <v>29</v>
      </c>
      <c r="AN759">
        <v>0</v>
      </c>
      <c r="AO759">
        <v>29</v>
      </c>
      <c r="AP759" t="s">
        <v>69</v>
      </c>
      <c r="AS759" t="s">
        <v>86</v>
      </c>
      <c r="AT759" t="s">
        <v>261</v>
      </c>
      <c r="AU759" t="s">
        <v>86</v>
      </c>
      <c r="AV759" t="s">
        <v>2570</v>
      </c>
      <c r="AW759" t="s">
        <v>69</v>
      </c>
      <c r="AX759" t="s">
        <v>2520</v>
      </c>
      <c r="AY759" t="s">
        <v>2571</v>
      </c>
      <c r="AZ759" t="s">
        <v>245</v>
      </c>
      <c r="BA759" t="s">
        <v>245</v>
      </c>
      <c r="BB759" t="s">
        <v>244</v>
      </c>
      <c r="BC759" t="s">
        <v>244</v>
      </c>
      <c r="BD759" t="s">
        <v>2574</v>
      </c>
      <c r="BE759" t="s">
        <v>2573</v>
      </c>
      <c r="BF759" t="s">
        <v>279</v>
      </c>
      <c r="BG759" t="s">
        <v>150</v>
      </c>
      <c r="BH759" t="str">
        <f>IF(COUNTIF(工作表1!A:A, $C759)&gt;0, "預購款", "非預購款")</f>
        <v>預購款</v>
      </c>
    </row>
    <row r="760" spans="1:60" x14ac:dyDescent="0.25">
      <c r="A760" t="s">
        <v>2565</v>
      </c>
      <c r="B760" t="s">
        <v>315</v>
      </c>
      <c r="C760" t="s">
        <v>2566</v>
      </c>
      <c r="D760" t="s">
        <v>2567</v>
      </c>
      <c r="E760" t="s">
        <v>2568</v>
      </c>
      <c r="F760" t="s">
        <v>1893</v>
      </c>
      <c r="G760" t="s">
        <v>2569</v>
      </c>
      <c r="H760" t="s">
        <v>280</v>
      </c>
      <c r="I760" t="s">
        <v>120</v>
      </c>
      <c r="J760" t="s">
        <v>121</v>
      </c>
      <c r="K760" t="s">
        <v>69</v>
      </c>
      <c r="L760" t="s">
        <v>2556</v>
      </c>
      <c r="M760" t="s">
        <v>71</v>
      </c>
      <c r="N760" t="s">
        <v>198</v>
      </c>
      <c r="O760" t="s">
        <v>2306</v>
      </c>
      <c r="P760" t="s">
        <v>2307</v>
      </c>
      <c r="R760" t="s">
        <v>2518</v>
      </c>
      <c r="S760" t="s">
        <v>1597</v>
      </c>
      <c r="T760" t="s">
        <v>274</v>
      </c>
      <c r="U760" t="s">
        <v>383</v>
      </c>
      <c r="V760" t="s">
        <v>384</v>
      </c>
      <c r="W760">
        <v>1580</v>
      </c>
      <c r="X760">
        <v>64.989999999999995</v>
      </c>
      <c r="Y760">
        <v>209</v>
      </c>
      <c r="Z760">
        <v>1139000</v>
      </c>
      <c r="AA760">
        <v>387100</v>
      </c>
      <c r="AB760">
        <v>604</v>
      </c>
      <c r="AD760" t="s">
        <v>238</v>
      </c>
      <c r="AE760">
        <v>2</v>
      </c>
      <c r="AF760">
        <v>2</v>
      </c>
      <c r="AI760">
        <v>10</v>
      </c>
      <c r="AJ760">
        <v>50</v>
      </c>
      <c r="AK760">
        <v>62</v>
      </c>
      <c r="AL760">
        <v>245</v>
      </c>
      <c r="AM760">
        <v>70</v>
      </c>
      <c r="AN760">
        <v>0</v>
      </c>
      <c r="AO760">
        <v>70</v>
      </c>
      <c r="AP760" t="s">
        <v>69</v>
      </c>
      <c r="AS760" t="s">
        <v>86</v>
      </c>
      <c r="AT760" t="s">
        <v>261</v>
      </c>
      <c r="AU760" t="s">
        <v>86</v>
      </c>
      <c r="AV760" t="s">
        <v>2570</v>
      </c>
      <c r="AW760" t="s">
        <v>69</v>
      </c>
      <c r="AX760" t="s">
        <v>2520</v>
      </c>
      <c r="AY760" t="s">
        <v>2571</v>
      </c>
      <c r="AZ760" t="s">
        <v>245</v>
      </c>
      <c r="BA760" t="s">
        <v>245</v>
      </c>
      <c r="BB760" t="s">
        <v>244</v>
      </c>
      <c r="BC760" t="s">
        <v>244</v>
      </c>
      <c r="BD760" t="s">
        <v>2575</v>
      </c>
      <c r="BE760" t="s">
        <v>2573</v>
      </c>
      <c r="BF760" t="s">
        <v>279</v>
      </c>
      <c r="BG760" t="s">
        <v>150</v>
      </c>
      <c r="BH760" t="str">
        <f>IF(COUNTIF(工作表1!A:A, $C760)&gt;0, "預購款", "非預購款")</f>
        <v>預購款</v>
      </c>
    </row>
    <row r="761" spans="1:60" x14ac:dyDescent="0.25">
      <c r="A761" t="s">
        <v>2565</v>
      </c>
      <c r="B761" t="s">
        <v>315</v>
      </c>
      <c r="C761" t="s">
        <v>2566</v>
      </c>
      <c r="D761" t="s">
        <v>2567</v>
      </c>
      <c r="E761" t="s">
        <v>2568</v>
      </c>
      <c r="F761" t="s">
        <v>1893</v>
      </c>
      <c r="G761" t="s">
        <v>2569</v>
      </c>
      <c r="H761" t="s">
        <v>273</v>
      </c>
      <c r="I761" t="s">
        <v>162</v>
      </c>
      <c r="J761" t="s">
        <v>163</v>
      </c>
      <c r="K761" t="s">
        <v>69</v>
      </c>
      <c r="L761" t="s">
        <v>2556</v>
      </c>
      <c r="M761" t="s">
        <v>71</v>
      </c>
      <c r="N761" t="s">
        <v>198</v>
      </c>
      <c r="O761" t="s">
        <v>2306</v>
      </c>
      <c r="P761" t="s">
        <v>2307</v>
      </c>
      <c r="R761" t="s">
        <v>2518</v>
      </c>
      <c r="S761" t="s">
        <v>1597</v>
      </c>
      <c r="T761" t="s">
        <v>274</v>
      </c>
      <c r="U761" t="s">
        <v>383</v>
      </c>
      <c r="V761" t="s">
        <v>384</v>
      </c>
      <c r="W761">
        <v>1580</v>
      </c>
      <c r="X761">
        <v>64.989999999999995</v>
      </c>
      <c r="Y761">
        <v>209</v>
      </c>
      <c r="Z761">
        <v>1139000</v>
      </c>
      <c r="AA761">
        <v>387100</v>
      </c>
      <c r="AB761">
        <v>604</v>
      </c>
      <c r="AD761" t="s">
        <v>238</v>
      </c>
      <c r="AE761">
        <v>2</v>
      </c>
      <c r="AF761">
        <v>3</v>
      </c>
      <c r="AI761">
        <v>10</v>
      </c>
      <c r="AJ761">
        <v>30</v>
      </c>
      <c r="AK761">
        <v>43</v>
      </c>
      <c r="AL761">
        <v>245</v>
      </c>
      <c r="AM761">
        <v>43</v>
      </c>
      <c r="AN761">
        <v>0</v>
      </c>
      <c r="AO761">
        <v>43</v>
      </c>
      <c r="AP761" t="s">
        <v>69</v>
      </c>
      <c r="AS761" t="s">
        <v>86</v>
      </c>
      <c r="AT761" t="s">
        <v>261</v>
      </c>
      <c r="AU761" t="s">
        <v>86</v>
      </c>
      <c r="AV761" t="s">
        <v>2570</v>
      </c>
      <c r="AW761" t="s">
        <v>69</v>
      </c>
      <c r="AX761" t="s">
        <v>2520</v>
      </c>
      <c r="AY761" t="s">
        <v>2571</v>
      </c>
      <c r="AZ761" t="s">
        <v>245</v>
      </c>
      <c r="BA761" t="s">
        <v>245</v>
      </c>
      <c r="BB761" t="s">
        <v>244</v>
      </c>
      <c r="BC761" t="s">
        <v>244</v>
      </c>
      <c r="BD761" t="s">
        <v>2576</v>
      </c>
      <c r="BE761" t="s">
        <v>2573</v>
      </c>
      <c r="BF761" t="s">
        <v>279</v>
      </c>
      <c r="BG761" t="s">
        <v>150</v>
      </c>
      <c r="BH761" t="str">
        <f>IF(COUNTIF(工作表1!A:A, $C761)&gt;0, "預購款", "非預購款")</f>
        <v>預購款</v>
      </c>
    </row>
    <row r="762" spans="1:60" x14ac:dyDescent="0.25">
      <c r="A762" t="s">
        <v>2565</v>
      </c>
      <c r="B762" t="s">
        <v>315</v>
      </c>
      <c r="C762" t="s">
        <v>2566</v>
      </c>
      <c r="D762" t="s">
        <v>2567</v>
      </c>
      <c r="E762" t="s">
        <v>2568</v>
      </c>
      <c r="F762" t="s">
        <v>1893</v>
      </c>
      <c r="G762" t="s">
        <v>2569</v>
      </c>
      <c r="H762" t="s">
        <v>501</v>
      </c>
      <c r="I762" t="s">
        <v>162</v>
      </c>
      <c r="J762" t="s">
        <v>163</v>
      </c>
      <c r="K762" t="s">
        <v>69</v>
      </c>
      <c r="L762" t="s">
        <v>2556</v>
      </c>
      <c r="M762" t="s">
        <v>71</v>
      </c>
      <c r="N762" t="s">
        <v>198</v>
      </c>
      <c r="O762" t="s">
        <v>2306</v>
      </c>
      <c r="P762" t="s">
        <v>2307</v>
      </c>
      <c r="R762" t="s">
        <v>2518</v>
      </c>
      <c r="S762" t="s">
        <v>1597</v>
      </c>
      <c r="T762" t="s">
        <v>274</v>
      </c>
      <c r="U762" t="s">
        <v>383</v>
      </c>
      <c r="V762" t="s">
        <v>384</v>
      </c>
      <c r="W762">
        <v>1580</v>
      </c>
      <c r="X762">
        <v>64.989999999999995</v>
      </c>
      <c r="Y762">
        <v>209</v>
      </c>
      <c r="Z762">
        <v>1139000</v>
      </c>
      <c r="AA762">
        <v>387100</v>
      </c>
      <c r="AB762">
        <v>604</v>
      </c>
      <c r="AD762" t="s">
        <v>238</v>
      </c>
      <c r="AE762">
        <v>2</v>
      </c>
      <c r="AF762">
        <v>0</v>
      </c>
      <c r="AI762">
        <v>5</v>
      </c>
      <c r="AJ762">
        <v>20</v>
      </c>
      <c r="AK762">
        <v>25</v>
      </c>
      <c r="AL762">
        <v>245</v>
      </c>
      <c r="AM762">
        <v>30</v>
      </c>
      <c r="AN762">
        <v>0</v>
      </c>
      <c r="AO762">
        <v>30</v>
      </c>
      <c r="AP762" t="s">
        <v>69</v>
      </c>
      <c r="AS762" t="s">
        <v>86</v>
      </c>
      <c r="AT762" t="s">
        <v>261</v>
      </c>
      <c r="AU762" t="s">
        <v>86</v>
      </c>
      <c r="AV762" t="s">
        <v>2570</v>
      </c>
      <c r="AW762" t="s">
        <v>69</v>
      </c>
      <c r="AX762" t="s">
        <v>2520</v>
      </c>
      <c r="AY762" t="s">
        <v>2571</v>
      </c>
      <c r="AZ762" t="s">
        <v>245</v>
      </c>
      <c r="BA762" t="s">
        <v>245</v>
      </c>
      <c r="BB762" t="s">
        <v>244</v>
      </c>
      <c r="BC762" t="s">
        <v>244</v>
      </c>
      <c r="BD762" t="s">
        <v>2577</v>
      </c>
      <c r="BE762" t="s">
        <v>2573</v>
      </c>
      <c r="BF762" t="s">
        <v>279</v>
      </c>
      <c r="BG762" t="s">
        <v>150</v>
      </c>
      <c r="BH762" t="str">
        <f>IF(COUNTIF(工作表1!A:A, $C762)&gt;0, "預購款", "非預購款")</f>
        <v>預購款</v>
      </c>
    </row>
    <row r="763" spans="1:60" x14ac:dyDescent="0.25">
      <c r="A763" t="s">
        <v>2565</v>
      </c>
      <c r="B763" t="s">
        <v>315</v>
      </c>
      <c r="C763" t="s">
        <v>2566</v>
      </c>
      <c r="D763" t="s">
        <v>2567</v>
      </c>
      <c r="E763" t="s">
        <v>2568</v>
      </c>
      <c r="F763" t="s">
        <v>1893</v>
      </c>
      <c r="G763" t="s">
        <v>2569</v>
      </c>
      <c r="H763" t="s">
        <v>280</v>
      </c>
      <c r="I763" t="s">
        <v>162</v>
      </c>
      <c r="J763" t="s">
        <v>163</v>
      </c>
      <c r="K763" t="s">
        <v>69</v>
      </c>
      <c r="L763" t="s">
        <v>2556</v>
      </c>
      <c r="M763" t="s">
        <v>71</v>
      </c>
      <c r="N763" t="s">
        <v>198</v>
      </c>
      <c r="O763" t="s">
        <v>2306</v>
      </c>
      <c r="P763" t="s">
        <v>2307</v>
      </c>
      <c r="R763" t="s">
        <v>2518</v>
      </c>
      <c r="S763" t="s">
        <v>1597</v>
      </c>
      <c r="T763" t="s">
        <v>274</v>
      </c>
      <c r="U763" t="s">
        <v>383</v>
      </c>
      <c r="V763" t="s">
        <v>384</v>
      </c>
      <c r="W763">
        <v>1580</v>
      </c>
      <c r="X763">
        <v>64.989999999999995</v>
      </c>
      <c r="Y763">
        <v>209</v>
      </c>
      <c r="Z763">
        <v>1139000</v>
      </c>
      <c r="AA763">
        <v>387100</v>
      </c>
      <c r="AB763">
        <v>604</v>
      </c>
      <c r="AD763" t="s">
        <v>238</v>
      </c>
      <c r="AE763">
        <v>2</v>
      </c>
      <c r="AF763">
        <v>2</v>
      </c>
      <c r="AI763">
        <v>10</v>
      </c>
      <c r="AJ763">
        <v>20</v>
      </c>
      <c r="AK763">
        <v>32</v>
      </c>
      <c r="AL763">
        <v>245</v>
      </c>
      <c r="AM763">
        <v>38</v>
      </c>
      <c r="AN763">
        <v>0</v>
      </c>
      <c r="AO763">
        <v>38</v>
      </c>
      <c r="AP763" t="s">
        <v>69</v>
      </c>
      <c r="AS763" t="s">
        <v>86</v>
      </c>
      <c r="AT763" t="s">
        <v>261</v>
      </c>
      <c r="AU763" t="s">
        <v>86</v>
      </c>
      <c r="AV763" t="s">
        <v>2570</v>
      </c>
      <c r="AW763" t="s">
        <v>69</v>
      </c>
      <c r="AX763" t="s">
        <v>2520</v>
      </c>
      <c r="AY763" t="s">
        <v>2571</v>
      </c>
      <c r="AZ763" t="s">
        <v>245</v>
      </c>
      <c r="BA763" t="s">
        <v>245</v>
      </c>
      <c r="BB763" t="s">
        <v>244</v>
      </c>
      <c r="BC763" t="s">
        <v>244</v>
      </c>
      <c r="BD763" t="s">
        <v>2578</v>
      </c>
      <c r="BE763" t="s">
        <v>2573</v>
      </c>
      <c r="BF763" t="s">
        <v>279</v>
      </c>
      <c r="BG763" t="s">
        <v>150</v>
      </c>
      <c r="BH763" t="str">
        <f>IF(COUNTIF(工作表1!A:A, $C763)&gt;0, "預購款", "非預購款")</f>
        <v>預購款</v>
      </c>
    </row>
    <row r="764" spans="1:60" x14ac:dyDescent="0.25">
      <c r="A764" t="s">
        <v>2580</v>
      </c>
      <c r="B764" t="s">
        <v>535</v>
      </c>
      <c r="C764" t="s">
        <v>2581</v>
      </c>
      <c r="D764" t="s">
        <v>2582</v>
      </c>
      <c r="E764" t="s">
        <v>2583</v>
      </c>
      <c r="F764" t="s">
        <v>954</v>
      </c>
      <c r="G764" t="s">
        <v>2584</v>
      </c>
      <c r="H764" t="s">
        <v>66</v>
      </c>
      <c r="I764" t="s">
        <v>97</v>
      </c>
      <c r="J764" t="s">
        <v>98</v>
      </c>
      <c r="K764" t="s">
        <v>69</v>
      </c>
      <c r="L764" t="s">
        <v>2585</v>
      </c>
      <c r="M764" t="s">
        <v>71</v>
      </c>
      <c r="N764" t="s">
        <v>198</v>
      </c>
      <c r="O764" t="s">
        <v>2306</v>
      </c>
      <c r="P764" t="s">
        <v>2307</v>
      </c>
      <c r="R764" t="s">
        <v>2518</v>
      </c>
      <c r="S764" t="s">
        <v>2579</v>
      </c>
      <c r="T764" t="s">
        <v>76</v>
      </c>
      <c r="U764" t="s">
        <v>527</v>
      </c>
      <c r="V764" t="s">
        <v>1311</v>
      </c>
      <c r="W764">
        <v>590</v>
      </c>
      <c r="X764">
        <v>29.99</v>
      </c>
      <c r="Y764">
        <v>75</v>
      </c>
      <c r="Z764">
        <v>429000</v>
      </c>
      <c r="AA764">
        <v>295000</v>
      </c>
      <c r="AB764">
        <v>188</v>
      </c>
      <c r="AD764" t="s">
        <v>238</v>
      </c>
      <c r="AE764">
        <v>1</v>
      </c>
      <c r="AF764">
        <v>0</v>
      </c>
      <c r="AI764">
        <v>250</v>
      </c>
      <c r="AJ764">
        <v>250</v>
      </c>
      <c r="AK764">
        <v>500</v>
      </c>
      <c r="AL764">
        <v>500</v>
      </c>
      <c r="AM764">
        <v>0</v>
      </c>
      <c r="AN764">
        <v>0</v>
      </c>
      <c r="AO764">
        <v>0</v>
      </c>
      <c r="AP764" t="s">
        <v>69</v>
      </c>
      <c r="AR764" t="s">
        <v>86</v>
      </c>
      <c r="AS764" t="s">
        <v>86</v>
      </c>
      <c r="AT764" t="s">
        <v>240</v>
      </c>
      <c r="AU764" t="s">
        <v>86</v>
      </c>
      <c r="AV764" t="s">
        <v>2586</v>
      </c>
      <c r="AW764" t="s">
        <v>69</v>
      </c>
      <c r="AX764" t="s">
        <v>2587</v>
      </c>
      <c r="AY764" t="s">
        <v>2588</v>
      </c>
      <c r="BD764" t="s">
        <v>2589</v>
      </c>
      <c r="BE764" t="s">
        <v>2590</v>
      </c>
      <c r="BH764" t="str">
        <f>IF(COUNTIF(工作表1!A:A, $C764)&gt;0, "預購款", "非預購款")</f>
        <v>預購款</v>
      </c>
    </row>
    <row r="765" spans="1:60" x14ac:dyDescent="0.25">
      <c r="A765" t="s">
        <v>2591</v>
      </c>
      <c r="B765" t="s">
        <v>488</v>
      </c>
      <c r="C765" t="s">
        <v>2592</v>
      </c>
      <c r="D765" t="s">
        <v>2593</v>
      </c>
      <c r="E765" t="s">
        <v>2594</v>
      </c>
      <c r="F765" t="s">
        <v>181</v>
      </c>
      <c r="G765" t="s">
        <v>2595</v>
      </c>
      <c r="H765" t="s">
        <v>119</v>
      </c>
      <c r="I765" t="s">
        <v>162</v>
      </c>
      <c r="J765" t="s">
        <v>163</v>
      </c>
      <c r="K765" t="s">
        <v>69</v>
      </c>
      <c r="L765" t="s">
        <v>2596</v>
      </c>
      <c r="M765" t="s">
        <v>71</v>
      </c>
      <c r="N765" t="s">
        <v>100</v>
      </c>
      <c r="O765" t="s">
        <v>2597</v>
      </c>
      <c r="P765" t="s">
        <v>2598</v>
      </c>
      <c r="R765" t="s">
        <v>2599</v>
      </c>
      <c r="S765" t="s">
        <v>176</v>
      </c>
      <c r="T765" t="s">
        <v>258</v>
      </c>
      <c r="U765" t="s">
        <v>104</v>
      </c>
      <c r="V765" t="s">
        <v>2600</v>
      </c>
      <c r="W765">
        <v>690</v>
      </c>
      <c r="X765">
        <v>29.99</v>
      </c>
      <c r="Y765">
        <v>89</v>
      </c>
      <c r="Z765">
        <v>499000</v>
      </c>
      <c r="AA765">
        <v>558900</v>
      </c>
      <c r="AB765">
        <v>200</v>
      </c>
      <c r="AD765" t="s">
        <v>238</v>
      </c>
      <c r="AE765">
        <v>2</v>
      </c>
      <c r="AF765">
        <v>20</v>
      </c>
      <c r="AI765">
        <v>0</v>
      </c>
      <c r="AJ765">
        <v>270</v>
      </c>
      <c r="AK765">
        <v>290</v>
      </c>
      <c r="AL765">
        <v>810</v>
      </c>
      <c r="AM765">
        <v>290</v>
      </c>
      <c r="AN765">
        <v>0</v>
      </c>
      <c r="AO765">
        <v>290</v>
      </c>
      <c r="AP765" t="s">
        <v>80</v>
      </c>
      <c r="AQ765" t="s">
        <v>1151</v>
      </c>
      <c r="AR765" t="s">
        <v>86</v>
      </c>
      <c r="AS765" t="s">
        <v>86</v>
      </c>
      <c r="AT765" t="s">
        <v>86</v>
      </c>
      <c r="AU765" t="s">
        <v>86</v>
      </c>
      <c r="AV765" t="s">
        <v>2601</v>
      </c>
      <c r="AW765" t="s">
        <v>69</v>
      </c>
      <c r="AX765" t="s">
        <v>737</v>
      </c>
      <c r="AY765" t="s">
        <v>2602</v>
      </c>
      <c r="AZ765" t="s">
        <v>264</v>
      </c>
      <c r="BA765" t="s">
        <v>244</v>
      </c>
      <c r="BB765" t="s">
        <v>245</v>
      </c>
      <c r="BC765" t="s">
        <v>245</v>
      </c>
      <c r="BD765" t="s">
        <v>2603</v>
      </c>
      <c r="BE765" t="s">
        <v>2604</v>
      </c>
      <c r="BF765" t="s">
        <v>658</v>
      </c>
      <c r="BG765" t="s">
        <v>110</v>
      </c>
      <c r="BH765" t="str">
        <f>IF(COUNTIF(工作表1!A:A, $C765)&gt;0, "預購款", "非預購款")</f>
        <v>非預購款</v>
      </c>
    </row>
    <row r="766" spans="1:60" x14ac:dyDescent="0.25">
      <c r="A766" t="s">
        <v>2591</v>
      </c>
      <c r="B766" t="s">
        <v>488</v>
      </c>
      <c r="C766" t="s">
        <v>2592</v>
      </c>
      <c r="D766" t="s">
        <v>2593</v>
      </c>
      <c r="E766" t="s">
        <v>2594</v>
      </c>
      <c r="F766" t="s">
        <v>181</v>
      </c>
      <c r="G766" t="s">
        <v>2595</v>
      </c>
      <c r="H766" t="s">
        <v>130</v>
      </c>
      <c r="I766" t="s">
        <v>162</v>
      </c>
      <c r="J766" t="s">
        <v>163</v>
      </c>
      <c r="K766" t="s">
        <v>69</v>
      </c>
      <c r="L766" t="s">
        <v>2596</v>
      </c>
      <c r="M766" t="s">
        <v>71</v>
      </c>
      <c r="N766" t="s">
        <v>100</v>
      </c>
      <c r="O766" t="s">
        <v>2597</v>
      </c>
      <c r="P766" t="s">
        <v>2598</v>
      </c>
      <c r="R766" t="s">
        <v>2599</v>
      </c>
      <c r="S766" t="s">
        <v>176</v>
      </c>
      <c r="T766" t="s">
        <v>258</v>
      </c>
      <c r="U766" t="s">
        <v>104</v>
      </c>
      <c r="V766" t="s">
        <v>2600</v>
      </c>
      <c r="W766">
        <v>690</v>
      </c>
      <c r="X766">
        <v>29.99</v>
      </c>
      <c r="Y766">
        <v>89</v>
      </c>
      <c r="Z766">
        <v>499000</v>
      </c>
      <c r="AA766">
        <v>558900</v>
      </c>
      <c r="AB766">
        <v>200</v>
      </c>
      <c r="AD766" t="s">
        <v>238</v>
      </c>
      <c r="AE766">
        <v>2</v>
      </c>
      <c r="AF766">
        <v>15</v>
      </c>
      <c r="AI766">
        <v>0</v>
      </c>
      <c r="AJ766">
        <v>150</v>
      </c>
      <c r="AK766">
        <v>165</v>
      </c>
      <c r="AL766">
        <v>810</v>
      </c>
      <c r="AM766">
        <v>166</v>
      </c>
      <c r="AN766">
        <v>0</v>
      </c>
      <c r="AO766">
        <v>166</v>
      </c>
      <c r="AP766" t="s">
        <v>80</v>
      </c>
      <c r="AQ766" t="s">
        <v>1151</v>
      </c>
      <c r="AR766" t="s">
        <v>86</v>
      </c>
      <c r="AS766" t="s">
        <v>86</v>
      </c>
      <c r="AT766" t="s">
        <v>86</v>
      </c>
      <c r="AU766" t="s">
        <v>86</v>
      </c>
      <c r="AV766" t="s">
        <v>2601</v>
      </c>
      <c r="AW766" t="s">
        <v>69</v>
      </c>
      <c r="AX766" t="s">
        <v>737</v>
      </c>
      <c r="AY766" t="s">
        <v>2602</v>
      </c>
      <c r="AZ766" t="s">
        <v>264</v>
      </c>
      <c r="BA766" t="s">
        <v>244</v>
      </c>
      <c r="BB766" t="s">
        <v>245</v>
      </c>
      <c r="BC766" t="s">
        <v>245</v>
      </c>
      <c r="BD766" t="s">
        <v>2605</v>
      </c>
      <c r="BE766" t="s">
        <v>2604</v>
      </c>
      <c r="BF766" t="s">
        <v>658</v>
      </c>
      <c r="BG766" t="s">
        <v>110</v>
      </c>
      <c r="BH766" t="str">
        <f>IF(COUNTIF(工作表1!A:A, $C766)&gt;0, "預購款", "非預購款")</f>
        <v>非預購款</v>
      </c>
    </row>
    <row r="767" spans="1:60" x14ac:dyDescent="0.25">
      <c r="A767" t="s">
        <v>2591</v>
      </c>
      <c r="B767" t="s">
        <v>488</v>
      </c>
      <c r="C767" t="s">
        <v>2592</v>
      </c>
      <c r="D767" t="s">
        <v>2593</v>
      </c>
      <c r="E767" t="s">
        <v>2594</v>
      </c>
      <c r="F767" t="s">
        <v>181</v>
      </c>
      <c r="G767" t="s">
        <v>2595</v>
      </c>
      <c r="H767" t="s">
        <v>132</v>
      </c>
      <c r="I767" t="s">
        <v>162</v>
      </c>
      <c r="J767" t="s">
        <v>163</v>
      </c>
      <c r="K767" t="s">
        <v>69</v>
      </c>
      <c r="L767" t="s">
        <v>2596</v>
      </c>
      <c r="M767" t="s">
        <v>71</v>
      </c>
      <c r="N767" t="s">
        <v>100</v>
      </c>
      <c r="O767" t="s">
        <v>2597</v>
      </c>
      <c r="P767" t="s">
        <v>2598</v>
      </c>
      <c r="R767" t="s">
        <v>2599</v>
      </c>
      <c r="S767" t="s">
        <v>176</v>
      </c>
      <c r="T767" t="s">
        <v>258</v>
      </c>
      <c r="U767" t="s">
        <v>104</v>
      </c>
      <c r="V767" t="s">
        <v>2600</v>
      </c>
      <c r="W767">
        <v>690</v>
      </c>
      <c r="X767">
        <v>29.99</v>
      </c>
      <c r="Y767">
        <v>89</v>
      </c>
      <c r="Z767">
        <v>499000</v>
      </c>
      <c r="AA767">
        <v>558900</v>
      </c>
      <c r="AB767">
        <v>200</v>
      </c>
      <c r="AD767" t="s">
        <v>238</v>
      </c>
      <c r="AE767">
        <v>2</v>
      </c>
      <c r="AF767">
        <v>0</v>
      </c>
      <c r="AI767">
        <v>15</v>
      </c>
      <c r="AJ767">
        <v>35</v>
      </c>
      <c r="AK767">
        <v>50</v>
      </c>
      <c r="AL767">
        <v>810</v>
      </c>
      <c r="AM767">
        <v>48</v>
      </c>
      <c r="AN767">
        <v>0</v>
      </c>
      <c r="AO767">
        <v>48</v>
      </c>
      <c r="AP767" t="s">
        <v>80</v>
      </c>
      <c r="AQ767" t="s">
        <v>1151</v>
      </c>
      <c r="AR767" t="s">
        <v>86</v>
      </c>
      <c r="AS767" t="s">
        <v>86</v>
      </c>
      <c r="AT767" t="s">
        <v>86</v>
      </c>
      <c r="AU767" t="s">
        <v>86</v>
      </c>
      <c r="AV767" t="s">
        <v>2601</v>
      </c>
      <c r="AW767" t="s">
        <v>69</v>
      </c>
      <c r="AX767" t="s">
        <v>737</v>
      </c>
      <c r="AY767" t="s">
        <v>2602</v>
      </c>
      <c r="AZ767" t="s">
        <v>264</v>
      </c>
      <c r="BA767" t="s">
        <v>244</v>
      </c>
      <c r="BB767" t="s">
        <v>245</v>
      </c>
      <c r="BC767" t="s">
        <v>245</v>
      </c>
      <c r="BD767" t="s">
        <v>2606</v>
      </c>
      <c r="BE767" t="s">
        <v>2604</v>
      </c>
      <c r="BF767" t="s">
        <v>658</v>
      </c>
      <c r="BG767" t="s">
        <v>110</v>
      </c>
      <c r="BH767" t="str">
        <f>IF(COUNTIF(工作表1!A:A, $C767)&gt;0, "預購款", "非預購款")</f>
        <v>非預購款</v>
      </c>
    </row>
    <row r="768" spans="1:60" x14ac:dyDescent="0.25">
      <c r="A768" t="s">
        <v>2591</v>
      </c>
      <c r="B768" t="s">
        <v>488</v>
      </c>
      <c r="C768" t="s">
        <v>2592</v>
      </c>
      <c r="D768" t="s">
        <v>2593</v>
      </c>
      <c r="E768" t="s">
        <v>2594</v>
      </c>
      <c r="F768" t="s">
        <v>181</v>
      </c>
      <c r="G768" t="s">
        <v>2595</v>
      </c>
      <c r="H768" t="s">
        <v>119</v>
      </c>
      <c r="I768" t="s">
        <v>88</v>
      </c>
      <c r="J768" t="s">
        <v>89</v>
      </c>
      <c r="K768" t="s">
        <v>69</v>
      </c>
      <c r="L768" t="s">
        <v>2596</v>
      </c>
      <c r="M768" t="s">
        <v>71</v>
      </c>
      <c r="N768" t="s">
        <v>100</v>
      </c>
      <c r="O768" t="s">
        <v>2597</v>
      </c>
      <c r="P768" t="s">
        <v>2598</v>
      </c>
      <c r="R768" t="s">
        <v>2599</v>
      </c>
      <c r="S768" t="s">
        <v>176</v>
      </c>
      <c r="T768" t="s">
        <v>258</v>
      </c>
      <c r="U768" t="s">
        <v>104</v>
      </c>
      <c r="V768" t="s">
        <v>2600</v>
      </c>
      <c r="W768">
        <v>690</v>
      </c>
      <c r="X768">
        <v>29.99</v>
      </c>
      <c r="Y768">
        <v>89</v>
      </c>
      <c r="Z768">
        <v>499000</v>
      </c>
      <c r="AA768">
        <v>558900</v>
      </c>
      <c r="AB768">
        <v>200</v>
      </c>
      <c r="AD768" t="s">
        <v>238</v>
      </c>
      <c r="AE768">
        <v>2</v>
      </c>
      <c r="AF768">
        <v>20</v>
      </c>
      <c r="AI768">
        <v>20</v>
      </c>
      <c r="AJ768">
        <v>150</v>
      </c>
      <c r="AK768">
        <v>190</v>
      </c>
      <c r="AL768">
        <v>810</v>
      </c>
      <c r="AM768">
        <v>185</v>
      </c>
      <c r="AN768">
        <v>0</v>
      </c>
      <c r="AO768">
        <v>185</v>
      </c>
      <c r="AP768" t="s">
        <v>80</v>
      </c>
      <c r="AQ768" t="s">
        <v>1151</v>
      </c>
      <c r="AR768" t="s">
        <v>86</v>
      </c>
      <c r="AS768" t="s">
        <v>86</v>
      </c>
      <c r="AT768" t="s">
        <v>86</v>
      </c>
      <c r="AU768" t="s">
        <v>86</v>
      </c>
      <c r="AV768" t="s">
        <v>2601</v>
      </c>
      <c r="AW768" t="s">
        <v>69</v>
      </c>
      <c r="AX768" t="s">
        <v>737</v>
      </c>
      <c r="AY768" t="s">
        <v>2602</v>
      </c>
      <c r="AZ768" t="s">
        <v>264</v>
      </c>
      <c r="BA768" t="s">
        <v>244</v>
      </c>
      <c r="BB768" t="s">
        <v>245</v>
      </c>
      <c r="BC768" t="s">
        <v>245</v>
      </c>
      <c r="BD768" t="s">
        <v>2607</v>
      </c>
      <c r="BE768" t="s">
        <v>2604</v>
      </c>
      <c r="BF768" t="s">
        <v>658</v>
      </c>
      <c r="BG768" t="s">
        <v>110</v>
      </c>
      <c r="BH768" t="str">
        <f>IF(COUNTIF(工作表1!A:A, $C768)&gt;0, "預購款", "非預購款")</f>
        <v>非預購款</v>
      </c>
    </row>
    <row r="769" spans="1:60" x14ac:dyDescent="0.25">
      <c r="A769" t="s">
        <v>2591</v>
      </c>
      <c r="B769" t="s">
        <v>488</v>
      </c>
      <c r="C769" t="s">
        <v>2592</v>
      </c>
      <c r="D769" t="s">
        <v>2593</v>
      </c>
      <c r="E769" t="s">
        <v>2594</v>
      </c>
      <c r="F769" t="s">
        <v>181</v>
      </c>
      <c r="G769" t="s">
        <v>2595</v>
      </c>
      <c r="H769" t="s">
        <v>130</v>
      </c>
      <c r="I769" t="s">
        <v>88</v>
      </c>
      <c r="J769" t="s">
        <v>89</v>
      </c>
      <c r="K769" t="s">
        <v>69</v>
      </c>
      <c r="L769" t="s">
        <v>2596</v>
      </c>
      <c r="M769" t="s">
        <v>71</v>
      </c>
      <c r="N769" t="s">
        <v>100</v>
      </c>
      <c r="O769" t="s">
        <v>2597</v>
      </c>
      <c r="P769" t="s">
        <v>2598</v>
      </c>
      <c r="R769" t="s">
        <v>2599</v>
      </c>
      <c r="S769" t="s">
        <v>176</v>
      </c>
      <c r="T769" t="s">
        <v>258</v>
      </c>
      <c r="U769" t="s">
        <v>104</v>
      </c>
      <c r="V769" t="s">
        <v>2600</v>
      </c>
      <c r="W769">
        <v>690</v>
      </c>
      <c r="X769">
        <v>29.99</v>
      </c>
      <c r="Y769">
        <v>89</v>
      </c>
      <c r="Z769">
        <v>499000</v>
      </c>
      <c r="AA769">
        <v>558900</v>
      </c>
      <c r="AB769">
        <v>200</v>
      </c>
      <c r="AD769" t="s">
        <v>238</v>
      </c>
      <c r="AE769">
        <v>2</v>
      </c>
      <c r="AF769">
        <v>15</v>
      </c>
      <c r="AI769">
        <v>10</v>
      </c>
      <c r="AJ769">
        <v>60</v>
      </c>
      <c r="AK769">
        <v>85</v>
      </c>
      <c r="AL769">
        <v>810</v>
      </c>
      <c r="AM769">
        <v>84</v>
      </c>
      <c r="AN769">
        <v>0</v>
      </c>
      <c r="AO769">
        <v>84</v>
      </c>
      <c r="AP769" t="s">
        <v>80</v>
      </c>
      <c r="AQ769" t="s">
        <v>1151</v>
      </c>
      <c r="AR769" t="s">
        <v>86</v>
      </c>
      <c r="AS769" t="s">
        <v>86</v>
      </c>
      <c r="AT769" t="s">
        <v>86</v>
      </c>
      <c r="AU769" t="s">
        <v>86</v>
      </c>
      <c r="AV769" t="s">
        <v>2601</v>
      </c>
      <c r="AW769" t="s">
        <v>69</v>
      </c>
      <c r="AX769" t="s">
        <v>737</v>
      </c>
      <c r="AY769" t="s">
        <v>2602</v>
      </c>
      <c r="AZ769" t="s">
        <v>264</v>
      </c>
      <c r="BA769" t="s">
        <v>244</v>
      </c>
      <c r="BB769" t="s">
        <v>245</v>
      </c>
      <c r="BC769" t="s">
        <v>245</v>
      </c>
      <c r="BD769" t="s">
        <v>2608</v>
      </c>
      <c r="BE769" t="s">
        <v>2604</v>
      </c>
      <c r="BF769" t="s">
        <v>658</v>
      </c>
      <c r="BG769" t="s">
        <v>110</v>
      </c>
      <c r="BH769" t="str">
        <f>IF(COUNTIF(工作表1!A:A, $C769)&gt;0, "預購款", "非預購款")</f>
        <v>非預購款</v>
      </c>
    </row>
    <row r="770" spans="1:60" x14ac:dyDescent="0.25">
      <c r="A770" t="s">
        <v>2591</v>
      </c>
      <c r="B770" t="s">
        <v>488</v>
      </c>
      <c r="C770" t="s">
        <v>2592</v>
      </c>
      <c r="D770" t="s">
        <v>2593</v>
      </c>
      <c r="E770" t="s">
        <v>2594</v>
      </c>
      <c r="F770" t="s">
        <v>181</v>
      </c>
      <c r="G770" t="s">
        <v>2595</v>
      </c>
      <c r="H770" t="s">
        <v>132</v>
      </c>
      <c r="I770" t="s">
        <v>88</v>
      </c>
      <c r="J770" t="s">
        <v>89</v>
      </c>
      <c r="K770" t="s">
        <v>69</v>
      </c>
      <c r="L770" t="s">
        <v>2596</v>
      </c>
      <c r="M770" t="s">
        <v>71</v>
      </c>
      <c r="N770" t="s">
        <v>100</v>
      </c>
      <c r="O770" t="s">
        <v>2597</v>
      </c>
      <c r="P770" t="s">
        <v>2598</v>
      </c>
      <c r="R770" t="s">
        <v>2599</v>
      </c>
      <c r="S770" t="s">
        <v>176</v>
      </c>
      <c r="T770" t="s">
        <v>258</v>
      </c>
      <c r="U770" t="s">
        <v>104</v>
      </c>
      <c r="V770" t="s">
        <v>2600</v>
      </c>
      <c r="W770">
        <v>690</v>
      </c>
      <c r="X770">
        <v>29.99</v>
      </c>
      <c r="Y770">
        <v>89</v>
      </c>
      <c r="Z770">
        <v>499000</v>
      </c>
      <c r="AA770">
        <v>558900</v>
      </c>
      <c r="AB770">
        <v>200</v>
      </c>
      <c r="AD770" t="s">
        <v>238</v>
      </c>
      <c r="AE770">
        <v>2</v>
      </c>
      <c r="AF770">
        <v>0</v>
      </c>
      <c r="AI770">
        <v>10</v>
      </c>
      <c r="AJ770">
        <v>20</v>
      </c>
      <c r="AK770">
        <v>30</v>
      </c>
      <c r="AL770">
        <v>810</v>
      </c>
      <c r="AM770">
        <v>25</v>
      </c>
      <c r="AN770">
        <v>0</v>
      </c>
      <c r="AO770">
        <v>25</v>
      </c>
      <c r="AP770" t="s">
        <v>80</v>
      </c>
      <c r="AQ770" t="s">
        <v>1151</v>
      </c>
      <c r="AR770" t="s">
        <v>86</v>
      </c>
      <c r="AS770" t="s">
        <v>86</v>
      </c>
      <c r="AT770" t="s">
        <v>86</v>
      </c>
      <c r="AU770" t="s">
        <v>86</v>
      </c>
      <c r="AV770" t="s">
        <v>2601</v>
      </c>
      <c r="AW770" t="s">
        <v>69</v>
      </c>
      <c r="AX770" t="s">
        <v>737</v>
      </c>
      <c r="AY770" t="s">
        <v>2602</v>
      </c>
      <c r="AZ770" t="s">
        <v>264</v>
      </c>
      <c r="BA770" t="s">
        <v>244</v>
      </c>
      <c r="BB770" t="s">
        <v>245</v>
      </c>
      <c r="BC770" t="s">
        <v>245</v>
      </c>
      <c r="BD770" t="s">
        <v>2609</v>
      </c>
      <c r="BE770" t="s">
        <v>2604</v>
      </c>
      <c r="BF770" t="s">
        <v>658</v>
      </c>
      <c r="BG770" t="s">
        <v>110</v>
      </c>
      <c r="BH770" t="str">
        <f>IF(COUNTIF(工作表1!A:A, $C770)&gt;0, "預購款", "非預購款")</f>
        <v>非預購款</v>
      </c>
    </row>
    <row r="771" spans="1:60" x14ac:dyDescent="0.25">
      <c r="A771" t="s">
        <v>2610</v>
      </c>
      <c r="B771" t="s">
        <v>488</v>
      </c>
      <c r="C771" t="s">
        <v>2611</v>
      </c>
      <c r="D771" t="s">
        <v>2612</v>
      </c>
      <c r="E771" t="s">
        <v>2613</v>
      </c>
      <c r="F771" t="s">
        <v>181</v>
      </c>
      <c r="G771" t="s">
        <v>2614</v>
      </c>
      <c r="H771" t="s">
        <v>119</v>
      </c>
      <c r="I771" t="s">
        <v>162</v>
      </c>
      <c r="J771" t="s">
        <v>163</v>
      </c>
      <c r="K771" t="s">
        <v>69</v>
      </c>
      <c r="L771" t="s">
        <v>2615</v>
      </c>
      <c r="M771" t="s">
        <v>71</v>
      </c>
      <c r="N771" t="s">
        <v>100</v>
      </c>
      <c r="O771" t="s">
        <v>2597</v>
      </c>
      <c r="P771" t="s">
        <v>2598</v>
      </c>
      <c r="R771" t="s">
        <v>2599</v>
      </c>
      <c r="S771" t="s">
        <v>176</v>
      </c>
      <c r="T771" t="s">
        <v>258</v>
      </c>
      <c r="U771" t="s">
        <v>146</v>
      </c>
      <c r="V771" t="s">
        <v>321</v>
      </c>
      <c r="W771">
        <v>790</v>
      </c>
      <c r="X771">
        <v>34.99</v>
      </c>
      <c r="Y771">
        <v>99</v>
      </c>
      <c r="Z771">
        <v>569000</v>
      </c>
      <c r="AA771">
        <v>455830</v>
      </c>
      <c r="AB771">
        <v>225</v>
      </c>
      <c r="AD771" t="s">
        <v>238</v>
      </c>
      <c r="AE771">
        <v>2</v>
      </c>
      <c r="AF771">
        <v>10</v>
      </c>
      <c r="AI771">
        <v>20</v>
      </c>
      <c r="AJ771">
        <v>140</v>
      </c>
      <c r="AK771">
        <v>170</v>
      </c>
      <c r="AL771">
        <v>577</v>
      </c>
      <c r="AM771">
        <v>162</v>
      </c>
      <c r="AN771">
        <v>0</v>
      </c>
      <c r="AO771">
        <v>162</v>
      </c>
      <c r="AP771" t="s">
        <v>80</v>
      </c>
      <c r="AQ771" t="s">
        <v>1151</v>
      </c>
      <c r="AR771" t="s">
        <v>240</v>
      </c>
      <c r="AS771" t="s">
        <v>240</v>
      </c>
      <c r="AT771" t="s">
        <v>240</v>
      </c>
      <c r="AU771" t="s">
        <v>240</v>
      </c>
      <c r="AV771" t="s">
        <v>2616</v>
      </c>
      <c r="AW771" t="s">
        <v>69</v>
      </c>
      <c r="AX771" t="s">
        <v>262</v>
      </c>
      <c r="AY771" t="s">
        <v>2617</v>
      </c>
      <c r="AZ771" t="s">
        <v>264</v>
      </c>
      <c r="BA771" t="s">
        <v>245</v>
      </c>
      <c r="BB771" t="s">
        <v>245</v>
      </c>
      <c r="BC771" t="s">
        <v>245</v>
      </c>
      <c r="BD771" t="s">
        <v>2618</v>
      </c>
      <c r="BE771" t="s">
        <v>2619</v>
      </c>
      <c r="BF771" t="s">
        <v>240</v>
      </c>
      <c r="BG771" t="s">
        <v>110</v>
      </c>
      <c r="BH771" t="str">
        <f>IF(COUNTIF(工作表1!A:A, $C771)&gt;0, "預購款", "非預購款")</f>
        <v>非預購款</v>
      </c>
    </row>
    <row r="772" spans="1:60" x14ac:dyDescent="0.25">
      <c r="A772" t="s">
        <v>2610</v>
      </c>
      <c r="B772" t="s">
        <v>488</v>
      </c>
      <c r="C772" t="s">
        <v>2611</v>
      </c>
      <c r="D772" t="s">
        <v>2612</v>
      </c>
      <c r="E772" t="s">
        <v>2613</v>
      </c>
      <c r="F772" t="s">
        <v>181</v>
      </c>
      <c r="G772" t="s">
        <v>2614</v>
      </c>
      <c r="H772" t="s">
        <v>130</v>
      </c>
      <c r="I772" t="s">
        <v>162</v>
      </c>
      <c r="J772" t="s">
        <v>163</v>
      </c>
      <c r="K772" t="s">
        <v>69</v>
      </c>
      <c r="L772" t="s">
        <v>2615</v>
      </c>
      <c r="M772" t="s">
        <v>71</v>
      </c>
      <c r="N772" t="s">
        <v>100</v>
      </c>
      <c r="O772" t="s">
        <v>2597</v>
      </c>
      <c r="P772" t="s">
        <v>2598</v>
      </c>
      <c r="R772" t="s">
        <v>2599</v>
      </c>
      <c r="S772" t="s">
        <v>176</v>
      </c>
      <c r="T772" t="s">
        <v>258</v>
      </c>
      <c r="U772" t="s">
        <v>146</v>
      </c>
      <c r="V772" t="s">
        <v>321</v>
      </c>
      <c r="W772">
        <v>790</v>
      </c>
      <c r="X772">
        <v>34.99</v>
      </c>
      <c r="Y772">
        <v>99</v>
      </c>
      <c r="Z772">
        <v>569000</v>
      </c>
      <c r="AA772">
        <v>455830</v>
      </c>
      <c r="AB772">
        <v>225</v>
      </c>
      <c r="AD772" t="s">
        <v>238</v>
      </c>
      <c r="AE772">
        <v>2</v>
      </c>
      <c r="AF772">
        <v>6</v>
      </c>
      <c r="AI772">
        <v>0</v>
      </c>
      <c r="AJ772">
        <v>90</v>
      </c>
      <c r="AK772">
        <v>96</v>
      </c>
      <c r="AL772">
        <v>577</v>
      </c>
      <c r="AM772">
        <v>94</v>
      </c>
      <c r="AN772">
        <v>0</v>
      </c>
      <c r="AO772">
        <v>94</v>
      </c>
      <c r="AP772" t="s">
        <v>80</v>
      </c>
      <c r="AQ772" t="s">
        <v>1151</v>
      </c>
      <c r="AR772" t="s">
        <v>240</v>
      </c>
      <c r="AS772" t="s">
        <v>240</v>
      </c>
      <c r="AT772" t="s">
        <v>240</v>
      </c>
      <c r="AU772" t="s">
        <v>240</v>
      </c>
      <c r="AV772" t="s">
        <v>2616</v>
      </c>
      <c r="AW772" t="s">
        <v>69</v>
      </c>
      <c r="AX772" t="s">
        <v>262</v>
      </c>
      <c r="AY772" t="s">
        <v>2617</v>
      </c>
      <c r="AZ772" t="s">
        <v>264</v>
      </c>
      <c r="BA772" t="s">
        <v>245</v>
      </c>
      <c r="BB772" t="s">
        <v>245</v>
      </c>
      <c r="BC772" t="s">
        <v>245</v>
      </c>
      <c r="BD772" t="s">
        <v>2620</v>
      </c>
      <c r="BE772" t="s">
        <v>2619</v>
      </c>
      <c r="BF772" t="s">
        <v>240</v>
      </c>
      <c r="BG772" t="s">
        <v>110</v>
      </c>
      <c r="BH772" t="str">
        <f>IF(COUNTIF(工作表1!A:A, $C772)&gt;0, "預購款", "非預購款")</f>
        <v>非預購款</v>
      </c>
    </row>
    <row r="773" spans="1:60" x14ac:dyDescent="0.25">
      <c r="A773" t="s">
        <v>2610</v>
      </c>
      <c r="B773" t="s">
        <v>488</v>
      </c>
      <c r="C773" t="s">
        <v>2611</v>
      </c>
      <c r="D773" t="s">
        <v>2612</v>
      </c>
      <c r="E773" t="s">
        <v>2613</v>
      </c>
      <c r="F773" t="s">
        <v>181</v>
      </c>
      <c r="G773" t="s">
        <v>2614</v>
      </c>
      <c r="H773" t="s">
        <v>132</v>
      </c>
      <c r="I773" t="s">
        <v>162</v>
      </c>
      <c r="J773" t="s">
        <v>163</v>
      </c>
      <c r="K773" t="s">
        <v>69</v>
      </c>
      <c r="L773" t="s">
        <v>2615</v>
      </c>
      <c r="M773" t="s">
        <v>71</v>
      </c>
      <c r="N773" t="s">
        <v>100</v>
      </c>
      <c r="O773" t="s">
        <v>2597</v>
      </c>
      <c r="P773" t="s">
        <v>2598</v>
      </c>
      <c r="R773" t="s">
        <v>2599</v>
      </c>
      <c r="S773" t="s">
        <v>176</v>
      </c>
      <c r="T773" t="s">
        <v>258</v>
      </c>
      <c r="U773" t="s">
        <v>146</v>
      </c>
      <c r="V773" t="s">
        <v>321</v>
      </c>
      <c r="W773">
        <v>790</v>
      </c>
      <c r="X773">
        <v>34.99</v>
      </c>
      <c r="Y773">
        <v>99</v>
      </c>
      <c r="Z773">
        <v>569000</v>
      </c>
      <c r="AA773">
        <v>455830</v>
      </c>
      <c r="AB773">
        <v>225</v>
      </c>
      <c r="AD773" t="s">
        <v>238</v>
      </c>
      <c r="AE773">
        <v>2</v>
      </c>
      <c r="AF773">
        <v>0</v>
      </c>
      <c r="AI773">
        <v>10</v>
      </c>
      <c r="AJ773">
        <v>40</v>
      </c>
      <c r="AK773">
        <v>50</v>
      </c>
      <c r="AL773">
        <v>577</v>
      </c>
      <c r="AM773">
        <v>53</v>
      </c>
      <c r="AN773">
        <v>0</v>
      </c>
      <c r="AO773">
        <v>53</v>
      </c>
      <c r="AP773" t="s">
        <v>80</v>
      </c>
      <c r="AQ773" t="s">
        <v>1151</v>
      </c>
      <c r="AR773" t="s">
        <v>240</v>
      </c>
      <c r="AS773" t="s">
        <v>240</v>
      </c>
      <c r="AT773" t="s">
        <v>240</v>
      </c>
      <c r="AU773" t="s">
        <v>240</v>
      </c>
      <c r="AV773" t="s">
        <v>2616</v>
      </c>
      <c r="AW773" t="s">
        <v>69</v>
      </c>
      <c r="AX773" t="s">
        <v>262</v>
      </c>
      <c r="AY773" t="s">
        <v>2617</v>
      </c>
      <c r="AZ773" t="s">
        <v>264</v>
      </c>
      <c r="BA773" t="s">
        <v>245</v>
      </c>
      <c r="BB773" t="s">
        <v>245</v>
      </c>
      <c r="BC773" t="s">
        <v>245</v>
      </c>
      <c r="BD773" t="s">
        <v>2621</v>
      </c>
      <c r="BE773" t="s">
        <v>2619</v>
      </c>
      <c r="BF773" t="s">
        <v>240</v>
      </c>
      <c r="BG773" t="s">
        <v>110</v>
      </c>
      <c r="BH773" t="str">
        <f>IF(COUNTIF(工作表1!A:A, $C773)&gt;0, "預購款", "非預購款")</f>
        <v>非預購款</v>
      </c>
    </row>
    <row r="774" spans="1:60" x14ac:dyDescent="0.25">
      <c r="A774" t="s">
        <v>2610</v>
      </c>
      <c r="B774" t="s">
        <v>488</v>
      </c>
      <c r="C774" t="s">
        <v>2611</v>
      </c>
      <c r="D774" t="s">
        <v>2612</v>
      </c>
      <c r="E774" t="s">
        <v>2613</v>
      </c>
      <c r="F774" t="s">
        <v>181</v>
      </c>
      <c r="G774" t="s">
        <v>2614</v>
      </c>
      <c r="H774" t="s">
        <v>119</v>
      </c>
      <c r="I774" t="s">
        <v>88</v>
      </c>
      <c r="J774" t="s">
        <v>89</v>
      </c>
      <c r="K774" t="s">
        <v>69</v>
      </c>
      <c r="L774" t="s">
        <v>2615</v>
      </c>
      <c r="M774" t="s">
        <v>71</v>
      </c>
      <c r="N774" t="s">
        <v>100</v>
      </c>
      <c r="O774" t="s">
        <v>2597</v>
      </c>
      <c r="P774" t="s">
        <v>2598</v>
      </c>
      <c r="R774" t="s">
        <v>2599</v>
      </c>
      <c r="S774" t="s">
        <v>176</v>
      </c>
      <c r="T774" t="s">
        <v>258</v>
      </c>
      <c r="U774" t="s">
        <v>146</v>
      </c>
      <c r="V774" t="s">
        <v>321</v>
      </c>
      <c r="W774">
        <v>790</v>
      </c>
      <c r="X774">
        <v>34.99</v>
      </c>
      <c r="Y774">
        <v>99</v>
      </c>
      <c r="Z774">
        <v>569000</v>
      </c>
      <c r="AA774">
        <v>455830</v>
      </c>
      <c r="AB774">
        <v>225</v>
      </c>
      <c r="AD774" t="s">
        <v>238</v>
      </c>
      <c r="AE774">
        <v>2</v>
      </c>
      <c r="AF774">
        <v>10</v>
      </c>
      <c r="AI774">
        <v>20</v>
      </c>
      <c r="AJ774">
        <v>100</v>
      </c>
      <c r="AK774">
        <v>130</v>
      </c>
      <c r="AL774">
        <v>577</v>
      </c>
      <c r="AM774">
        <v>128</v>
      </c>
      <c r="AN774">
        <v>0</v>
      </c>
      <c r="AO774">
        <v>128</v>
      </c>
      <c r="AP774" t="s">
        <v>80</v>
      </c>
      <c r="AQ774" t="s">
        <v>1151</v>
      </c>
      <c r="AR774" t="s">
        <v>240</v>
      </c>
      <c r="AS774" t="s">
        <v>240</v>
      </c>
      <c r="AT774" t="s">
        <v>240</v>
      </c>
      <c r="AU774" t="s">
        <v>240</v>
      </c>
      <c r="AV774" t="s">
        <v>2616</v>
      </c>
      <c r="AW774" t="s">
        <v>69</v>
      </c>
      <c r="AX774" t="s">
        <v>262</v>
      </c>
      <c r="AY774" t="s">
        <v>2617</v>
      </c>
      <c r="AZ774" t="s">
        <v>264</v>
      </c>
      <c r="BA774" t="s">
        <v>245</v>
      </c>
      <c r="BB774" t="s">
        <v>245</v>
      </c>
      <c r="BC774" t="s">
        <v>245</v>
      </c>
      <c r="BD774" t="s">
        <v>2622</v>
      </c>
      <c r="BE774" t="s">
        <v>2619</v>
      </c>
      <c r="BF774" t="s">
        <v>240</v>
      </c>
      <c r="BG774" t="s">
        <v>110</v>
      </c>
      <c r="BH774" t="str">
        <f>IF(COUNTIF(工作表1!A:A, $C774)&gt;0, "預購款", "非預購款")</f>
        <v>非預購款</v>
      </c>
    </row>
    <row r="775" spans="1:60" x14ac:dyDescent="0.25">
      <c r="A775" t="s">
        <v>2610</v>
      </c>
      <c r="B775" t="s">
        <v>488</v>
      </c>
      <c r="C775" t="s">
        <v>2611</v>
      </c>
      <c r="D775" t="s">
        <v>2612</v>
      </c>
      <c r="E775" t="s">
        <v>2613</v>
      </c>
      <c r="F775" t="s">
        <v>181</v>
      </c>
      <c r="G775" t="s">
        <v>2614</v>
      </c>
      <c r="H775" t="s">
        <v>130</v>
      </c>
      <c r="I775" t="s">
        <v>88</v>
      </c>
      <c r="J775" t="s">
        <v>89</v>
      </c>
      <c r="K775" t="s">
        <v>69</v>
      </c>
      <c r="L775" t="s">
        <v>2615</v>
      </c>
      <c r="M775" t="s">
        <v>71</v>
      </c>
      <c r="N775" t="s">
        <v>100</v>
      </c>
      <c r="O775" t="s">
        <v>2597</v>
      </c>
      <c r="P775" t="s">
        <v>2598</v>
      </c>
      <c r="R775" t="s">
        <v>2599</v>
      </c>
      <c r="S775" t="s">
        <v>176</v>
      </c>
      <c r="T775" t="s">
        <v>258</v>
      </c>
      <c r="U775" t="s">
        <v>146</v>
      </c>
      <c r="V775" t="s">
        <v>321</v>
      </c>
      <c r="W775">
        <v>790</v>
      </c>
      <c r="X775">
        <v>34.99</v>
      </c>
      <c r="Y775">
        <v>99</v>
      </c>
      <c r="Z775">
        <v>569000</v>
      </c>
      <c r="AA775">
        <v>455830</v>
      </c>
      <c r="AB775">
        <v>225</v>
      </c>
      <c r="AD775" t="s">
        <v>238</v>
      </c>
      <c r="AE775">
        <v>2</v>
      </c>
      <c r="AF775">
        <v>6</v>
      </c>
      <c r="AI775">
        <v>10</v>
      </c>
      <c r="AJ775">
        <v>70</v>
      </c>
      <c r="AK775">
        <v>86</v>
      </c>
      <c r="AL775">
        <v>577</v>
      </c>
      <c r="AM775">
        <v>83</v>
      </c>
      <c r="AN775">
        <v>0</v>
      </c>
      <c r="AO775">
        <v>83</v>
      </c>
      <c r="AP775" t="s">
        <v>80</v>
      </c>
      <c r="AQ775" t="s">
        <v>1151</v>
      </c>
      <c r="AR775" t="s">
        <v>240</v>
      </c>
      <c r="AS775" t="s">
        <v>240</v>
      </c>
      <c r="AT775" t="s">
        <v>240</v>
      </c>
      <c r="AU775" t="s">
        <v>240</v>
      </c>
      <c r="AV775" t="s">
        <v>2616</v>
      </c>
      <c r="AW775" t="s">
        <v>69</v>
      </c>
      <c r="AX775" t="s">
        <v>262</v>
      </c>
      <c r="AY775" t="s">
        <v>2617</v>
      </c>
      <c r="AZ775" t="s">
        <v>264</v>
      </c>
      <c r="BA775" t="s">
        <v>245</v>
      </c>
      <c r="BB775" t="s">
        <v>245</v>
      </c>
      <c r="BC775" t="s">
        <v>245</v>
      </c>
      <c r="BD775" t="s">
        <v>2623</v>
      </c>
      <c r="BE775" t="s">
        <v>2619</v>
      </c>
      <c r="BF775" t="s">
        <v>240</v>
      </c>
      <c r="BG775" t="s">
        <v>110</v>
      </c>
      <c r="BH775" t="str">
        <f>IF(COUNTIF(工作表1!A:A, $C775)&gt;0, "預購款", "非預購款")</f>
        <v>非預購款</v>
      </c>
    </row>
    <row r="776" spans="1:60" x14ac:dyDescent="0.25">
      <c r="A776" t="s">
        <v>2610</v>
      </c>
      <c r="B776" t="s">
        <v>488</v>
      </c>
      <c r="C776" t="s">
        <v>2611</v>
      </c>
      <c r="D776" t="s">
        <v>2612</v>
      </c>
      <c r="E776" t="s">
        <v>2613</v>
      </c>
      <c r="F776" t="s">
        <v>181</v>
      </c>
      <c r="G776" t="s">
        <v>2614</v>
      </c>
      <c r="H776" t="s">
        <v>132</v>
      </c>
      <c r="I776" t="s">
        <v>88</v>
      </c>
      <c r="J776" t="s">
        <v>89</v>
      </c>
      <c r="K776" t="s">
        <v>69</v>
      </c>
      <c r="L776" t="s">
        <v>2615</v>
      </c>
      <c r="M776" t="s">
        <v>71</v>
      </c>
      <c r="N776" t="s">
        <v>100</v>
      </c>
      <c r="O776" t="s">
        <v>2597</v>
      </c>
      <c r="P776" t="s">
        <v>2598</v>
      </c>
      <c r="R776" t="s">
        <v>2599</v>
      </c>
      <c r="S776" t="s">
        <v>176</v>
      </c>
      <c r="T776" t="s">
        <v>258</v>
      </c>
      <c r="U776" t="s">
        <v>146</v>
      </c>
      <c r="V776" t="s">
        <v>321</v>
      </c>
      <c r="W776">
        <v>790</v>
      </c>
      <c r="X776">
        <v>34.99</v>
      </c>
      <c r="Y776">
        <v>99</v>
      </c>
      <c r="Z776">
        <v>569000</v>
      </c>
      <c r="AA776">
        <v>455830</v>
      </c>
      <c r="AB776">
        <v>225</v>
      </c>
      <c r="AD776" t="s">
        <v>238</v>
      </c>
      <c r="AE776">
        <v>2</v>
      </c>
      <c r="AF776">
        <v>0</v>
      </c>
      <c r="AI776">
        <v>10</v>
      </c>
      <c r="AJ776">
        <v>35</v>
      </c>
      <c r="AK776">
        <v>45</v>
      </c>
      <c r="AL776">
        <v>577</v>
      </c>
      <c r="AM776">
        <v>41</v>
      </c>
      <c r="AN776">
        <v>0</v>
      </c>
      <c r="AO776">
        <v>41</v>
      </c>
      <c r="AP776" t="s">
        <v>80</v>
      </c>
      <c r="AQ776" t="s">
        <v>1151</v>
      </c>
      <c r="AR776" t="s">
        <v>240</v>
      </c>
      <c r="AS776" t="s">
        <v>240</v>
      </c>
      <c r="AT776" t="s">
        <v>240</v>
      </c>
      <c r="AU776" t="s">
        <v>240</v>
      </c>
      <c r="AV776" t="s">
        <v>2616</v>
      </c>
      <c r="AW776" t="s">
        <v>69</v>
      </c>
      <c r="AX776" t="s">
        <v>262</v>
      </c>
      <c r="AY776" t="s">
        <v>2617</v>
      </c>
      <c r="AZ776" t="s">
        <v>264</v>
      </c>
      <c r="BA776" t="s">
        <v>245</v>
      </c>
      <c r="BB776" t="s">
        <v>245</v>
      </c>
      <c r="BC776" t="s">
        <v>245</v>
      </c>
      <c r="BD776" t="s">
        <v>2624</v>
      </c>
      <c r="BE776" t="s">
        <v>2619</v>
      </c>
      <c r="BF776" t="s">
        <v>240</v>
      </c>
      <c r="BG776" t="s">
        <v>110</v>
      </c>
      <c r="BH776" t="str">
        <f>IF(COUNTIF(工作表1!A:A, $C776)&gt;0, "預購款", "非預購款")</f>
        <v>非預購款</v>
      </c>
    </row>
    <row r="777" spans="1:60" x14ac:dyDescent="0.25">
      <c r="A777" t="s">
        <v>2625</v>
      </c>
      <c r="B777" t="s">
        <v>576</v>
      </c>
      <c r="C777" t="s">
        <v>2626</v>
      </c>
      <c r="D777" t="s">
        <v>2627</v>
      </c>
      <c r="E777" t="s">
        <v>2628</v>
      </c>
      <c r="F777" t="s">
        <v>181</v>
      </c>
      <c r="G777" t="s">
        <v>2629</v>
      </c>
      <c r="H777" t="s">
        <v>273</v>
      </c>
      <c r="I777" t="s">
        <v>120</v>
      </c>
      <c r="J777" t="s">
        <v>121</v>
      </c>
      <c r="K777" t="s">
        <v>69</v>
      </c>
      <c r="L777" t="s">
        <v>2630</v>
      </c>
      <c r="M777" t="s">
        <v>71</v>
      </c>
      <c r="N777" t="s">
        <v>100</v>
      </c>
      <c r="O777" t="s">
        <v>2597</v>
      </c>
      <c r="P777" t="s">
        <v>2598</v>
      </c>
      <c r="R777" t="s">
        <v>2599</v>
      </c>
      <c r="S777" t="s">
        <v>176</v>
      </c>
      <c r="T777" t="s">
        <v>274</v>
      </c>
      <c r="U777" t="s">
        <v>104</v>
      </c>
      <c r="V777" t="s">
        <v>593</v>
      </c>
      <c r="W777">
        <v>490</v>
      </c>
      <c r="X777">
        <v>22.99</v>
      </c>
      <c r="Y777">
        <v>60</v>
      </c>
      <c r="Z777">
        <v>355000</v>
      </c>
      <c r="AA777">
        <v>62720</v>
      </c>
      <c r="AB777">
        <v>196</v>
      </c>
      <c r="AD777" t="s">
        <v>238</v>
      </c>
      <c r="AE777">
        <v>1</v>
      </c>
      <c r="AF777">
        <v>15</v>
      </c>
      <c r="AI777">
        <v>0</v>
      </c>
      <c r="AJ777">
        <v>40</v>
      </c>
      <c r="AK777">
        <v>55</v>
      </c>
      <c r="AL777">
        <v>128</v>
      </c>
      <c r="AM777">
        <v>49</v>
      </c>
      <c r="AN777">
        <v>0</v>
      </c>
      <c r="AO777">
        <v>49</v>
      </c>
      <c r="AP777" t="s">
        <v>80</v>
      </c>
      <c r="AQ777" t="s">
        <v>187</v>
      </c>
      <c r="AS777" t="s">
        <v>86</v>
      </c>
      <c r="AT777" t="s">
        <v>86</v>
      </c>
      <c r="AU777" t="s">
        <v>86</v>
      </c>
      <c r="AV777" t="s">
        <v>2631</v>
      </c>
      <c r="AW777" t="s">
        <v>80</v>
      </c>
      <c r="AX777" t="s">
        <v>126</v>
      </c>
      <c r="AY777" t="s">
        <v>2632</v>
      </c>
      <c r="AZ777" t="s">
        <v>310</v>
      </c>
      <c r="BA777" t="s">
        <v>244</v>
      </c>
      <c r="BB777" t="s">
        <v>244</v>
      </c>
      <c r="BC777" t="s">
        <v>264</v>
      </c>
      <c r="BD777" t="s">
        <v>2633</v>
      </c>
      <c r="BE777" t="s">
        <v>2634</v>
      </c>
      <c r="BF777" t="s">
        <v>279</v>
      </c>
      <c r="BG777" t="s">
        <v>150</v>
      </c>
      <c r="BH777" t="str">
        <f>IF(COUNTIF(工作表1!A:A, $C777)&gt;0, "預購款", "非預購款")</f>
        <v>非預購款</v>
      </c>
    </row>
    <row r="778" spans="1:60" x14ac:dyDescent="0.25">
      <c r="A778" t="s">
        <v>2625</v>
      </c>
      <c r="B778" t="s">
        <v>576</v>
      </c>
      <c r="C778" t="s">
        <v>2626</v>
      </c>
      <c r="D778" t="s">
        <v>2627</v>
      </c>
      <c r="E778" t="s">
        <v>2628</v>
      </c>
      <c r="F778" t="s">
        <v>181</v>
      </c>
      <c r="G778" t="s">
        <v>2629</v>
      </c>
      <c r="H778" t="s">
        <v>501</v>
      </c>
      <c r="I778" t="s">
        <v>120</v>
      </c>
      <c r="J778" t="s">
        <v>121</v>
      </c>
      <c r="K778" t="s">
        <v>69</v>
      </c>
      <c r="L778" t="s">
        <v>2630</v>
      </c>
      <c r="M778" t="s">
        <v>71</v>
      </c>
      <c r="N778" t="s">
        <v>100</v>
      </c>
      <c r="O778" t="s">
        <v>2597</v>
      </c>
      <c r="P778" t="s">
        <v>2598</v>
      </c>
      <c r="R778" t="s">
        <v>2599</v>
      </c>
      <c r="S778" t="s">
        <v>176</v>
      </c>
      <c r="T778" t="s">
        <v>274</v>
      </c>
      <c r="U778" t="s">
        <v>104</v>
      </c>
      <c r="V778" t="s">
        <v>593</v>
      </c>
      <c r="W778">
        <v>490</v>
      </c>
      <c r="X778">
        <v>22.99</v>
      </c>
      <c r="Y778">
        <v>60</v>
      </c>
      <c r="Z778">
        <v>355000</v>
      </c>
      <c r="AA778">
        <v>62720</v>
      </c>
      <c r="AB778">
        <v>196</v>
      </c>
      <c r="AD778" t="s">
        <v>238</v>
      </c>
      <c r="AE778">
        <v>1</v>
      </c>
      <c r="AF778">
        <v>3</v>
      </c>
      <c r="AI778">
        <v>0</v>
      </c>
      <c r="AJ778">
        <v>25</v>
      </c>
      <c r="AK778">
        <v>28</v>
      </c>
      <c r="AL778">
        <v>128</v>
      </c>
      <c r="AM778">
        <v>25</v>
      </c>
      <c r="AN778">
        <v>0</v>
      </c>
      <c r="AO778">
        <v>25</v>
      </c>
      <c r="AP778" t="s">
        <v>80</v>
      </c>
      <c r="AQ778" t="s">
        <v>187</v>
      </c>
      <c r="AS778" t="s">
        <v>86</v>
      </c>
      <c r="AT778" t="s">
        <v>86</v>
      </c>
      <c r="AU778" t="s">
        <v>86</v>
      </c>
      <c r="AV778" t="s">
        <v>2631</v>
      </c>
      <c r="AW778" t="s">
        <v>80</v>
      </c>
      <c r="AX778" t="s">
        <v>126</v>
      </c>
      <c r="AY778" t="s">
        <v>2632</v>
      </c>
      <c r="AZ778" t="s">
        <v>310</v>
      </c>
      <c r="BA778" t="s">
        <v>244</v>
      </c>
      <c r="BB778" t="s">
        <v>244</v>
      </c>
      <c r="BC778" t="s">
        <v>264</v>
      </c>
      <c r="BD778" t="s">
        <v>2635</v>
      </c>
      <c r="BE778" t="s">
        <v>2634</v>
      </c>
      <c r="BF778" t="s">
        <v>279</v>
      </c>
      <c r="BG778" t="s">
        <v>150</v>
      </c>
      <c r="BH778" t="str">
        <f>IF(COUNTIF(工作表1!A:A, $C778)&gt;0, "預購款", "非預購款")</f>
        <v>非預購款</v>
      </c>
    </row>
    <row r="779" spans="1:60" x14ac:dyDescent="0.25">
      <c r="A779" t="s">
        <v>2625</v>
      </c>
      <c r="B779" t="s">
        <v>576</v>
      </c>
      <c r="C779" t="s">
        <v>2626</v>
      </c>
      <c r="D779" t="s">
        <v>2627</v>
      </c>
      <c r="E779" t="s">
        <v>2628</v>
      </c>
      <c r="F779" t="s">
        <v>181</v>
      </c>
      <c r="G779" t="s">
        <v>2629</v>
      </c>
      <c r="H779" t="s">
        <v>280</v>
      </c>
      <c r="I779" t="s">
        <v>120</v>
      </c>
      <c r="J779" t="s">
        <v>121</v>
      </c>
      <c r="K779" t="s">
        <v>69</v>
      </c>
      <c r="L779" t="s">
        <v>2630</v>
      </c>
      <c r="M779" t="s">
        <v>71</v>
      </c>
      <c r="N779" t="s">
        <v>100</v>
      </c>
      <c r="O779" t="s">
        <v>2597</v>
      </c>
      <c r="P779" t="s">
        <v>2598</v>
      </c>
      <c r="R779" t="s">
        <v>2599</v>
      </c>
      <c r="S779" t="s">
        <v>176</v>
      </c>
      <c r="T779" t="s">
        <v>274</v>
      </c>
      <c r="U779" t="s">
        <v>104</v>
      </c>
      <c r="V779" t="s">
        <v>593</v>
      </c>
      <c r="W779">
        <v>490</v>
      </c>
      <c r="X779">
        <v>22.99</v>
      </c>
      <c r="Y779">
        <v>60</v>
      </c>
      <c r="Z779">
        <v>355000</v>
      </c>
      <c r="AA779">
        <v>62720</v>
      </c>
      <c r="AB779">
        <v>196</v>
      </c>
      <c r="AD779" t="s">
        <v>238</v>
      </c>
      <c r="AE779">
        <v>1</v>
      </c>
      <c r="AF779">
        <v>5</v>
      </c>
      <c r="AI779">
        <v>0</v>
      </c>
      <c r="AJ779">
        <v>40</v>
      </c>
      <c r="AK779">
        <v>45</v>
      </c>
      <c r="AL779">
        <v>128</v>
      </c>
      <c r="AM779">
        <v>45</v>
      </c>
      <c r="AN779">
        <v>0</v>
      </c>
      <c r="AO779">
        <v>45</v>
      </c>
      <c r="AP779" t="s">
        <v>80</v>
      </c>
      <c r="AQ779" t="s">
        <v>187</v>
      </c>
      <c r="AS779" t="s">
        <v>86</v>
      </c>
      <c r="AT779" t="s">
        <v>86</v>
      </c>
      <c r="AU779" t="s">
        <v>86</v>
      </c>
      <c r="AV779" t="s">
        <v>2631</v>
      </c>
      <c r="AW779" t="s">
        <v>80</v>
      </c>
      <c r="AX779" t="s">
        <v>126</v>
      </c>
      <c r="AY779" t="s">
        <v>2632</v>
      </c>
      <c r="AZ779" t="s">
        <v>310</v>
      </c>
      <c r="BA779" t="s">
        <v>244</v>
      </c>
      <c r="BB779" t="s">
        <v>244</v>
      </c>
      <c r="BC779" t="s">
        <v>264</v>
      </c>
      <c r="BD779" t="s">
        <v>2636</v>
      </c>
      <c r="BE779" t="s">
        <v>2634</v>
      </c>
      <c r="BF779" t="s">
        <v>279</v>
      </c>
      <c r="BG779" t="s">
        <v>150</v>
      </c>
      <c r="BH779" t="str">
        <f>IF(COUNTIF(工作表1!A:A, $C779)&gt;0, "預購款", "非預購款")</f>
        <v>非預購款</v>
      </c>
    </row>
    <row r="780" spans="1:60" x14ac:dyDescent="0.25">
      <c r="A780" t="s">
        <v>758</v>
      </c>
      <c r="B780" t="s">
        <v>759</v>
      </c>
      <c r="C780" t="s">
        <v>760</v>
      </c>
      <c r="D780" t="s">
        <v>761</v>
      </c>
      <c r="E780" t="s">
        <v>762</v>
      </c>
      <c r="F780" t="s">
        <v>181</v>
      </c>
      <c r="G780" t="s">
        <v>763</v>
      </c>
      <c r="H780" t="s">
        <v>119</v>
      </c>
      <c r="I780" t="s">
        <v>120</v>
      </c>
      <c r="J780" t="s">
        <v>121</v>
      </c>
      <c r="K780" t="s">
        <v>69</v>
      </c>
      <c r="L780" t="s">
        <v>764</v>
      </c>
      <c r="M780" t="s">
        <v>71</v>
      </c>
      <c r="N780" t="s">
        <v>100</v>
      </c>
      <c r="O780" t="s">
        <v>101</v>
      </c>
      <c r="P780" t="s">
        <v>102</v>
      </c>
      <c r="R780" t="s">
        <v>734</v>
      </c>
      <c r="S780" t="s">
        <v>176</v>
      </c>
      <c r="T780" t="s">
        <v>258</v>
      </c>
      <c r="U780" t="s">
        <v>502</v>
      </c>
      <c r="V780" t="s">
        <v>765</v>
      </c>
      <c r="W780">
        <v>990</v>
      </c>
      <c r="X780">
        <v>39.99</v>
      </c>
      <c r="Y780">
        <v>129</v>
      </c>
      <c r="Z780">
        <v>709000</v>
      </c>
      <c r="AA780">
        <v>569250</v>
      </c>
      <c r="AB780">
        <v>360</v>
      </c>
      <c r="AD780" t="s">
        <v>238</v>
      </c>
      <c r="AE780">
        <v>2</v>
      </c>
      <c r="AF780">
        <v>30</v>
      </c>
      <c r="AI780">
        <v>15</v>
      </c>
      <c r="AJ780">
        <v>90</v>
      </c>
      <c r="AK780">
        <v>135</v>
      </c>
      <c r="AL780">
        <v>575</v>
      </c>
      <c r="AM780">
        <v>145</v>
      </c>
      <c r="AN780">
        <v>0</v>
      </c>
      <c r="AO780">
        <v>145</v>
      </c>
      <c r="AP780" t="s">
        <v>80</v>
      </c>
      <c r="AQ780" t="s">
        <v>184</v>
      </c>
      <c r="AR780" t="s">
        <v>86</v>
      </c>
      <c r="AS780" t="s">
        <v>86</v>
      </c>
      <c r="AT780" t="s">
        <v>86</v>
      </c>
      <c r="AU780" t="s">
        <v>86</v>
      </c>
      <c r="AV780" t="s">
        <v>766</v>
      </c>
      <c r="AW780" t="s">
        <v>69</v>
      </c>
      <c r="AX780" t="s">
        <v>218</v>
      </c>
      <c r="AY780" t="s">
        <v>767</v>
      </c>
      <c r="AZ780" t="s">
        <v>245</v>
      </c>
      <c r="BA780" t="s">
        <v>244</v>
      </c>
      <c r="BB780" t="s">
        <v>244</v>
      </c>
      <c r="BC780" t="s">
        <v>244</v>
      </c>
      <c r="BD780" t="s">
        <v>768</v>
      </c>
      <c r="BE780" t="s">
        <v>2637</v>
      </c>
      <c r="BF780" t="s">
        <v>240</v>
      </c>
      <c r="BG780" t="s">
        <v>150</v>
      </c>
      <c r="BH780" t="str">
        <f>IF(COUNTIF(工作表1!A:A, $C780)&gt;0, "預購款", "非預購款")</f>
        <v>非預購款</v>
      </c>
    </row>
    <row r="781" spans="1:60" x14ac:dyDescent="0.25">
      <c r="A781" t="s">
        <v>758</v>
      </c>
      <c r="B781" t="s">
        <v>759</v>
      </c>
      <c r="C781" t="s">
        <v>760</v>
      </c>
      <c r="D781" t="s">
        <v>761</v>
      </c>
      <c r="E781" t="s">
        <v>762</v>
      </c>
      <c r="F781" t="s">
        <v>181</v>
      </c>
      <c r="G781" t="s">
        <v>763</v>
      </c>
      <c r="H781" t="s">
        <v>130</v>
      </c>
      <c r="I781" t="s">
        <v>120</v>
      </c>
      <c r="J781" t="s">
        <v>121</v>
      </c>
      <c r="K781" t="s">
        <v>69</v>
      </c>
      <c r="L781" t="s">
        <v>764</v>
      </c>
      <c r="M781" t="s">
        <v>71</v>
      </c>
      <c r="N781" t="s">
        <v>100</v>
      </c>
      <c r="O781" t="s">
        <v>101</v>
      </c>
      <c r="P781" t="s">
        <v>102</v>
      </c>
      <c r="R781" t="s">
        <v>734</v>
      </c>
      <c r="S781" t="s">
        <v>176</v>
      </c>
      <c r="T781" t="s">
        <v>258</v>
      </c>
      <c r="U781" t="s">
        <v>502</v>
      </c>
      <c r="V781" t="s">
        <v>765</v>
      </c>
      <c r="W781">
        <v>990</v>
      </c>
      <c r="X781">
        <v>39.99</v>
      </c>
      <c r="Y781">
        <v>129</v>
      </c>
      <c r="Z781">
        <v>709000</v>
      </c>
      <c r="AA781">
        <v>569250</v>
      </c>
      <c r="AB781">
        <v>360</v>
      </c>
      <c r="AD781" t="s">
        <v>238</v>
      </c>
      <c r="AE781">
        <v>2</v>
      </c>
      <c r="AF781">
        <v>20</v>
      </c>
      <c r="AI781">
        <v>15</v>
      </c>
      <c r="AJ781">
        <v>50</v>
      </c>
      <c r="AK781">
        <v>85</v>
      </c>
      <c r="AL781">
        <v>575</v>
      </c>
      <c r="AM781">
        <v>89</v>
      </c>
      <c r="AN781">
        <v>0</v>
      </c>
      <c r="AO781">
        <v>89</v>
      </c>
      <c r="AP781" t="s">
        <v>80</v>
      </c>
      <c r="AQ781" t="s">
        <v>184</v>
      </c>
      <c r="AR781" t="s">
        <v>86</v>
      </c>
      <c r="AS781" t="s">
        <v>86</v>
      </c>
      <c r="AT781" t="s">
        <v>86</v>
      </c>
      <c r="AU781" t="s">
        <v>86</v>
      </c>
      <c r="AV781" t="s">
        <v>766</v>
      </c>
      <c r="AW781" t="s">
        <v>69</v>
      </c>
      <c r="AX781" t="s">
        <v>218</v>
      </c>
      <c r="AY781" t="s">
        <v>767</v>
      </c>
      <c r="AZ781" t="s">
        <v>245</v>
      </c>
      <c r="BA781" t="s">
        <v>244</v>
      </c>
      <c r="BB781" t="s">
        <v>244</v>
      </c>
      <c r="BC781" t="s">
        <v>244</v>
      </c>
      <c r="BD781" t="s">
        <v>770</v>
      </c>
      <c r="BE781" t="s">
        <v>2637</v>
      </c>
      <c r="BF781" t="s">
        <v>240</v>
      </c>
      <c r="BG781" t="s">
        <v>150</v>
      </c>
      <c r="BH781" t="str">
        <f>IF(COUNTIF(工作表1!A:A, $C781)&gt;0, "預購款", "非預購款")</f>
        <v>非預購款</v>
      </c>
    </row>
    <row r="782" spans="1:60" x14ac:dyDescent="0.25">
      <c r="A782" t="s">
        <v>758</v>
      </c>
      <c r="B782" t="s">
        <v>759</v>
      </c>
      <c r="C782" t="s">
        <v>760</v>
      </c>
      <c r="D782" t="s">
        <v>761</v>
      </c>
      <c r="E782" t="s">
        <v>762</v>
      </c>
      <c r="F782" t="s">
        <v>181</v>
      </c>
      <c r="G782" t="s">
        <v>763</v>
      </c>
      <c r="H782" t="s">
        <v>132</v>
      </c>
      <c r="I782" t="s">
        <v>120</v>
      </c>
      <c r="J782" t="s">
        <v>121</v>
      </c>
      <c r="K782" t="s">
        <v>69</v>
      </c>
      <c r="L782" t="s">
        <v>764</v>
      </c>
      <c r="M782" t="s">
        <v>71</v>
      </c>
      <c r="N782" t="s">
        <v>100</v>
      </c>
      <c r="O782" t="s">
        <v>101</v>
      </c>
      <c r="P782" t="s">
        <v>102</v>
      </c>
      <c r="R782" t="s">
        <v>734</v>
      </c>
      <c r="S782" t="s">
        <v>176</v>
      </c>
      <c r="T782" t="s">
        <v>258</v>
      </c>
      <c r="U782" t="s">
        <v>502</v>
      </c>
      <c r="V782" t="s">
        <v>765</v>
      </c>
      <c r="W782">
        <v>990</v>
      </c>
      <c r="X782">
        <v>39.99</v>
      </c>
      <c r="Y782">
        <v>129</v>
      </c>
      <c r="Z782">
        <v>709000</v>
      </c>
      <c r="AA782">
        <v>569250</v>
      </c>
      <c r="AB782">
        <v>360</v>
      </c>
      <c r="AD782" t="s">
        <v>238</v>
      </c>
      <c r="AE782">
        <v>2</v>
      </c>
      <c r="AF782">
        <v>0</v>
      </c>
      <c r="AI782">
        <v>10</v>
      </c>
      <c r="AJ782">
        <v>20</v>
      </c>
      <c r="AK782">
        <v>30</v>
      </c>
      <c r="AL782">
        <v>575</v>
      </c>
      <c r="AM782">
        <v>26</v>
      </c>
      <c r="AN782">
        <v>0</v>
      </c>
      <c r="AO782">
        <v>26</v>
      </c>
      <c r="AP782" t="s">
        <v>80</v>
      </c>
      <c r="AQ782" t="s">
        <v>184</v>
      </c>
      <c r="AR782" t="s">
        <v>86</v>
      </c>
      <c r="AS782" t="s">
        <v>86</v>
      </c>
      <c r="AT782" t="s">
        <v>86</v>
      </c>
      <c r="AU782" t="s">
        <v>86</v>
      </c>
      <c r="AV782" t="s">
        <v>766</v>
      </c>
      <c r="AW782" t="s">
        <v>69</v>
      </c>
      <c r="AX782" t="s">
        <v>218</v>
      </c>
      <c r="AY782" t="s">
        <v>767</v>
      </c>
      <c r="AZ782" t="s">
        <v>245</v>
      </c>
      <c r="BA782" t="s">
        <v>244</v>
      </c>
      <c r="BB782" t="s">
        <v>244</v>
      </c>
      <c r="BC782" t="s">
        <v>244</v>
      </c>
      <c r="BD782" t="s">
        <v>771</v>
      </c>
      <c r="BE782" t="s">
        <v>2637</v>
      </c>
      <c r="BF782" t="s">
        <v>240</v>
      </c>
      <c r="BG782" t="s">
        <v>150</v>
      </c>
      <c r="BH782" t="str">
        <f>IF(COUNTIF(工作表1!A:A, $C782)&gt;0, "預購款", "非預購款")</f>
        <v>非預購款</v>
      </c>
    </row>
    <row r="783" spans="1:60" x14ac:dyDescent="0.25">
      <c r="A783" t="s">
        <v>758</v>
      </c>
      <c r="B783" t="s">
        <v>759</v>
      </c>
      <c r="C783" t="s">
        <v>760</v>
      </c>
      <c r="D783" t="s">
        <v>761</v>
      </c>
      <c r="E783" t="s">
        <v>762</v>
      </c>
      <c r="F783" t="s">
        <v>181</v>
      </c>
      <c r="G783" t="s">
        <v>763</v>
      </c>
      <c r="H783" t="s">
        <v>119</v>
      </c>
      <c r="I783" t="s">
        <v>214</v>
      </c>
      <c r="J783" t="s">
        <v>215</v>
      </c>
      <c r="K783" t="s">
        <v>80</v>
      </c>
      <c r="L783" t="s">
        <v>764</v>
      </c>
      <c r="M783" t="s">
        <v>71</v>
      </c>
      <c r="N783" t="s">
        <v>100</v>
      </c>
      <c r="O783" t="s">
        <v>101</v>
      </c>
      <c r="P783" t="s">
        <v>102</v>
      </c>
      <c r="R783" t="s">
        <v>734</v>
      </c>
      <c r="S783" t="s">
        <v>176</v>
      </c>
      <c r="T783" t="s">
        <v>258</v>
      </c>
      <c r="U783" t="s">
        <v>502</v>
      </c>
      <c r="V783" t="s">
        <v>765</v>
      </c>
      <c r="W783">
        <v>990</v>
      </c>
      <c r="X783">
        <v>39.99</v>
      </c>
      <c r="Y783">
        <v>129</v>
      </c>
      <c r="Z783">
        <v>709000</v>
      </c>
      <c r="AA783">
        <v>569250</v>
      </c>
      <c r="AB783">
        <v>360</v>
      </c>
      <c r="AD783" t="s">
        <v>238</v>
      </c>
      <c r="AE783">
        <v>2</v>
      </c>
      <c r="AF783">
        <v>30</v>
      </c>
      <c r="AI783">
        <v>15</v>
      </c>
      <c r="AJ783">
        <v>140</v>
      </c>
      <c r="AK783">
        <v>185</v>
      </c>
      <c r="AL783">
        <v>575</v>
      </c>
      <c r="AM783">
        <v>185</v>
      </c>
      <c r="AN783">
        <v>0</v>
      </c>
      <c r="AO783">
        <v>185</v>
      </c>
      <c r="AP783" t="s">
        <v>80</v>
      </c>
      <c r="AQ783" t="s">
        <v>184</v>
      </c>
      <c r="AR783" t="s">
        <v>86</v>
      </c>
      <c r="AS783" t="s">
        <v>86</v>
      </c>
      <c r="AT783" t="s">
        <v>86</v>
      </c>
      <c r="AU783" t="s">
        <v>86</v>
      </c>
      <c r="AV783" t="s">
        <v>766</v>
      </c>
      <c r="AW783" t="s">
        <v>69</v>
      </c>
      <c r="AX783" t="s">
        <v>218</v>
      </c>
      <c r="AY783" t="s">
        <v>767</v>
      </c>
      <c r="AZ783" t="s">
        <v>245</v>
      </c>
      <c r="BA783" t="s">
        <v>244</v>
      </c>
      <c r="BB783" t="s">
        <v>244</v>
      </c>
      <c r="BC783" t="s">
        <v>244</v>
      </c>
      <c r="BD783" t="s">
        <v>772</v>
      </c>
      <c r="BE783" t="s">
        <v>2637</v>
      </c>
      <c r="BF783" t="s">
        <v>240</v>
      </c>
      <c r="BG783" t="s">
        <v>150</v>
      </c>
      <c r="BH783" t="str">
        <f>IF(COUNTIF(工作表1!A:A, $C783)&gt;0, "預購款", "非預購款")</f>
        <v>非預購款</v>
      </c>
    </row>
    <row r="784" spans="1:60" x14ac:dyDescent="0.25">
      <c r="A784" t="s">
        <v>758</v>
      </c>
      <c r="B784" t="s">
        <v>759</v>
      </c>
      <c r="C784" t="s">
        <v>760</v>
      </c>
      <c r="D784" t="s">
        <v>761</v>
      </c>
      <c r="E784" t="s">
        <v>762</v>
      </c>
      <c r="F784" t="s">
        <v>181</v>
      </c>
      <c r="G784" t="s">
        <v>763</v>
      </c>
      <c r="H784" t="s">
        <v>130</v>
      </c>
      <c r="I784" t="s">
        <v>214</v>
      </c>
      <c r="J784" t="s">
        <v>215</v>
      </c>
      <c r="K784" t="s">
        <v>80</v>
      </c>
      <c r="L784" t="s">
        <v>764</v>
      </c>
      <c r="M784" t="s">
        <v>71</v>
      </c>
      <c r="N784" t="s">
        <v>100</v>
      </c>
      <c r="O784" t="s">
        <v>101</v>
      </c>
      <c r="P784" t="s">
        <v>102</v>
      </c>
      <c r="R784" t="s">
        <v>734</v>
      </c>
      <c r="S784" t="s">
        <v>176</v>
      </c>
      <c r="T784" t="s">
        <v>258</v>
      </c>
      <c r="U784" t="s">
        <v>502</v>
      </c>
      <c r="V784" t="s">
        <v>765</v>
      </c>
      <c r="W784">
        <v>990</v>
      </c>
      <c r="X784">
        <v>39.99</v>
      </c>
      <c r="Y784">
        <v>129</v>
      </c>
      <c r="Z784">
        <v>709000</v>
      </c>
      <c r="AA784">
        <v>569250</v>
      </c>
      <c r="AB784">
        <v>360</v>
      </c>
      <c r="AD784" t="s">
        <v>238</v>
      </c>
      <c r="AE784">
        <v>2</v>
      </c>
      <c r="AF784">
        <v>20</v>
      </c>
      <c r="AI784">
        <v>15</v>
      </c>
      <c r="AJ784">
        <v>70</v>
      </c>
      <c r="AK784">
        <v>105</v>
      </c>
      <c r="AL784">
        <v>575</v>
      </c>
      <c r="AM784">
        <v>102</v>
      </c>
      <c r="AN784">
        <v>0</v>
      </c>
      <c r="AO784">
        <v>102</v>
      </c>
      <c r="AP784" t="s">
        <v>80</v>
      </c>
      <c r="AQ784" t="s">
        <v>184</v>
      </c>
      <c r="AR784" t="s">
        <v>86</v>
      </c>
      <c r="AS784" t="s">
        <v>86</v>
      </c>
      <c r="AT784" t="s">
        <v>86</v>
      </c>
      <c r="AU784" t="s">
        <v>86</v>
      </c>
      <c r="AV784" t="s">
        <v>766</v>
      </c>
      <c r="AW784" t="s">
        <v>69</v>
      </c>
      <c r="AX784" t="s">
        <v>218</v>
      </c>
      <c r="AY784" t="s">
        <v>767</v>
      </c>
      <c r="AZ784" t="s">
        <v>245</v>
      </c>
      <c r="BA784" t="s">
        <v>244</v>
      </c>
      <c r="BB784" t="s">
        <v>244</v>
      </c>
      <c r="BC784" t="s">
        <v>244</v>
      </c>
      <c r="BD784" t="s">
        <v>773</v>
      </c>
      <c r="BE784" t="s">
        <v>2637</v>
      </c>
      <c r="BF784" t="s">
        <v>240</v>
      </c>
      <c r="BG784" t="s">
        <v>150</v>
      </c>
      <c r="BH784" t="str">
        <f>IF(COUNTIF(工作表1!A:A, $C784)&gt;0, "預購款", "非預購款")</f>
        <v>非預購款</v>
      </c>
    </row>
    <row r="785" spans="1:60" x14ac:dyDescent="0.25">
      <c r="A785" t="s">
        <v>758</v>
      </c>
      <c r="B785" t="s">
        <v>759</v>
      </c>
      <c r="C785" t="s">
        <v>760</v>
      </c>
      <c r="D785" t="s">
        <v>761</v>
      </c>
      <c r="E785" t="s">
        <v>762</v>
      </c>
      <c r="F785" t="s">
        <v>181</v>
      </c>
      <c r="G785" t="s">
        <v>763</v>
      </c>
      <c r="H785" t="s">
        <v>132</v>
      </c>
      <c r="I785" t="s">
        <v>214</v>
      </c>
      <c r="J785" t="s">
        <v>215</v>
      </c>
      <c r="K785" t="s">
        <v>80</v>
      </c>
      <c r="L785" t="s">
        <v>764</v>
      </c>
      <c r="M785" t="s">
        <v>71</v>
      </c>
      <c r="N785" t="s">
        <v>100</v>
      </c>
      <c r="O785" t="s">
        <v>101</v>
      </c>
      <c r="P785" t="s">
        <v>102</v>
      </c>
      <c r="R785" t="s">
        <v>734</v>
      </c>
      <c r="S785" t="s">
        <v>176</v>
      </c>
      <c r="T785" t="s">
        <v>258</v>
      </c>
      <c r="U785" t="s">
        <v>502</v>
      </c>
      <c r="V785" t="s">
        <v>765</v>
      </c>
      <c r="W785">
        <v>990</v>
      </c>
      <c r="X785">
        <v>39.99</v>
      </c>
      <c r="Y785">
        <v>129</v>
      </c>
      <c r="Z785">
        <v>709000</v>
      </c>
      <c r="AA785">
        <v>569250</v>
      </c>
      <c r="AB785">
        <v>360</v>
      </c>
      <c r="AD785" t="s">
        <v>238</v>
      </c>
      <c r="AE785">
        <v>2</v>
      </c>
      <c r="AF785">
        <v>0</v>
      </c>
      <c r="AI785">
        <v>10</v>
      </c>
      <c r="AJ785">
        <v>25</v>
      </c>
      <c r="AK785">
        <v>35</v>
      </c>
      <c r="AL785">
        <v>575</v>
      </c>
      <c r="AM785">
        <v>36</v>
      </c>
      <c r="AN785">
        <v>0</v>
      </c>
      <c r="AO785">
        <v>36</v>
      </c>
      <c r="AP785" t="s">
        <v>80</v>
      </c>
      <c r="AQ785" t="s">
        <v>184</v>
      </c>
      <c r="AR785" t="s">
        <v>86</v>
      </c>
      <c r="AS785" t="s">
        <v>86</v>
      </c>
      <c r="AT785" t="s">
        <v>86</v>
      </c>
      <c r="AU785" t="s">
        <v>86</v>
      </c>
      <c r="AV785" t="s">
        <v>766</v>
      </c>
      <c r="AW785" t="s">
        <v>69</v>
      </c>
      <c r="AX785" t="s">
        <v>218</v>
      </c>
      <c r="AY785" t="s">
        <v>767</v>
      </c>
      <c r="AZ785" t="s">
        <v>245</v>
      </c>
      <c r="BA785" t="s">
        <v>244</v>
      </c>
      <c r="BB785" t="s">
        <v>244</v>
      </c>
      <c r="BC785" t="s">
        <v>244</v>
      </c>
      <c r="BD785" t="s">
        <v>774</v>
      </c>
      <c r="BE785" t="s">
        <v>2637</v>
      </c>
      <c r="BF785" t="s">
        <v>240</v>
      </c>
      <c r="BG785" t="s">
        <v>150</v>
      </c>
      <c r="BH785" t="str">
        <f>IF(COUNTIF(工作表1!A:A, $C785)&gt;0, "預購款", "非預購款")</f>
        <v>非預購款</v>
      </c>
    </row>
    <row r="786" spans="1:60" x14ac:dyDescent="0.25">
      <c r="A786" t="s">
        <v>2638</v>
      </c>
      <c r="B786" t="s">
        <v>776</v>
      </c>
      <c r="C786" t="s">
        <v>2639</v>
      </c>
      <c r="D786" t="s">
        <v>2640</v>
      </c>
      <c r="E786" t="s">
        <v>2641</v>
      </c>
      <c r="F786" t="s">
        <v>181</v>
      </c>
      <c r="G786" t="s">
        <v>2642</v>
      </c>
      <c r="H786" t="s">
        <v>119</v>
      </c>
      <c r="I786" t="s">
        <v>120</v>
      </c>
      <c r="J786" t="s">
        <v>121</v>
      </c>
      <c r="K786" t="s">
        <v>69</v>
      </c>
      <c r="L786" t="s">
        <v>2643</v>
      </c>
      <c r="M786" t="s">
        <v>71</v>
      </c>
      <c r="N786" t="s">
        <v>100</v>
      </c>
      <c r="O786" t="s">
        <v>2597</v>
      </c>
      <c r="P786" t="s">
        <v>2598</v>
      </c>
      <c r="R786" t="s">
        <v>2599</v>
      </c>
      <c r="S786" t="s">
        <v>176</v>
      </c>
      <c r="T786" t="s">
        <v>291</v>
      </c>
      <c r="U786" t="s">
        <v>104</v>
      </c>
      <c r="V786" t="s">
        <v>653</v>
      </c>
      <c r="W786">
        <v>490</v>
      </c>
      <c r="X786">
        <v>22.99</v>
      </c>
      <c r="Y786">
        <v>60</v>
      </c>
      <c r="Z786">
        <v>355000</v>
      </c>
      <c r="AA786">
        <v>176400</v>
      </c>
      <c r="AB786">
        <v>180</v>
      </c>
      <c r="AD786" t="s">
        <v>238</v>
      </c>
      <c r="AE786">
        <v>2</v>
      </c>
      <c r="AF786">
        <v>0</v>
      </c>
      <c r="AI786">
        <v>20</v>
      </c>
      <c r="AJ786">
        <v>70</v>
      </c>
      <c r="AK786">
        <v>90</v>
      </c>
      <c r="AL786">
        <v>360</v>
      </c>
      <c r="AM786">
        <v>81</v>
      </c>
      <c r="AN786">
        <v>0</v>
      </c>
      <c r="AO786">
        <v>81</v>
      </c>
      <c r="AP786" t="s">
        <v>80</v>
      </c>
      <c r="AQ786" t="s">
        <v>187</v>
      </c>
      <c r="AT786" t="s">
        <v>240</v>
      </c>
      <c r="AU786" t="s">
        <v>240</v>
      </c>
      <c r="AV786" t="s">
        <v>2644</v>
      </c>
      <c r="AW786" t="s">
        <v>69</v>
      </c>
      <c r="AX786" t="s">
        <v>218</v>
      </c>
      <c r="AY786" t="s">
        <v>2645</v>
      </c>
      <c r="AZ786" t="s">
        <v>243</v>
      </c>
      <c r="BA786" t="s">
        <v>245</v>
      </c>
      <c r="BB786" t="s">
        <v>244</v>
      </c>
      <c r="BC786" t="s">
        <v>264</v>
      </c>
      <c r="BD786" t="s">
        <v>2646</v>
      </c>
      <c r="BE786" t="s">
        <v>2647</v>
      </c>
      <c r="BF786" t="s">
        <v>971</v>
      </c>
      <c r="BG786" t="s">
        <v>150</v>
      </c>
      <c r="BH786" t="str">
        <f>IF(COUNTIF(工作表1!A:A, $C786)&gt;0, "預購款", "非預購款")</f>
        <v>非預購款</v>
      </c>
    </row>
    <row r="787" spans="1:60" x14ac:dyDescent="0.25">
      <c r="A787" t="s">
        <v>2638</v>
      </c>
      <c r="B787" t="s">
        <v>776</v>
      </c>
      <c r="C787" t="s">
        <v>2639</v>
      </c>
      <c r="D787" t="s">
        <v>2640</v>
      </c>
      <c r="E787" t="s">
        <v>2641</v>
      </c>
      <c r="F787" t="s">
        <v>181</v>
      </c>
      <c r="G787" t="s">
        <v>2642</v>
      </c>
      <c r="H787" t="s">
        <v>130</v>
      </c>
      <c r="I787" t="s">
        <v>120</v>
      </c>
      <c r="J787" t="s">
        <v>121</v>
      </c>
      <c r="K787" t="s">
        <v>69</v>
      </c>
      <c r="L787" t="s">
        <v>2643</v>
      </c>
      <c r="M787" t="s">
        <v>71</v>
      </c>
      <c r="N787" t="s">
        <v>100</v>
      </c>
      <c r="O787" t="s">
        <v>2597</v>
      </c>
      <c r="P787" t="s">
        <v>2598</v>
      </c>
      <c r="R787" t="s">
        <v>2599</v>
      </c>
      <c r="S787" t="s">
        <v>176</v>
      </c>
      <c r="T787" t="s">
        <v>291</v>
      </c>
      <c r="U787" t="s">
        <v>104</v>
      </c>
      <c r="V787" t="s">
        <v>653</v>
      </c>
      <c r="W787">
        <v>490</v>
      </c>
      <c r="X787">
        <v>22.99</v>
      </c>
      <c r="Y787">
        <v>60</v>
      </c>
      <c r="Z787">
        <v>355000</v>
      </c>
      <c r="AA787">
        <v>176400</v>
      </c>
      <c r="AB787">
        <v>180</v>
      </c>
      <c r="AD787" t="s">
        <v>238</v>
      </c>
      <c r="AE787">
        <v>2</v>
      </c>
      <c r="AF787">
        <v>0</v>
      </c>
      <c r="AI787">
        <v>20</v>
      </c>
      <c r="AJ787">
        <v>40</v>
      </c>
      <c r="AK787">
        <v>60</v>
      </c>
      <c r="AL787">
        <v>360</v>
      </c>
      <c r="AM787">
        <v>54</v>
      </c>
      <c r="AN787">
        <v>0</v>
      </c>
      <c r="AO787">
        <v>54</v>
      </c>
      <c r="AP787" t="s">
        <v>80</v>
      </c>
      <c r="AQ787" t="s">
        <v>187</v>
      </c>
      <c r="AT787" t="s">
        <v>240</v>
      </c>
      <c r="AU787" t="s">
        <v>240</v>
      </c>
      <c r="AV787" t="s">
        <v>2644</v>
      </c>
      <c r="AW787" t="s">
        <v>69</v>
      </c>
      <c r="AX787" t="s">
        <v>218</v>
      </c>
      <c r="AY787" t="s">
        <v>2645</v>
      </c>
      <c r="AZ787" t="s">
        <v>243</v>
      </c>
      <c r="BA787" t="s">
        <v>245</v>
      </c>
      <c r="BB787" t="s">
        <v>244</v>
      </c>
      <c r="BC787" t="s">
        <v>264</v>
      </c>
      <c r="BD787" t="s">
        <v>2648</v>
      </c>
      <c r="BE787" t="s">
        <v>2647</v>
      </c>
      <c r="BF787" t="s">
        <v>971</v>
      </c>
      <c r="BG787" t="s">
        <v>150</v>
      </c>
      <c r="BH787" t="str">
        <f>IF(COUNTIF(工作表1!A:A, $C787)&gt;0, "預購款", "非預購款")</f>
        <v>非預購款</v>
      </c>
    </row>
    <row r="788" spans="1:60" x14ac:dyDescent="0.25">
      <c r="A788" t="s">
        <v>2638</v>
      </c>
      <c r="B788" t="s">
        <v>776</v>
      </c>
      <c r="C788" t="s">
        <v>2639</v>
      </c>
      <c r="D788" t="s">
        <v>2640</v>
      </c>
      <c r="E788" t="s">
        <v>2641</v>
      </c>
      <c r="F788" t="s">
        <v>181</v>
      </c>
      <c r="G788" t="s">
        <v>2642</v>
      </c>
      <c r="H788" t="s">
        <v>132</v>
      </c>
      <c r="I788" t="s">
        <v>120</v>
      </c>
      <c r="J788" t="s">
        <v>121</v>
      </c>
      <c r="K788" t="s">
        <v>69</v>
      </c>
      <c r="L788" t="s">
        <v>2643</v>
      </c>
      <c r="M788" t="s">
        <v>71</v>
      </c>
      <c r="N788" t="s">
        <v>100</v>
      </c>
      <c r="O788" t="s">
        <v>2597</v>
      </c>
      <c r="P788" t="s">
        <v>2598</v>
      </c>
      <c r="R788" t="s">
        <v>2599</v>
      </c>
      <c r="S788" t="s">
        <v>176</v>
      </c>
      <c r="T788" t="s">
        <v>291</v>
      </c>
      <c r="U788" t="s">
        <v>104</v>
      </c>
      <c r="V788" t="s">
        <v>653</v>
      </c>
      <c r="W788">
        <v>490</v>
      </c>
      <c r="X788">
        <v>22.99</v>
      </c>
      <c r="Y788">
        <v>60</v>
      </c>
      <c r="Z788">
        <v>355000</v>
      </c>
      <c r="AA788">
        <v>176400</v>
      </c>
      <c r="AB788">
        <v>180</v>
      </c>
      <c r="AD788" t="s">
        <v>238</v>
      </c>
      <c r="AE788">
        <v>2</v>
      </c>
      <c r="AF788">
        <v>0</v>
      </c>
      <c r="AI788">
        <v>15</v>
      </c>
      <c r="AJ788">
        <v>20</v>
      </c>
      <c r="AK788">
        <v>35</v>
      </c>
      <c r="AL788">
        <v>360</v>
      </c>
      <c r="AM788">
        <v>27</v>
      </c>
      <c r="AN788">
        <v>0</v>
      </c>
      <c r="AO788">
        <v>27</v>
      </c>
      <c r="AP788" t="s">
        <v>80</v>
      </c>
      <c r="AQ788" t="s">
        <v>187</v>
      </c>
      <c r="AT788" t="s">
        <v>240</v>
      </c>
      <c r="AU788" t="s">
        <v>240</v>
      </c>
      <c r="AV788" t="s">
        <v>2644</v>
      </c>
      <c r="AW788" t="s">
        <v>69</v>
      </c>
      <c r="AX788" t="s">
        <v>218</v>
      </c>
      <c r="AY788" t="s">
        <v>2645</v>
      </c>
      <c r="AZ788" t="s">
        <v>243</v>
      </c>
      <c r="BA788" t="s">
        <v>245</v>
      </c>
      <c r="BB788" t="s">
        <v>244</v>
      </c>
      <c r="BC788" t="s">
        <v>264</v>
      </c>
      <c r="BD788" t="s">
        <v>2649</v>
      </c>
      <c r="BE788" t="s">
        <v>2647</v>
      </c>
      <c r="BF788" t="s">
        <v>971</v>
      </c>
      <c r="BG788" t="s">
        <v>150</v>
      </c>
      <c r="BH788" t="str">
        <f>IF(COUNTIF(工作表1!A:A, $C788)&gt;0, "預購款", "非預購款")</f>
        <v>非預購款</v>
      </c>
    </row>
    <row r="789" spans="1:60" x14ac:dyDescent="0.25">
      <c r="A789" t="s">
        <v>2638</v>
      </c>
      <c r="B789" t="s">
        <v>776</v>
      </c>
      <c r="C789" t="s">
        <v>2639</v>
      </c>
      <c r="D789" t="s">
        <v>2640</v>
      </c>
      <c r="E789" t="s">
        <v>2641</v>
      </c>
      <c r="F789" t="s">
        <v>181</v>
      </c>
      <c r="G789" t="s">
        <v>2642</v>
      </c>
      <c r="H789" t="s">
        <v>119</v>
      </c>
      <c r="I789" t="s">
        <v>97</v>
      </c>
      <c r="J789" t="s">
        <v>98</v>
      </c>
      <c r="K789" t="s">
        <v>69</v>
      </c>
      <c r="L789" t="s">
        <v>2643</v>
      </c>
      <c r="M789" t="s">
        <v>71</v>
      </c>
      <c r="N789" t="s">
        <v>100</v>
      </c>
      <c r="O789" t="s">
        <v>2597</v>
      </c>
      <c r="P789" t="s">
        <v>2598</v>
      </c>
      <c r="R789" t="s">
        <v>2599</v>
      </c>
      <c r="S789" t="s">
        <v>176</v>
      </c>
      <c r="T789" t="s">
        <v>291</v>
      </c>
      <c r="U789" t="s">
        <v>104</v>
      </c>
      <c r="V789" t="s">
        <v>653</v>
      </c>
      <c r="W789">
        <v>490</v>
      </c>
      <c r="X789">
        <v>22.99</v>
      </c>
      <c r="Y789">
        <v>60</v>
      </c>
      <c r="Z789">
        <v>355000</v>
      </c>
      <c r="AA789">
        <v>176400</v>
      </c>
      <c r="AB789">
        <v>180</v>
      </c>
      <c r="AD789" t="s">
        <v>238</v>
      </c>
      <c r="AE789">
        <v>2</v>
      </c>
      <c r="AF789">
        <v>0</v>
      </c>
      <c r="AI789">
        <v>15</v>
      </c>
      <c r="AJ789">
        <v>70</v>
      </c>
      <c r="AK789">
        <v>85</v>
      </c>
      <c r="AL789">
        <v>360</v>
      </c>
      <c r="AM789">
        <v>81</v>
      </c>
      <c r="AN789">
        <v>0</v>
      </c>
      <c r="AO789">
        <v>81</v>
      </c>
      <c r="AP789" t="s">
        <v>80</v>
      </c>
      <c r="AQ789" t="s">
        <v>187</v>
      </c>
      <c r="AT789" t="s">
        <v>240</v>
      </c>
      <c r="AU789" t="s">
        <v>240</v>
      </c>
      <c r="AV789" t="s">
        <v>2644</v>
      </c>
      <c r="AW789" t="s">
        <v>69</v>
      </c>
      <c r="AX789" t="s">
        <v>218</v>
      </c>
      <c r="AY789" t="s">
        <v>2645</v>
      </c>
      <c r="AZ789" t="s">
        <v>243</v>
      </c>
      <c r="BA789" t="s">
        <v>245</v>
      </c>
      <c r="BB789" t="s">
        <v>244</v>
      </c>
      <c r="BC789" t="s">
        <v>264</v>
      </c>
      <c r="BD789" t="s">
        <v>2650</v>
      </c>
      <c r="BE789" t="s">
        <v>2647</v>
      </c>
      <c r="BF789" t="s">
        <v>971</v>
      </c>
      <c r="BG789" t="s">
        <v>150</v>
      </c>
      <c r="BH789" t="str">
        <f>IF(COUNTIF(工作表1!A:A, $C789)&gt;0, "預購款", "非預購款")</f>
        <v>非預購款</v>
      </c>
    </row>
    <row r="790" spans="1:60" x14ac:dyDescent="0.25">
      <c r="A790" t="s">
        <v>2638</v>
      </c>
      <c r="B790" t="s">
        <v>776</v>
      </c>
      <c r="C790" t="s">
        <v>2639</v>
      </c>
      <c r="D790" t="s">
        <v>2640</v>
      </c>
      <c r="E790" t="s">
        <v>2641</v>
      </c>
      <c r="F790" t="s">
        <v>181</v>
      </c>
      <c r="G790" t="s">
        <v>2642</v>
      </c>
      <c r="H790" t="s">
        <v>130</v>
      </c>
      <c r="I790" t="s">
        <v>97</v>
      </c>
      <c r="J790" t="s">
        <v>98</v>
      </c>
      <c r="K790" t="s">
        <v>69</v>
      </c>
      <c r="L790" t="s">
        <v>2643</v>
      </c>
      <c r="M790" t="s">
        <v>71</v>
      </c>
      <c r="N790" t="s">
        <v>100</v>
      </c>
      <c r="O790" t="s">
        <v>2597</v>
      </c>
      <c r="P790" t="s">
        <v>2598</v>
      </c>
      <c r="R790" t="s">
        <v>2599</v>
      </c>
      <c r="S790" t="s">
        <v>176</v>
      </c>
      <c r="T790" t="s">
        <v>291</v>
      </c>
      <c r="U790" t="s">
        <v>104</v>
      </c>
      <c r="V790" t="s">
        <v>653</v>
      </c>
      <c r="W790">
        <v>490</v>
      </c>
      <c r="X790">
        <v>22.99</v>
      </c>
      <c r="Y790">
        <v>60</v>
      </c>
      <c r="Z790">
        <v>355000</v>
      </c>
      <c r="AA790">
        <v>176400</v>
      </c>
      <c r="AB790">
        <v>180</v>
      </c>
      <c r="AD790" t="s">
        <v>238</v>
      </c>
      <c r="AE790">
        <v>2</v>
      </c>
      <c r="AF790">
        <v>0</v>
      </c>
      <c r="AI790">
        <v>10</v>
      </c>
      <c r="AJ790">
        <v>50</v>
      </c>
      <c r="AK790">
        <v>60</v>
      </c>
      <c r="AL790">
        <v>360</v>
      </c>
      <c r="AM790">
        <v>53</v>
      </c>
      <c r="AN790">
        <v>0</v>
      </c>
      <c r="AO790">
        <v>53</v>
      </c>
      <c r="AP790" t="s">
        <v>80</v>
      </c>
      <c r="AQ790" t="s">
        <v>187</v>
      </c>
      <c r="AT790" t="s">
        <v>240</v>
      </c>
      <c r="AU790" t="s">
        <v>240</v>
      </c>
      <c r="AV790" t="s">
        <v>2644</v>
      </c>
      <c r="AW790" t="s">
        <v>69</v>
      </c>
      <c r="AX790" t="s">
        <v>218</v>
      </c>
      <c r="AY790" t="s">
        <v>2645</v>
      </c>
      <c r="AZ790" t="s">
        <v>243</v>
      </c>
      <c r="BA790" t="s">
        <v>245</v>
      </c>
      <c r="BB790" t="s">
        <v>244</v>
      </c>
      <c r="BC790" t="s">
        <v>264</v>
      </c>
      <c r="BD790" t="s">
        <v>2651</v>
      </c>
      <c r="BE790" t="s">
        <v>2647</v>
      </c>
      <c r="BF790" t="s">
        <v>971</v>
      </c>
      <c r="BG790" t="s">
        <v>150</v>
      </c>
      <c r="BH790" t="str">
        <f>IF(COUNTIF(工作表1!A:A, $C790)&gt;0, "預購款", "非預購款")</f>
        <v>非預購款</v>
      </c>
    </row>
    <row r="791" spans="1:60" x14ac:dyDescent="0.25">
      <c r="A791" t="s">
        <v>2638</v>
      </c>
      <c r="B791" t="s">
        <v>776</v>
      </c>
      <c r="C791" t="s">
        <v>2639</v>
      </c>
      <c r="D791" t="s">
        <v>2640</v>
      </c>
      <c r="E791" t="s">
        <v>2641</v>
      </c>
      <c r="F791" t="s">
        <v>181</v>
      </c>
      <c r="G791" t="s">
        <v>2642</v>
      </c>
      <c r="H791" t="s">
        <v>132</v>
      </c>
      <c r="I791" t="s">
        <v>97</v>
      </c>
      <c r="J791" t="s">
        <v>98</v>
      </c>
      <c r="K791" t="s">
        <v>69</v>
      </c>
      <c r="L791" t="s">
        <v>2643</v>
      </c>
      <c r="M791" t="s">
        <v>71</v>
      </c>
      <c r="N791" t="s">
        <v>100</v>
      </c>
      <c r="O791" t="s">
        <v>2597</v>
      </c>
      <c r="P791" t="s">
        <v>2598</v>
      </c>
      <c r="R791" t="s">
        <v>2599</v>
      </c>
      <c r="S791" t="s">
        <v>176</v>
      </c>
      <c r="T791" t="s">
        <v>291</v>
      </c>
      <c r="U791" t="s">
        <v>104</v>
      </c>
      <c r="V791" t="s">
        <v>653</v>
      </c>
      <c r="W791">
        <v>490</v>
      </c>
      <c r="X791">
        <v>22.99</v>
      </c>
      <c r="Y791">
        <v>60</v>
      </c>
      <c r="Z791">
        <v>355000</v>
      </c>
      <c r="AA791">
        <v>176400</v>
      </c>
      <c r="AB791">
        <v>180</v>
      </c>
      <c r="AD791" t="s">
        <v>238</v>
      </c>
      <c r="AE791">
        <v>2</v>
      </c>
      <c r="AF791">
        <v>0</v>
      </c>
      <c r="AI791">
        <v>10</v>
      </c>
      <c r="AJ791">
        <v>20</v>
      </c>
      <c r="AK791">
        <v>30</v>
      </c>
      <c r="AL791">
        <v>360</v>
      </c>
      <c r="AM791">
        <v>26</v>
      </c>
      <c r="AN791">
        <v>0</v>
      </c>
      <c r="AO791">
        <v>26</v>
      </c>
      <c r="AP791" t="s">
        <v>80</v>
      </c>
      <c r="AQ791" t="s">
        <v>187</v>
      </c>
      <c r="AT791" t="s">
        <v>240</v>
      </c>
      <c r="AU791" t="s">
        <v>240</v>
      </c>
      <c r="AV791" t="s">
        <v>2644</v>
      </c>
      <c r="AW791" t="s">
        <v>69</v>
      </c>
      <c r="AX791" t="s">
        <v>218</v>
      </c>
      <c r="AY791" t="s">
        <v>2645</v>
      </c>
      <c r="AZ791" t="s">
        <v>243</v>
      </c>
      <c r="BA791" t="s">
        <v>245</v>
      </c>
      <c r="BB791" t="s">
        <v>244</v>
      </c>
      <c r="BC791" t="s">
        <v>264</v>
      </c>
      <c r="BD791" t="s">
        <v>2652</v>
      </c>
      <c r="BE791" t="s">
        <v>2647</v>
      </c>
      <c r="BF791" t="s">
        <v>971</v>
      </c>
      <c r="BG791" t="s">
        <v>150</v>
      </c>
      <c r="BH791" t="str">
        <f>IF(COUNTIF(工作表1!A:A, $C791)&gt;0, "預購款", "非預購款")</f>
        <v>非預購款</v>
      </c>
    </row>
    <row r="792" spans="1:60" x14ac:dyDescent="0.25">
      <c r="A792" t="s">
        <v>2512</v>
      </c>
      <c r="B792" t="s">
        <v>226</v>
      </c>
      <c r="C792" t="s">
        <v>2513</v>
      </c>
      <c r="D792" t="s">
        <v>2514</v>
      </c>
      <c r="E792" t="s">
        <v>2515</v>
      </c>
      <c r="F792" t="s">
        <v>181</v>
      </c>
      <c r="G792" t="s">
        <v>2516</v>
      </c>
      <c r="H792" t="s">
        <v>119</v>
      </c>
      <c r="I792" t="s">
        <v>214</v>
      </c>
      <c r="J792" t="s">
        <v>215</v>
      </c>
      <c r="K792" t="s">
        <v>69</v>
      </c>
      <c r="L792" t="s">
        <v>2517</v>
      </c>
      <c r="M792" t="s">
        <v>71</v>
      </c>
      <c r="N792" t="s">
        <v>198</v>
      </c>
      <c r="O792" t="s">
        <v>2306</v>
      </c>
      <c r="P792" t="s">
        <v>2307</v>
      </c>
      <c r="R792" t="s">
        <v>2518</v>
      </c>
      <c r="S792" t="s">
        <v>176</v>
      </c>
      <c r="T792" t="s">
        <v>76</v>
      </c>
      <c r="U792" t="s">
        <v>104</v>
      </c>
      <c r="V792" t="s">
        <v>593</v>
      </c>
      <c r="W792">
        <v>690</v>
      </c>
      <c r="X792">
        <v>29.99</v>
      </c>
      <c r="Y792">
        <v>89</v>
      </c>
      <c r="Z792">
        <v>499000</v>
      </c>
      <c r="AA792">
        <v>103500</v>
      </c>
      <c r="AB792">
        <v>156</v>
      </c>
      <c r="AD792" t="s">
        <v>238</v>
      </c>
      <c r="AE792">
        <v>1</v>
      </c>
      <c r="AF792">
        <v>0</v>
      </c>
      <c r="AI792">
        <v>10</v>
      </c>
      <c r="AJ792">
        <v>50</v>
      </c>
      <c r="AK792">
        <v>60</v>
      </c>
      <c r="AL792">
        <v>150</v>
      </c>
      <c r="AM792">
        <v>56</v>
      </c>
      <c r="AN792">
        <v>0</v>
      </c>
      <c r="AO792">
        <v>56</v>
      </c>
      <c r="AP792" t="s">
        <v>80</v>
      </c>
      <c r="AQ792" t="s">
        <v>1151</v>
      </c>
      <c r="AR792" t="s">
        <v>86</v>
      </c>
      <c r="AS792" t="s">
        <v>86</v>
      </c>
      <c r="AT792" t="s">
        <v>240</v>
      </c>
      <c r="AU792" t="s">
        <v>240</v>
      </c>
      <c r="AV792" t="s">
        <v>2519</v>
      </c>
      <c r="AW792" t="s">
        <v>69</v>
      </c>
      <c r="AX792" t="s">
        <v>2520</v>
      </c>
      <c r="AY792" t="s">
        <v>1715</v>
      </c>
      <c r="AZ792" t="s">
        <v>310</v>
      </c>
      <c r="BA792" t="s">
        <v>244</v>
      </c>
      <c r="BB792" t="s">
        <v>245</v>
      </c>
      <c r="BC792" t="s">
        <v>244</v>
      </c>
      <c r="BD792" t="s">
        <v>2521</v>
      </c>
      <c r="BE792" t="s">
        <v>2653</v>
      </c>
      <c r="BF792" t="s">
        <v>86</v>
      </c>
      <c r="BG792" t="s">
        <v>110</v>
      </c>
      <c r="BH792" t="str">
        <f>IF(COUNTIF(工作表1!A:A, $C792)&gt;0, "預購款", "非預購款")</f>
        <v>非預購款</v>
      </c>
    </row>
    <row r="793" spans="1:60" x14ac:dyDescent="0.25">
      <c r="A793" t="s">
        <v>2512</v>
      </c>
      <c r="B793" t="s">
        <v>226</v>
      </c>
      <c r="C793" t="s">
        <v>2513</v>
      </c>
      <c r="D793" t="s">
        <v>2514</v>
      </c>
      <c r="E793" t="s">
        <v>2515</v>
      </c>
      <c r="F793" t="s">
        <v>181</v>
      </c>
      <c r="G793" t="s">
        <v>2516</v>
      </c>
      <c r="H793" t="s">
        <v>130</v>
      </c>
      <c r="I793" t="s">
        <v>214</v>
      </c>
      <c r="J793" t="s">
        <v>215</v>
      </c>
      <c r="K793" t="s">
        <v>69</v>
      </c>
      <c r="L793" t="s">
        <v>2517</v>
      </c>
      <c r="M793" t="s">
        <v>71</v>
      </c>
      <c r="N793" t="s">
        <v>198</v>
      </c>
      <c r="O793" t="s">
        <v>2306</v>
      </c>
      <c r="P793" t="s">
        <v>2307</v>
      </c>
      <c r="R793" t="s">
        <v>2518</v>
      </c>
      <c r="S793" t="s">
        <v>176</v>
      </c>
      <c r="T793" t="s">
        <v>76</v>
      </c>
      <c r="U793" t="s">
        <v>104</v>
      </c>
      <c r="V793" t="s">
        <v>593</v>
      </c>
      <c r="W793">
        <v>690</v>
      </c>
      <c r="X793">
        <v>29.99</v>
      </c>
      <c r="Y793">
        <v>89</v>
      </c>
      <c r="Z793">
        <v>499000</v>
      </c>
      <c r="AA793">
        <v>103500</v>
      </c>
      <c r="AB793">
        <v>156</v>
      </c>
      <c r="AD793" t="s">
        <v>238</v>
      </c>
      <c r="AE793">
        <v>1</v>
      </c>
      <c r="AF793">
        <v>0</v>
      </c>
      <c r="AI793">
        <v>20</v>
      </c>
      <c r="AJ793">
        <v>35</v>
      </c>
      <c r="AK793">
        <v>55</v>
      </c>
      <c r="AL793">
        <v>150</v>
      </c>
      <c r="AM793">
        <v>52</v>
      </c>
      <c r="AN793">
        <v>0</v>
      </c>
      <c r="AO793">
        <v>52</v>
      </c>
      <c r="AP793" t="s">
        <v>80</v>
      </c>
      <c r="AQ793" t="s">
        <v>1151</v>
      </c>
      <c r="AR793" t="s">
        <v>86</v>
      </c>
      <c r="AS793" t="s">
        <v>86</v>
      </c>
      <c r="AT793" t="s">
        <v>240</v>
      </c>
      <c r="AU793" t="s">
        <v>240</v>
      </c>
      <c r="AV793" t="s">
        <v>2519</v>
      </c>
      <c r="AW793" t="s">
        <v>69</v>
      </c>
      <c r="AX793" t="s">
        <v>2520</v>
      </c>
      <c r="AY793" t="s">
        <v>1715</v>
      </c>
      <c r="AZ793" t="s">
        <v>310</v>
      </c>
      <c r="BA793" t="s">
        <v>244</v>
      </c>
      <c r="BB793" t="s">
        <v>245</v>
      </c>
      <c r="BC793" t="s">
        <v>244</v>
      </c>
      <c r="BD793" t="s">
        <v>2522</v>
      </c>
      <c r="BE793" t="s">
        <v>2653</v>
      </c>
      <c r="BF793" t="s">
        <v>86</v>
      </c>
      <c r="BG793" t="s">
        <v>110</v>
      </c>
      <c r="BH793" t="str">
        <f>IF(COUNTIF(工作表1!A:A, $C793)&gt;0, "預購款", "非預購款")</f>
        <v>非預購款</v>
      </c>
    </row>
    <row r="794" spans="1:60" x14ac:dyDescent="0.25">
      <c r="A794" t="s">
        <v>2512</v>
      </c>
      <c r="B794" t="s">
        <v>226</v>
      </c>
      <c r="C794" t="s">
        <v>2513</v>
      </c>
      <c r="D794" t="s">
        <v>2514</v>
      </c>
      <c r="E794" t="s">
        <v>2515</v>
      </c>
      <c r="F794" t="s">
        <v>181</v>
      </c>
      <c r="G794" t="s">
        <v>2516</v>
      </c>
      <c r="H794" t="s">
        <v>132</v>
      </c>
      <c r="I794" t="s">
        <v>214</v>
      </c>
      <c r="J794" t="s">
        <v>215</v>
      </c>
      <c r="K794" t="s">
        <v>69</v>
      </c>
      <c r="L794" t="s">
        <v>2517</v>
      </c>
      <c r="M794" t="s">
        <v>71</v>
      </c>
      <c r="N794" t="s">
        <v>198</v>
      </c>
      <c r="O794" t="s">
        <v>2306</v>
      </c>
      <c r="P794" t="s">
        <v>2307</v>
      </c>
      <c r="R794" t="s">
        <v>2518</v>
      </c>
      <c r="S794" t="s">
        <v>176</v>
      </c>
      <c r="T794" t="s">
        <v>76</v>
      </c>
      <c r="U794" t="s">
        <v>104</v>
      </c>
      <c r="V794" t="s">
        <v>593</v>
      </c>
      <c r="W794">
        <v>690</v>
      </c>
      <c r="X794">
        <v>29.99</v>
      </c>
      <c r="Y794">
        <v>89</v>
      </c>
      <c r="Z794">
        <v>499000</v>
      </c>
      <c r="AA794">
        <v>103500</v>
      </c>
      <c r="AB794">
        <v>156</v>
      </c>
      <c r="AD794" t="s">
        <v>238</v>
      </c>
      <c r="AE794">
        <v>1</v>
      </c>
      <c r="AF794">
        <v>0</v>
      </c>
      <c r="AI794">
        <v>10</v>
      </c>
      <c r="AJ794">
        <v>25</v>
      </c>
      <c r="AK794">
        <v>35</v>
      </c>
      <c r="AL794">
        <v>150</v>
      </c>
      <c r="AM794">
        <v>32</v>
      </c>
      <c r="AN794">
        <v>0</v>
      </c>
      <c r="AO794">
        <v>32</v>
      </c>
      <c r="AP794" t="s">
        <v>80</v>
      </c>
      <c r="AQ794" t="s">
        <v>1151</v>
      </c>
      <c r="AR794" t="s">
        <v>86</v>
      </c>
      <c r="AS794" t="s">
        <v>86</v>
      </c>
      <c r="AT794" t="s">
        <v>240</v>
      </c>
      <c r="AU794" t="s">
        <v>240</v>
      </c>
      <c r="AV794" t="s">
        <v>2519</v>
      </c>
      <c r="AW794" t="s">
        <v>69</v>
      </c>
      <c r="AX794" t="s">
        <v>2520</v>
      </c>
      <c r="AY794" t="s">
        <v>1715</v>
      </c>
      <c r="AZ794" t="s">
        <v>310</v>
      </c>
      <c r="BA794" t="s">
        <v>244</v>
      </c>
      <c r="BB794" t="s">
        <v>245</v>
      </c>
      <c r="BC794" t="s">
        <v>244</v>
      </c>
      <c r="BD794" t="s">
        <v>2523</v>
      </c>
      <c r="BE794" t="s">
        <v>2653</v>
      </c>
      <c r="BF794" t="s">
        <v>86</v>
      </c>
      <c r="BG794" t="s">
        <v>110</v>
      </c>
      <c r="BH794" t="str">
        <f>IF(COUNTIF(工作表1!A:A, $C794)&gt;0, "預購款", "非預購款")</f>
        <v>非預購款</v>
      </c>
    </row>
    <row r="795" spans="1:60" x14ac:dyDescent="0.25">
      <c r="A795" t="s">
        <v>836</v>
      </c>
      <c r="B795" t="s">
        <v>226</v>
      </c>
      <c r="C795" t="s">
        <v>837</v>
      </c>
      <c r="D795" t="s">
        <v>838</v>
      </c>
      <c r="E795" t="s">
        <v>839</v>
      </c>
      <c r="F795" t="s">
        <v>181</v>
      </c>
      <c r="G795" t="s">
        <v>840</v>
      </c>
      <c r="H795" t="s">
        <v>273</v>
      </c>
      <c r="I795" t="s">
        <v>134</v>
      </c>
      <c r="J795" t="s">
        <v>135</v>
      </c>
      <c r="K795" t="s">
        <v>69</v>
      </c>
      <c r="L795" t="s">
        <v>841</v>
      </c>
      <c r="M795" t="s">
        <v>71</v>
      </c>
      <c r="N795" t="s">
        <v>100</v>
      </c>
      <c r="O795" t="s">
        <v>101</v>
      </c>
      <c r="P795" t="s">
        <v>102</v>
      </c>
      <c r="R795" t="s">
        <v>734</v>
      </c>
      <c r="S795" t="s">
        <v>176</v>
      </c>
      <c r="T795" t="s">
        <v>274</v>
      </c>
      <c r="U795" t="s">
        <v>383</v>
      </c>
      <c r="V795" t="s">
        <v>384</v>
      </c>
      <c r="W795">
        <v>1180</v>
      </c>
      <c r="X795">
        <v>49.99</v>
      </c>
      <c r="Y795">
        <v>155</v>
      </c>
      <c r="Z795">
        <v>859000</v>
      </c>
      <c r="AA795">
        <v>165200</v>
      </c>
      <c r="AB795">
        <v>714</v>
      </c>
      <c r="AD795" t="s">
        <v>238</v>
      </c>
      <c r="AE795">
        <v>1</v>
      </c>
      <c r="AF795">
        <v>0</v>
      </c>
      <c r="AI795">
        <v>0</v>
      </c>
      <c r="AJ795">
        <v>65</v>
      </c>
      <c r="AK795">
        <v>65</v>
      </c>
      <c r="AL795">
        <v>140</v>
      </c>
      <c r="AM795">
        <v>73</v>
      </c>
      <c r="AN795">
        <v>0</v>
      </c>
      <c r="AO795">
        <v>73</v>
      </c>
      <c r="AP795" t="s">
        <v>80</v>
      </c>
      <c r="AQ795" t="s">
        <v>176</v>
      </c>
      <c r="AS795" t="s">
        <v>86</v>
      </c>
      <c r="AT795" t="s">
        <v>240</v>
      </c>
      <c r="AU795" t="s">
        <v>240</v>
      </c>
      <c r="AV795" t="s">
        <v>842</v>
      </c>
      <c r="AW795" t="s">
        <v>69</v>
      </c>
      <c r="AX795" t="s">
        <v>387</v>
      </c>
      <c r="AY795" t="s">
        <v>843</v>
      </c>
      <c r="AZ795" t="s">
        <v>264</v>
      </c>
      <c r="BA795" t="s">
        <v>245</v>
      </c>
      <c r="BB795" t="s">
        <v>245</v>
      </c>
      <c r="BC795" t="s">
        <v>245</v>
      </c>
      <c r="BD795" t="s">
        <v>848</v>
      </c>
      <c r="BE795" t="s">
        <v>2654</v>
      </c>
      <c r="BF795" t="s">
        <v>279</v>
      </c>
      <c r="BG795" t="s">
        <v>110</v>
      </c>
      <c r="BH795" t="str">
        <f>IF(COUNTIF(工作表1!A:A, $C795)&gt;0, "預購款", "非預購款")</f>
        <v>非預購款</v>
      </c>
    </row>
    <row r="796" spans="1:60" x14ac:dyDescent="0.25">
      <c r="A796" t="s">
        <v>836</v>
      </c>
      <c r="B796" t="s">
        <v>226</v>
      </c>
      <c r="C796" t="s">
        <v>837</v>
      </c>
      <c r="D796" t="s">
        <v>838</v>
      </c>
      <c r="E796" t="s">
        <v>839</v>
      </c>
      <c r="F796" t="s">
        <v>181</v>
      </c>
      <c r="G796" t="s">
        <v>840</v>
      </c>
      <c r="H796" t="s">
        <v>501</v>
      </c>
      <c r="I796" t="s">
        <v>134</v>
      </c>
      <c r="J796" t="s">
        <v>135</v>
      </c>
      <c r="K796" t="s">
        <v>69</v>
      </c>
      <c r="L796" t="s">
        <v>841</v>
      </c>
      <c r="M796" t="s">
        <v>71</v>
      </c>
      <c r="N796" t="s">
        <v>100</v>
      </c>
      <c r="O796" t="s">
        <v>101</v>
      </c>
      <c r="P796" t="s">
        <v>102</v>
      </c>
      <c r="R796" t="s">
        <v>734</v>
      </c>
      <c r="S796" t="s">
        <v>176</v>
      </c>
      <c r="T796" t="s">
        <v>274</v>
      </c>
      <c r="U796" t="s">
        <v>383</v>
      </c>
      <c r="V796" t="s">
        <v>384</v>
      </c>
      <c r="W796">
        <v>1180</v>
      </c>
      <c r="X796">
        <v>49.99</v>
      </c>
      <c r="Y796">
        <v>155</v>
      </c>
      <c r="Z796">
        <v>859000</v>
      </c>
      <c r="AA796">
        <v>165200</v>
      </c>
      <c r="AB796">
        <v>714</v>
      </c>
      <c r="AD796" t="s">
        <v>238</v>
      </c>
      <c r="AE796">
        <v>1</v>
      </c>
      <c r="AF796">
        <v>0</v>
      </c>
      <c r="AI796">
        <v>0</v>
      </c>
      <c r="AJ796">
        <v>40</v>
      </c>
      <c r="AK796">
        <v>40</v>
      </c>
      <c r="AL796">
        <v>140</v>
      </c>
      <c r="AM796">
        <v>48</v>
      </c>
      <c r="AN796">
        <v>0</v>
      </c>
      <c r="AO796">
        <v>48</v>
      </c>
      <c r="AP796" t="s">
        <v>80</v>
      </c>
      <c r="AQ796" t="s">
        <v>176</v>
      </c>
      <c r="AS796" t="s">
        <v>86</v>
      </c>
      <c r="AT796" t="s">
        <v>240</v>
      </c>
      <c r="AU796" t="s">
        <v>240</v>
      </c>
      <c r="AV796" t="s">
        <v>842</v>
      </c>
      <c r="AW796" t="s">
        <v>69</v>
      </c>
      <c r="AX796" t="s">
        <v>387</v>
      </c>
      <c r="AY796" t="s">
        <v>843</v>
      </c>
      <c r="AZ796" t="s">
        <v>264</v>
      </c>
      <c r="BA796" t="s">
        <v>245</v>
      </c>
      <c r="BB796" t="s">
        <v>245</v>
      </c>
      <c r="BC796" t="s">
        <v>245</v>
      </c>
      <c r="BD796" t="s">
        <v>849</v>
      </c>
      <c r="BE796" t="s">
        <v>2654</v>
      </c>
      <c r="BF796" t="s">
        <v>279</v>
      </c>
      <c r="BG796" t="s">
        <v>110</v>
      </c>
      <c r="BH796" t="str">
        <f>IF(COUNTIF(工作表1!A:A, $C796)&gt;0, "預購款", "非預購款")</f>
        <v>非預購款</v>
      </c>
    </row>
    <row r="797" spans="1:60" x14ac:dyDescent="0.25">
      <c r="A797" t="s">
        <v>836</v>
      </c>
      <c r="B797" t="s">
        <v>226</v>
      </c>
      <c r="C797" t="s">
        <v>837</v>
      </c>
      <c r="D797" t="s">
        <v>838</v>
      </c>
      <c r="E797" t="s">
        <v>839</v>
      </c>
      <c r="F797" t="s">
        <v>181</v>
      </c>
      <c r="G797" t="s">
        <v>840</v>
      </c>
      <c r="H797" t="s">
        <v>280</v>
      </c>
      <c r="I797" t="s">
        <v>134</v>
      </c>
      <c r="J797" t="s">
        <v>135</v>
      </c>
      <c r="K797" t="s">
        <v>69</v>
      </c>
      <c r="L797" t="s">
        <v>841</v>
      </c>
      <c r="M797" t="s">
        <v>71</v>
      </c>
      <c r="N797" t="s">
        <v>100</v>
      </c>
      <c r="O797" t="s">
        <v>101</v>
      </c>
      <c r="P797" t="s">
        <v>102</v>
      </c>
      <c r="R797" t="s">
        <v>734</v>
      </c>
      <c r="S797" t="s">
        <v>176</v>
      </c>
      <c r="T797" t="s">
        <v>274</v>
      </c>
      <c r="U797" t="s">
        <v>383</v>
      </c>
      <c r="V797" t="s">
        <v>384</v>
      </c>
      <c r="W797">
        <v>1180</v>
      </c>
      <c r="X797">
        <v>49.99</v>
      </c>
      <c r="Y797">
        <v>155</v>
      </c>
      <c r="Z797">
        <v>859000</v>
      </c>
      <c r="AA797">
        <v>165200</v>
      </c>
      <c r="AB797">
        <v>714</v>
      </c>
      <c r="AD797" t="s">
        <v>238</v>
      </c>
      <c r="AE797">
        <v>1</v>
      </c>
      <c r="AF797">
        <v>0</v>
      </c>
      <c r="AI797">
        <v>0</v>
      </c>
      <c r="AJ797">
        <v>35</v>
      </c>
      <c r="AK797">
        <v>35</v>
      </c>
      <c r="AL797">
        <v>140</v>
      </c>
      <c r="AM797">
        <v>43</v>
      </c>
      <c r="AN797">
        <v>0</v>
      </c>
      <c r="AO797">
        <v>43</v>
      </c>
      <c r="AP797" t="s">
        <v>80</v>
      </c>
      <c r="AQ797" t="s">
        <v>176</v>
      </c>
      <c r="AS797" t="s">
        <v>86</v>
      </c>
      <c r="AT797" t="s">
        <v>240</v>
      </c>
      <c r="AU797" t="s">
        <v>240</v>
      </c>
      <c r="AV797" t="s">
        <v>842</v>
      </c>
      <c r="AW797" t="s">
        <v>69</v>
      </c>
      <c r="AX797" t="s">
        <v>387</v>
      </c>
      <c r="AY797" t="s">
        <v>843</v>
      </c>
      <c r="AZ797" t="s">
        <v>264</v>
      </c>
      <c r="BA797" t="s">
        <v>245</v>
      </c>
      <c r="BB797" t="s">
        <v>245</v>
      </c>
      <c r="BC797" t="s">
        <v>245</v>
      </c>
      <c r="BD797" t="s">
        <v>850</v>
      </c>
      <c r="BE797" t="s">
        <v>2654</v>
      </c>
      <c r="BF797" t="s">
        <v>279</v>
      </c>
      <c r="BG797" t="s">
        <v>110</v>
      </c>
      <c r="BH797" t="str">
        <f>IF(COUNTIF(工作表1!A:A, $C797)&gt;0, "預購款", "非預購款")</f>
        <v>非預購款</v>
      </c>
    </row>
    <row r="798" spans="1:60" x14ac:dyDescent="0.25">
      <c r="A798" t="s">
        <v>2524</v>
      </c>
      <c r="B798" t="s">
        <v>226</v>
      </c>
      <c r="C798" t="s">
        <v>2525</v>
      </c>
      <c r="D798" t="s">
        <v>2526</v>
      </c>
      <c r="E798" t="s">
        <v>2527</v>
      </c>
      <c r="F798" t="s">
        <v>181</v>
      </c>
      <c r="G798" t="s">
        <v>2528</v>
      </c>
      <c r="H798" t="s">
        <v>119</v>
      </c>
      <c r="I798" t="s">
        <v>97</v>
      </c>
      <c r="J798" t="s">
        <v>98</v>
      </c>
      <c r="K798" t="s">
        <v>69</v>
      </c>
      <c r="L798" t="s">
        <v>2529</v>
      </c>
      <c r="M798" t="s">
        <v>71</v>
      </c>
      <c r="N798" t="s">
        <v>198</v>
      </c>
      <c r="O798" t="s">
        <v>2306</v>
      </c>
      <c r="P798" t="s">
        <v>2307</v>
      </c>
      <c r="R798" t="s">
        <v>2530</v>
      </c>
      <c r="S798" t="s">
        <v>176</v>
      </c>
      <c r="T798" t="s">
        <v>76</v>
      </c>
      <c r="U798" t="s">
        <v>104</v>
      </c>
      <c r="V798" t="s">
        <v>623</v>
      </c>
      <c r="W798">
        <v>690</v>
      </c>
      <c r="X798">
        <v>29.99</v>
      </c>
      <c r="Y798">
        <v>89</v>
      </c>
      <c r="Z798">
        <v>499000</v>
      </c>
      <c r="AA798">
        <v>175950</v>
      </c>
      <c r="AB798">
        <v>278</v>
      </c>
      <c r="AD798" t="s">
        <v>238</v>
      </c>
      <c r="AE798">
        <v>2</v>
      </c>
      <c r="AF798">
        <v>0</v>
      </c>
      <c r="AI798">
        <v>10</v>
      </c>
      <c r="AJ798">
        <v>50</v>
      </c>
      <c r="AK798">
        <v>60</v>
      </c>
      <c r="AL798">
        <v>255</v>
      </c>
      <c r="AM798">
        <v>51</v>
      </c>
      <c r="AN798">
        <v>0</v>
      </c>
      <c r="AO798">
        <v>51</v>
      </c>
      <c r="AP798" t="s">
        <v>80</v>
      </c>
      <c r="AQ798" t="s">
        <v>184</v>
      </c>
      <c r="AR798" t="s">
        <v>86</v>
      </c>
      <c r="AS798" t="s">
        <v>86</v>
      </c>
      <c r="AT798" t="s">
        <v>86</v>
      </c>
      <c r="AU798" t="s">
        <v>86</v>
      </c>
      <c r="AV798" t="s">
        <v>2531</v>
      </c>
      <c r="AW798" t="s">
        <v>69</v>
      </c>
      <c r="AX798" t="s">
        <v>2520</v>
      </c>
      <c r="AY798" t="s">
        <v>858</v>
      </c>
      <c r="AZ798" t="s">
        <v>245</v>
      </c>
      <c r="BA798" t="s">
        <v>245</v>
      </c>
      <c r="BB798" t="s">
        <v>244</v>
      </c>
      <c r="BC798" t="s">
        <v>245</v>
      </c>
      <c r="BD798" t="s">
        <v>2532</v>
      </c>
      <c r="BE798" t="s">
        <v>2655</v>
      </c>
      <c r="BF798" t="s">
        <v>86</v>
      </c>
      <c r="BG798" t="s">
        <v>150</v>
      </c>
      <c r="BH798" t="str">
        <f>IF(COUNTIF(工作表1!A:A, $C798)&gt;0, "預購款", "非預購款")</f>
        <v>非預購款</v>
      </c>
    </row>
    <row r="799" spans="1:60" x14ac:dyDescent="0.25">
      <c r="A799" t="s">
        <v>2524</v>
      </c>
      <c r="B799" t="s">
        <v>226</v>
      </c>
      <c r="C799" t="s">
        <v>2525</v>
      </c>
      <c r="D799" t="s">
        <v>2526</v>
      </c>
      <c r="E799" t="s">
        <v>2527</v>
      </c>
      <c r="F799" t="s">
        <v>181</v>
      </c>
      <c r="G799" t="s">
        <v>2528</v>
      </c>
      <c r="H799" t="s">
        <v>130</v>
      </c>
      <c r="I799" t="s">
        <v>97</v>
      </c>
      <c r="J799" t="s">
        <v>98</v>
      </c>
      <c r="K799" t="s">
        <v>69</v>
      </c>
      <c r="L799" t="s">
        <v>2529</v>
      </c>
      <c r="M799" t="s">
        <v>71</v>
      </c>
      <c r="N799" t="s">
        <v>198</v>
      </c>
      <c r="O799" t="s">
        <v>2306</v>
      </c>
      <c r="P799" t="s">
        <v>2307</v>
      </c>
      <c r="R799" t="s">
        <v>2530</v>
      </c>
      <c r="S799" t="s">
        <v>176</v>
      </c>
      <c r="T799" t="s">
        <v>76</v>
      </c>
      <c r="U799" t="s">
        <v>104</v>
      </c>
      <c r="V799" t="s">
        <v>623</v>
      </c>
      <c r="W799">
        <v>690</v>
      </c>
      <c r="X799">
        <v>29.99</v>
      </c>
      <c r="Y799">
        <v>89</v>
      </c>
      <c r="Z799">
        <v>499000</v>
      </c>
      <c r="AA799">
        <v>175950</v>
      </c>
      <c r="AB799">
        <v>278</v>
      </c>
      <c r="AD799" t="s">
        <v>238</v>
      </c>
      <c r="AE799">
        <v>2</v>
      </c>
      <c r="AF799">
        <v>0</v>
      </c>
      <c r="AI799">
        <v>10</v>
      </c>
      <c r="AJ799">
        <v>20</v>
      </c>
      <c r="AK799">
        <v>30</v>
      </c>
      <c r="AL799">
        <v>255</v>
      </c>
      <c r="AM799">
        <v>20</v>
      </c>
      <c r="AN799">
        <v>0</v>
      </c>
      <c r="AO799">
        <v>20</v>
      </c>
      <c r="AP799" t="s">
        <v>80</v>
      </c>
      <c r="AQ799" t="s">
        <v>184</v>
      </c>
      <c r="AR799" t="s">
        <v>86</v>
      </c>
      <c r="AS799" t="s">
        <v>86</v>
      </c>
      <c r="AT799" t="s">
        <v>86</v>
      </c>
      <c r="AU799" t="s">
        <v>86</v>
      </c>
      <c r="AV799" t="s">
        <v>2531</v>
      </c>
      <c r="AW799" t="s">
        <v>69</v>
      </c>
      <c r="AX799" t="s">
        <v>2520</v>
      </c>
      <c r="AY799" t="s">
        <v>858</v>
      </c>
      <c r="AZ799" t="s">
        <v>245</v>
      </c>
      <c r="BA799" t="s">
        <v>245</v>
      </c>
      <c r="BB799" t="s">
        <v>244</v>
      </c>
      <c r="BC799" t="s">
        <v>245</v>
      </c>
      <c r="BD799" t="s">
        <v>2533</v>
      </c>
      <c r="BE799" t="s">
        <v>2655</v>
      </c>
      <c r="BF799" t="s">
        <v>86</v>
      </c>
      <c r="BG799" t="s">
        <v>150</v>
      </c>
      <c r="BH799" t="str">
        <f>IF(COUNTIF(工作表1!A:A, $C799)&gt;0, "預購款", "非預購款")</f>
        <v>非預購款</v>
      </c>
    </row>
    <row r="800" spans="1:60" x14ac:dyDescent="0.25">
      <c r="A800" t="s">
        <v>2524</v>
      </c>
      <c r="B800" t="s">
        <v>226</v>
      </c>
      <c r="C800" t="s">
        <v>2525</v>
      </c>
      <c r="D800" t="s">
        <v>2526</v>
      </c>
      <c r="E800" t="s">
        <v>2527</v>
      </c>
      <c r="F800" t="s">
        <v>181</v>
      </c>
      <c r="G800" t="s">
        <v>2528</v>
      </c>
      <c r="H800" t="s">
        <v>119</v>
      </c>
      <c r="I800" t="s">
        <v>134</v>
      </c>
      <c r="J800" t="s">
        <v>135</v>
      </c>
      <c r="K800" t="s">
        <v>69</v>
      </c>
      <c r="L800" t="s">
        <v>2529</v>
      </c>
      <c r="M800" t="s">
        <v>71</v>
      </c>
      <c r="N800" t="s">
        <v>198</v>
      </c>
      <c r="O800" t="s">
        <v>2306</v>
      </c>
      <c r="P800" t="s">
        <v>2307</v>
      </c>
      <c r="R800" t="s">
        <v>2530</v>
      </c>
      <c r="S800" t="s">
        <v>176</v>
      </c>
      <c r="T800" t="s">
        <v>76</v>
      </c>
      <c r="U800" t="s">
        <v>104</v>
      </c>
      <c r="V800" t="s">
        <v>623</v>
      </c>
      <c r="W800">
        <v>690</v>
      </c>
      <c r="X800">
        <v>29.99</v>
      </c>
      <c r="Y800">
        <v>89</v>
      </c>
      <c r="Z800">
        <v>499000</v>
      </c>
      <c r="AA800">
        <v>175950</v>
      </c>
      <c r="AB800">
        <v>278</v>
      </c>
      <c r="AD800" t="s">
        <v>238</v>
      </c>
      <c r="AE800">
        <v>2</v>
      </c>
      <c r="AF800">
        <v>0</v>
      </c>
      <c r="AI800">
        <v>40</v>
      </c>
      <c r="AJ800">
        <v>45</v>
      </c>
      <c r="AK800">
        <v>85</v>
      </c>
      <c r="AL800">
        <v>255</v>
      </c>
      <c r="AM800">
        <v>84</v>
      </c>
      <c r="AN800">
        <v>0</v>
      </c>
      <c r="AO800">
        <v>84</v>
      </c>
      <c r="AP800" t="s">
        <v>80</v>
      </c>
      <c r="AQ800" t="s">
        <v>184</v>
      </c>
      <c r="AR800" t="s">
        <v>86</v>
      </c>
      <c r="AS800" t="s">
        <v>86</v>
      </c>
      <c r="AT800" t="s">
        <v>86</v>
      </c>
      <c r="AU800" t="s">
        <v>86</v>
      </c>
      <c r="AV800" t="s">
        <v>2531</v>
      </c>
      <c r="AW800" t="s">
        <v>69</v>
      </c>
      <c r="AX800" t="s">
        <v>2520</v>
      </c>
      <c r="AY800" t="s">
        <v>858</v>
      </c>
      <c r="AZ800" t="s">
        <v>245</v>
      </c>
      <c r="BA800" t="s">
        <v>245</v>
      </c>
      <c r="BB800" t="s">
        <v>244</v>
      </c>
      <c r="BC800" t="s">
        <v>245</v>
      </c>
      <c r="BD800" t="s">
        <v>2534</v>
      </c>
      <c r="BE800" t="s">
        <v>2655</v>
      </c>
      <c r="BF800" t="s">
        <v>86</v>
      </c>
      <c r="BG800" t="s">
        <v>150</v>
      </c>
      <c r="BH800" t="str">
        <f>IF(COUNTIF(工作表1!A:A, $C800)&gt;0, "預購款", "非預購款")</f>
        <v>非預購款</v>
      </c>
    </row>
    <row r="801" spans="1:60" x14ac:dyDescent="0.25">
      <c r="A801" t="s">
        <v>2524</v>
      </c>
      <c r="B801" t="s">
        <v>226</v>
      </c>
      <c r="C801" t="s">
        <v>2525</v>
      </c>
      <c r="D801" t="s">
        <v>2526</v>
      </c>
      <c r="E801" t="s">
        <v>2527</v>
      </c>
      <c r="F801" t="s">
        <v>181</v>
      </c>
      <c r="G801" t="s">
        <v>2528</v>
      </c>
      <c r="H801" t="s">
        <v>130</v>
      </c>
      <c r="I801" t="s">
        <v>134</v>
      </c>
      <c r="J801" t="s">
        <v>135</v>
      </c>
      <c r="K801" t="s">
        <v>69</v>
      </c>
      <c r="L801" t="s">
        <v>2529</v>
      </c>
      <c r="M801" t="s">
        <v>71</v>
      </c>
      <c r="N801" t="s">
        <v>198</v>
      </c>
      <c r="O801" t="s">
        <v>2306</v>
      </c>
      <c r="P801" t="s">
        <v>2307</v>
      </c>
      <c r="R801" t="s">
        <v>2530</v>
      </c>
      <c r="S801" t="s">
        <v>176</v>
      </c>
      <c r="T801" t="s">
        <v>76</v>
      </c>
      <c r="U801" t="s">
        <v>104</v>
      </c>
      <c r="V801" t="s">
        <v>623</v>
      </c>
      <c r="W801">
        <v>690</v>
      </c>
      <c r="X801">
        <v>29.99</v>
      </c>
      <c r="Y801">
        <v>89</v>
      </c>
      <c r="Z801">
        <v>499000</v>
      </c>
      <c r="AA801">
        <v>175950</v>
      </c>
      <c r="AB801">
        <v>278</v>
      </c>
      <c r="AD801" t="s">
        <v>238</v>
      </c>
      <c r="AE801">
        <v>2</v>
      </c>
      <c r="AF801">
        <v>0</v>
      </c>
      <c r="AI801">
        <v>50</v>
      </c>
      <c r="AJ801">
        <v>30</v>
      </c>
      <c r="AK801">
        <v>80</v>
      </c>
      <c r="AL801">
        <v>255</v>
      </c>
      <c r="AM801">
        <v>72</v>
      </c>
      <c r="AN801">
        <v>0</v>
      </c>
      <c r="AO801">
        <v>72</v>
      </c>
      <c r="AP801" t="s">
        <v>80</v>
      </c>
      <c r="AQ801" t="s">
        <v>184</v>
      </c>
      <c r="AR801" t="s">
        <v>86</v>
      </c>
      <c r="AS801" t="s">
        <v>86</v>
      </c>
      <c r="AT801" t="s">
        <v>86</v>
      </c>
      <c r="AU801" t="s">
        <v>86</v>
      </c>
      <c r="AV801" t="s">
        <v>2531</v>
      </c>
      <c r="AW801" t="s">
        <v>69</v>
      </c>
      <c r="AX801" t="s">
        <v>2520</v>
      </c>
      <c r="AY801" t="s">
        <v>858</v>
      </c>
      <c r="AZ801" t="s">
        <v>245</v>
      </c>
      <c r="BA801" t="s">
        <v>245</v>
      </c>
      <c r="BB801" t="s">
        <v>244</v>
      </c>
      <c r="BC801" t="s">
        <v>245</v>
      </c>
      <c r="BD801" t="s">
        <v>2535</v>
      </c>
      <c r="BE801" t="s">
        <v>2655</v>
      </c>
      <c r="BF801" t="s">
        <v>86</v>
      </c>
      <c r="BG801" t="s">
        <v>150</v>
      </c>
      <c r="BH801" t="str">
        <f>IF(COUNTIF(工作表1!A:A, $C801)&gt;0, "預購款", "非預購款")</f>
        <v>非預購款</v>
      </c>
    </row>
    <row r="802" spans="1:60" x14ac:dyDescent="0.25">
      <c r="A802" t="s">
        <v>587</v>
      </c>
      <c r="B802" t="s">
        <v>226</v>
      </c>
      <c r="C802" t="s">
        <v>588</v>
      </c>
      <c r="D802" t="s">
        <v>589</v>
      </c>
      <c r="E802" t="s">
        <v>590</v>
      </c>
      <c r="F802" t="s">
        <v>181</v>
      </c>
      <c r="G802" t="s">
        <v>591</v>
      </c>
      <c r="H802" t="s">
        <v>119</v>
      </c>
      <c r="I802" t="s">
        <v>97</v>
      </c>
      <c r="J802" t="s">
        <v>98</v>
      </c>
      <c r="K802" t="s">
        <v>69</v>
      </c>
      <c r="L802" t="s">
        <v>592</v>
      </c>
      <c r="M802" t="s">
        <v>71</v>
      </c>
      <c r="N802" t="s">
        <v>100</v>
      </c>
      <c r="O802" t="s">
        <v>524</v>
      </c>
      <c r="P802" t="s">
        <v>525</v>
      </c>
      <c r="R802" t="s">
        <v>526</v>
      </c>
      <c r="S802" t="s">
        <v>176</v>
      </c>
      <c r="T802" t="s">
        <v>258</v>
      </c>
      <c r="U802" t="s">
        <v>104</v>
      </c>
      <c r="V802" t="s">
        <v>593</v>
      </c>
      <c r="W802">
        <v>590</v>
      </c>
      <c r="X802">
        <v>29.99</v>
      </c>
      <c r="Y802">
        <v>75</v>
      </c>
      <c r="Z802">
        <v>429000</v>
      </c>
      <c r="AA802">
        <v>200600</v>
      </c>
      <c r="AB802">
        <v>140</v>
      </c>
      <c r="AD802" t="s">
        <v>238</v>
      </c>
      <c r="AE802">
        <v>2</v>
      </c>
      <c r="AF802">
        <v>0</v>
      </c>
      <c r="AI802">
        <v>0</v>
      </c>
      <c r="AJ802">
        <v>70</v>
      </c>
      <c r="AK802">
        <v>70</v>
      </c>
      <c r="AL802">
        <v>340</v>
      </c>
      <c r="AM802">
        <v>72</v>
      </c>
      <c r="AN802">
        <v>0</v>
      </c>
      <c r="AO802">
        <v>72</v>
      </c>
      <c r="AP802" t="s">
        <v>80</v>
      </c>
      <c r="AQ802" t="s">
        <v>184</v>
      </c>
      <c r="AT802" t="s">
        <v>264</v>
      </c>
      <c r="AU802" t="s">
        <v>264</v>
      </c>
      <c r="AV802" t="s">
        <v>569</v>
      </c>
      <c r="AW802" t="s">
        <v>69</v>
      </c>
      <c r="AX802" t="s">
        <v>583</v>
      </c>
      <c r="AY802" t="s">
        <v>594</v>
      </c>
      <c r="AZ802" t="s">
        <v>245</v>
      </c>
      <c r="BA802" t="s">
        <v>244</v>
      </c>
      <c r="BB802" t="s">
        <v>244</v>
      </c>
      <c r="BC802" t="s">
        <v>264</v>
      </c>
      <c r="BD802" t="s">
        <v>595</v>
      </c>
      <c r="BE802" t="s">
        <v>2656</v>
      </c>
      <c r="BF802" t="s">
        <v>240</v>
      </c>
      <c r="BG802" t="s">
        <v>150</v>
      </c>
      <c r="BH802" t="str">
        <f>IF(COUNTIF(工作表1!A:A, $C802)&gt;0, "預購款", "非預購款")</f>
        <v>非預購款</v>
      </c>
    </row>
    <row r="803" spans="1:60" x14ac:dyDescent="0.25">
      <c r="A803" t="s">
        <v>587</v>
      </c>
      <c r="B803" t="s">
        <v>226</v>
      </c>
      <c r="C803" t="s">
        <v>588</v>
      </c>
      <c r="D803" t="s">
        <v>589</v>
      </c>
      <c r="E803" t="s">
        <v>590</v>
      </c>
      <c r="F803" t="s">
        <v>181</v>
      </c>
      <c r="G803" t="s">
        <v>591</v>
      </c>
      <c r="H803" t="s">
        <v>130</v>
      </c>
      <c r="I803" t="s">
        <v>97</v>
      </c>
      <c r="J803" t="s">
        <v>98</v>
      </c>
      <c r="K803" t="s">
        <v>69</v>
      </c>
      <c r="L803" t="s">
        <v>592</v>
      </c>
      <c r="M803" t="s">
        <v>71</v>
      </c>
      <c r="N803" t="s">
        <v>100</v>
      </c>
      <c r="O803" t="s">
        <v>524</v>
      </c>
      <c r="P803" t="s">
        <v>525</v>
      </c>
      <c r="R803" t="s">
        <v>526</v>
      </c>
      <c r="S803" t="s">
        <v>176</v>
      </c>
      <c r="T803" t="s">
        <v>258</v>
      </c>
      <c r="U803" t="s">
        <v>104</v>
      </c>
      <c r="V803" t="s">
        <v>593</v>
      </c>
      <c r="W803">
        <v>590</v>
      </c>
      <c r="X803">
        <v>29.99</v>
      </c>
      <c r="Y803">
        <v>75</v>
      </c>
      <c r="Z803">
        <v>429000</v>
      </c>
      <c r="AA803">
        <v>200600</v>
      </c>
      <c r="AB803">
        <v>140</v>
      </c>
      <c r="AD803" t="s">
        <v>238</v>
      </c>
      <c r="AE803">
        <v>2</v>
      </c>
      <c r="AF803">
        <v>0</v>
      </c>
      <c r="AI803">
        <v>0</v>
      </c>
      <c r="AJ803">
        <v>60</v>
      </c>
      <c r="AK803">
        <v>60</v>
      </c>
      <c r="AL803">
        <v>340</v>
      </c>
      <c r="AM803">
        <v>62</v>
      </c>
      <c r="AN803">
        <v>0</v>
      </c>
      <c r="AO803">
        <v>62</v>
      </c>
      <c r="AP803" t="s">
        <v>80</v>
      </c>
      <c r="AQ803" t="s">
        <v>184</v>
      </c>
      <c r="AT803" t="s">
        <v>264</v>
      </c>
      <c r="AU803" t="s">
        <v>264</v>
      </c>
      <c r="AV803" t="s">
        <v>569</v>
      </c>
      <c r="AW803" t="s">
        <v>69</v>
      </c>
      <c r="AX803" t="s">
        <v>583</v>
      </c>
      <c r="AY803" t="s">
        <v>594</v>
      </c>
      <c r="AZ803" t="s">
        <v>245</v>
      </c>
      <c r="BA803" t="s">
        <v>244</v>
      </c>
      <c r="BB803" t="s">
        <v>244</v>
      </c>
      <c r="BC803" t="s">
        <v>264</v>
      </c>
      <c r="BD803" t="s">
        <v>597</v>
      </c>
      <c r="BE803" t="s">
        <v>2656</v>
      </c>
      <c r="BF803" t="s">
        <v>240</v>
      </c>
      <c r="BG803" t="s">
        <v>150</v>
      </c>
      <c r="BH803" t="str">
        <f>IF(COUNTIF(工作表1!A:A, $C803)&gt;0, "預購款", "非預購款")</f>
        <v>非預購款</v>
      </c>
    </row>
    <row r="804" spans="1:60" x14ac:dyDescent="0.25">
      <c r="A804" t="s">
        <v>587</v>
      </c>
      <c r="B804" t="s">
        <v>226</v>
      </c>
      <c r="C804" t="s">
        <v>588</v>
      </c>
      <c r="D804" t="s">
        <v>589</v>
      </c>
      <c r="E804" t="s">
        <v>590</v>
      </c>
      <c r="F804" t="s">
        <v>181</v>
      </c>
      <c r="G804" t="s">
        <v>591</v>
      </c>
      <c r="H804" t="s">
        <v>132</v>
      </c>
      <c r="I804" t="s">
        <v>97</v>
      </c>
      <c r="J804" t="s">
        <v>98</v>
      </c>
      <c r="K804" t="s">
        <v>69</v>
      </c>
      <c r="L804" t="s">
        <v>592</v>
      </c>
      <c r="M804" t="s">
        <v>71</v>
      </c>
      <c r="N804" t="s">
        <v>100</v>
      </c>
      <c r="O804" t="s">
        <v>524</v>
      </c>
      <c r="P804" t="s">
        <v>525</v>
      </c>
      <c r="R804" t="s">
        <v>526</v>
      </c>
      <c r="S804" t="s">
        <v>176</v>
      </c>
      <c r="T804" t="s">
        <v>258</v>
      </c>
      <c r="U804" t="s">
        <v>104</v>
      </c>
      <c r="V804" t="s">
        <v>593</v>
      </c>
      <c r="W804">
        <v>590</v>
      </c>
      <c r="X804">
        <v>29.99</v>
      </c>
      <c r="Y804">
        <v>75</v>
      </c>
      <c r="Z804">
        <v>429000</v>
      </c>
      <c r="AA804">
        <v>200600</v>
      </c>
      <c r="AB804">
        <v>140</v>
      </c>
      <c r="AD804" t="s">
        <v>238</v>
      </c>
      <c r="AE804">
        <v>2</v>
      </c>
      <c r="AF804">
        <v>0</v>
      </c>
      <c r="AI804">
        <v>0</v>
      </c>
      <c r="AJ804">
        <v>40</v>
      </c>
      <c r="AK804">
        <v>40</v>
      </c>
      <c r="AL804">
        <v>340</v>
      </c>
      <c r="AM804">
        <v>41</v>
      </c>
      <c r="AN804">
        <v>0</v>
      </c>
      <c r="AO804">
        <v>41</v>
      </c>
      <c r="AP804" t="s">
        <v>80</v>
      </c>
      <c r="AQ804" t="s">
        <v>184</v>
      </c>
      <c r="AT804" t="s">
        <v>264</v>
      </c>
      <c r="AU804" t="s">
        <v>264</v>
      </c>
      <c r="AV804" t="s">
        <v>569</v>
      </c>
      <c r="AW804" t="s">
        <v>69</v>
      </c>
      <c r="AX804" t="s">
        <v>583</v>
      </c>
      <c r="AY804" t="s">
        <v>594</v>
      </c>
      <c r="AZ804" t="s">
        <v>245</v>
      </c>
      <c r="BA804" t="s">
        <v>244</v>
      </c>
      <c r="BB804" t="s">
        <v>244</v>
      </c>
      <c r="BC804" t="s">
        <v>264</v>
      </c>
      <c r="BD804" t="s">
        <v>598</v>
      </c>
      <c r="BE804" t="s">
        <v>2656</v>
      </c>
      <c r="BF804" t="s">
        <v>240</v>
      </c>
      <c r="BG804" t="s">
        <v>150</v>
      </c>
      <c r="BH804" t="str">
        <f>IF(COUNTIF(工作表1!A:A, $C804)&gt;0, "預購款", "非預購款")</f>
        <v>非預購款</v>
      </c>
    </row>
    <row r="805" spans="1:60" x14ac:dyDescent="0.25">
      <c r="A805" t="s">
        <v>587</v>
      </c>
      <c r="B805" t="s">
        <v>226</v>
      </c>
      <c r="C805" t="s">
        <v>588</v>
      </c>
      <c r="D805" t="s">
        <v>589</v>
      </c>
      <c r="E805" t="s">
        <v>590</v>
      </c>
      <c r="F805" t="s">
        <v>181</v>
      </c>
      <c r="G805" t="s">
        <v>591</v>
      </c>
      <c r="H805" t="s">
        <v>119</v>
      </c>
      <c r="I805" t="s">
        <v>214</v>
      </c>
      <c r="J805" t="s">
        <v>215</v>
      </c>
      <c r="K805" t="s">
        <v>69</v>
      </c>
      <c r="L805" t="s">
        <v>592</v>
      </c>
      <c r="M805" t="s">
        <v>71</v>
      </c>
      <c r="N805" t="s">
        <v>100</v>
      </c>
      <c r="O805" t="s">
        <v>524</v>
      </c>
      <c r="P805" t="s">
        <v>525</v>
      </c>
      <c r="R805" t="s">
        <v>526</v>
      </c>
      <c r="S805" t="s">
        <v>176</v>
      </c>
      <c r="T805" t="s">
        <v>258</v>
      </c>
      <c r="U805" t="s">
        <v>104</v>
      </c>
      <c r="V805" t="s">
        <v>593</v>
      </c>
      <c r="W805">
        <v>590</v>
      </c>
      <c r="X805">
        <v>29.99</v>
      </c>
      <c r="Y805">
        <v>75</v>
      </c>
      <c r="Z805">
        <v>429000</v>
      </c>
      <c r="AA805">
        <v>200600</v>
      </c>
      <c r="AB805">
        <v>140</v>
      </c>
      <c r="AD805" t="s">
        <v>238</v>
      </c>
      <c r="AE805">
        <v>2</v>
      </c>
      <c r="AF805">
        <v>0</v>
      </c>
      <c r="AI805">
        <v>0</v>
      </c>
      <c r="AJ805">
        <v>70</v>
      </c>
      <c r="AK805">
        <v>70</v>
      </c>
      <c r="AL805">
        <v>340</v>
      </c>
      <c r="AM805">
        <v>70</v>
      </c>
      <c r="AN805">
        <v>0</v>
      </c>
      <c r="AO805">
        <v>70</v>
      </c>
      <c r="AP805" t="s">
        <v>80</v>
      </c>
      <c r="AQ805" t="s">
        <v>184</v>
      </c>
      <c r="AT805" t="s">
        <v>264</v>
      </c>
      <c r="AU805" t="s">
        <v>264</v>
      </c>
      <c r="AV805" t="s">
        <v>569</v>
      </c>
      <c r="AW805" t="s">
        <v>69</v>
      </c>
      <c r="AX805" t="s">
        <v>583</v>
      </c>
      <c r="AY805" t="s">
        <v>594</v>
      </c>
      <c r="AZ805" t="s">
        <v>245</v>
      </c>
      <c r="BA805" t="s">
        <v>244</v>
      </c>
      <c r="BB805" t="s">
        <v>244</v>
      </c>
      <c r="BC805" t="s">
        <v>264</v>
      </c>
      <c r="BD805" t="s">
        <v>599</v>
      </c>
      <c r="BE805" t="s">
        <v>2656</v>
      </c>
      <c r="BF805" t="s">
        <v>240</v>
      </c>
      <c r="BG805" t="s">
        <v>150</v>
      </c>
      <c r="BH805" t="str">
        <f>IF(COUNTIF(工作表1!A:A, $C805)&gt;0, "預購款", "非預購款")</f>
        <v>非預購款</v>
      </c>
    </row>
    <row r="806" spans="1:60" x14ac:dyDescent="0.25">
      <c r="A806" t="s">
        <v>587</v>
      </c>
      <c r="B806" t="s">
        <v>226</v>
      </c>
      <c r="C806" t="s">
        <v>588</v>
      </c>
      <c r="D806" t="s">
        <v>589</v>
      </c>
      <c r="E806" t="s">
        <v>590</v>
      </c>
      <c r="F806" t="s">
        <v>181</v>
      </c>
      <c r="G806" t="s">
        <v>591</v>
      </c>
      <c r="H806" t="s">
        <v>130</v>
      </c>
      <c r="I806" t="s">
        <v>214</v>
      </c>
      <c r="J806" t="s">
        <v>215</v>
      </c>
      <c r="K806" t="s">
        <v>69</v>
      </c>
      <c r="L806" t="s">
        <v>592</v>
      </c>
      <c r="M806" t="s">
        <v>71</v>
      </c>
      <c r="N806" t="s">
        <v>100</v>
      </c>
      <c r="O806" t="s">
        <v>524</v>
      </c>
      <c r="P806" t="s">
        <v>525</v>
      </c>
      <c r="R806" t="s">
        <v>526</v>
      </c>
      <c r="S806" t="s">
        <v>176</v>
      </c>
      <c r="T806" t="s">
        <v>258</v>
      </c>
      <c r="U806" t="s">
        <v>104</v>
      </c>
      <c r="V806" t="s">
        <v>593</v>
      </c>
      <c r="W806">
        <v>590</v>
      </c>
      <c r="X806">
        <v>29.99</v>
      </c>
      <c r="Y806">
        <v>75</v>
      </c>
      <c r="Z806">
        <v>429000</v>
      </c>
      <c r="AA806">
        <v>200600</v>
      </c>
      <c r="AB806">
        <v>140</v>
      </c>
      <c r="AD806" t="s">
        <v>238</v>
      </c>
      <c r="AE806">
        <v>2</v>
      </c>
      <c r="AF806">
        <v>0</v>
      </c>
      <c r="AI806">
        <v>0</v>
      </c>
      <c r="AJ806">
        <v>60</v>
      </c>
      <c r="AK806">
        <v>60</v>
      </c>
      <c r="AL806">
        <v>340</v>
      </c>
      <c r="AM806">
        <v>60</v>
      </c>
      <c r="AN806">
        <v>0</v>
      </c>
      <c r="AO806">
        <v>60</v>
      </c>
      <c r="AP806" t="s">
        <v>80</v>
      </c>
      <c r="AQ806" t="s">
        <v>184</v>
      </c>
      <c r="AT806" t="s">
        <v>264</v>
      </c>
      <c r="AU806" t="s">
        <v>264</v>
      </c>
      <c r="AV806" t="s">
        <v>569</v>
      </c>
      <c r="AW806" t="s">
        <v>69</v>
      </c>
      <c r="AX806" t="s">
        <v>583</v>
      </c>
      <c r="AY806" t="s">
        <v>594</v>
      </c>
      <c r="AZ806" t="s">
        <v>245</v>
      </c>
      <c r="BA806" t="s">
        <v>244</v>
      </c>
      <c r="BB806" t="s">
        <v>244</v>
      </c>
      <c r="BC806" t="s">
        <v>264</v>
      </c>
      <c r="BD806" t="s">
        <v>600</v>
      </c>
      <c r="BE806" t="s">
        <v>2656</v>
      </c>
      <c r="BF806" t="s">
        <v>240</v>
      </c>
      <c r="BG806" t="s">
        <v>150</v>
      </c>
      <c r="BH806" t="str">
        <f>IF(COUNTIF(工作表1!A:A, $C806)&gt;0, "預購款", "非預購款")</f>
        <v>非預購款</v>
      </c>
    </row>
    <row r="807" spans="1:60" x14ac:dyDescent="0.25">
      <c r="A807" t="s">
        <v>587</v>
      </c>
      <c r="B807" t="s">
        <v>226</v>
      </c>
      <c r="C807" t="s">
        <v>588</v>
      </c>
      <c r="D807" t="s">
        <v>589</v>
      </c>
      <c r="E807" t="s">
        <v>590</v>
      </c>
      <c r="F807" t="s">
        <v>181</v>
      </c>
      <c r="G807" t="s">
        <v>591</v>
      </c>
      <c r="H807" t="s">
        <v>132</v>
      </c>
      <c r="I807" t="s">
        <v>214</v>
      </c>
      <c r="J807" t="s">
        <v>215</v>
      </c>
      <c r="K807" t="s">
        <v>69</v>
      </c>
      <c r="L807" t="s">
        <v>592</v>
      </c>
      <c r="M807" t="s">
        <v>71</v>
      </c>
      <c r="N807" t="s">
        <v>100</v>
      </c>
      <c r="O807" t="s">
        <v>524</v>
      </c>
      <c r="P807" t="s">
        <v>525</v>
      </c>
      <c r="R807" t="s">
        <v>526</v>
      </c>
      <c r="S807" t="s">
        <v>176</v>
      </c>
      <c r="T807" t="s">
        <v>258</v>
      </c>
      <c r="U807" t="s">
        <v>104</v>
      </c>
      <c r="V807" t="s">
        <v>593</v>
      </c>
      <c r="W807">
        <v>590</v>
      </c>
      <c r="X807">
        <v>29.99</v>
      </c>
      <c r="Y807">
        <v>75</v>
      </c>
      <c r="Z807">
        <v>429000</v>
      </c>
      <c r="AA807">
        <v>200600</v>
      </c>
      <c r="AB807">
        <v>140</v>
      </c>
      <c r="AD807" t="s">
        <v>238</v>
      </c>
      <c r="AE807">
        <v>2</v>
      </c>
      <c r="AF807">
        <v>0</v>
      </c>
      <c r="AI807">
        <v>0</v>
      </c>
      <c r="AJ807">
        <v>40</v>
      </c>
      <c r="AK807">
        <v>40</v>
      </c>
      <c r="AL807">
        <v>340</v>
      </c>
      <c r="AM807">
        <v>40</v>
      </c>
      <c r="AN807">
        <v>0</v>
      </c>
      <c r="AO807">
        <v>40</v>
      </c>
      <c r="AP807" t="s">
        <v>80</v>
      </c>
      <c r="AQ807" t="s">
        <v>184</v>
      </c>
      <c r="AT807" t="s">
        <v>264</v>
      </c>
      <c r="AU807" t="s">
        <v>264</v>
      </c>
      <c r="AV807" t="s">
        <v>569</v>
      </c>
      <c r="AW807" t="s">
        <v>69</v>
      </c>
      <c r="AX807" t="s">
        <v>583</v>
      </c>
      <c r="AY807" t="s">
        <v>594</v>
      </c>
      <c r="AZ807" t="s">
        <v>245</v>
      </c>
      <c r="BA807" t="s">
        <v>244</v>
      </c>
      <c r="BB807" t="s">
        <v>244</v>
      </c>
      <c r="BC807" t="s">
        <v>264</v>
      </c>
      <c r="BD807" t="s">
        <v>601</v>
      </c>
      <c r="BE807" t="s">
        <v>2656</v>
      </c>
      <c r="BF807" t="s">
        <v>240</v>
      </c>
      <c r="BG807" t="s">
        <v>150</v>
      </c>
      <c r="BH807" t="str">
        <f>IF(COUNTIF(工作表1!A:A, $C807)&gt;0, "預購款", "非預購款")</f>
        <v>非預購款</v>
      </c>
    </row>
    <row r="808" spans="1:60" x14ac:dyDescent="0.25">
      <c r="A808" t="s">
        <v>863</v>
      </c>
      <c r="B808" t="s">
        <v>226</v>
      </c>
      <c r="C808" t="s">
        <v>864</v>
      </c>
      <c r="D808" t="s">
        <v>865</v>
      </c>
      <c r="E808" t="s">
        <v>866</v>
      </c>
      <c r="F808" t="s">
        <v>181</v>
      </c>
      <c r="G808" t="s">
        <v>867</v>
      </c>
      <c r="H808" t="s">
        <v>119</v>
      </c>
      <c r="I808" t="s">
        <v>134</v>
      </c>
      <c r="J808" t="s">
        <v>135</v>
      </c>
      <c r="K808" t="s">
        <v>69</v>
      </c>
      <c r="L808" t="s">
        <v>868</v>
      </c>
      <c r="M808" t="s">
        <v>71</v>
      </c>
      <c r="N808" t="s">
        <v>100</v>
      </c>
      <c r="O808" t="s">
        <v>524</v>
      </c>
      <c r="P808" t="s">
        <v>525</v>
      </c>
      <c r="R808" t="s">
        <v>526</v>
      </c>
      <c r="S808" t="s">
        <v>176</v>
      </c>
      <c r="T808" t="s">
        <v>76</v>
      </c>
      <c r="U808" t="s">
        <v>146</v>
      </c>
      <c r="V808" t="s">
        <v>321</v>
      </c>
      <c r="W808">
        <v>990</v>
      </c>
      <c r="X808">
        <v>39.99</v>
      </c>
      <c r="Y808">
        <v>129</v>
      </c>
      <c r="Z808">
        <v>709000</v>
      </c>
      <c r="AA808">
        <v>222750</v>
      </c>
      <c r="AB808">
        <v>388</v>
      </c>
      <c r="AD808" t="s">
        <v>238</v>
      </c>
      <c r="AE808">
        <v>1</v>
      </c>
      <c r="AF808">
        <v>0</v>
      </c>
      <c r="AI808">
        <v>15</v>
      </c>
      <c r="AJ808">
        <v>90</v>
      </c>
      <c r="AK808">
        <v>105</v>
      </c>
      <c r="AL808">
        <v>225</v>
      </c>
      <c r="AM808">
        <v>109</v>
      </c>
      <c r="AN808">
        <v>0</v>
      </c>
      <c r="AO808">
        <v>109</v>
      </c>
      <c r="AP808" t="s">
        <v>80</v>
      </c>
      <c r="AQ808" t="s">
        <v>1151</v>
      </c>
      <c r="AR808" t="s">
        <v>86</v>
      </c>
      <c r="AS808" t="s">
        <v>86</v>
      </c>
      <c r="AT808" t="s">
        <v>240</v>
      </c>
      <c r="AU808" t="s">
        <v>86</v>
      </c>
      <c r="AV808" t="s">
        <v>869</v>
      </c>
      <c r="AW808" t="s">
        <v>69</v>
      </c>
      <c r="AX808" t="s">
        <v>870</v>
      </c>
      <c r="AY808" t="s">
        <v>871</v>
      </c>
      <c r="AZ808" t="s">
        <v>264</v>
      </c>
      <c r="BA808" t="s">
        <v>244</v>
      </c>
      <c r="BB808" t="s">
        <v>245</v>
      </c>
      <c r="BC808" t="s">
        <v>245</v>
      </c>
      <c r="BD808" t="s">
        <v>872</v>
      </c>
      <c r="BE808" t="s">
        <v>2657</v>
      </c>
      <c r="BF808" t="s">
        <v>86</v>
      </c>
      <c r="BG808" t="s">
        <v>110</v>
      </c>
      <c r="BH808" t="str">
        <f>IF(COUNTIF(工作表1!A:A, $C808)&gt;0, "預購款", "非預購款")</f>
        <v>非預購款</v>
      </c>
    </row>
    <row r="809" spans="1:60" x14ac:dyDescent="0.25">
      <c r="A809" t="s">
        <v>863</v>
      </c>
      <c r="B809" t="s">
        <v>226</v>
      </c>
      <c r="C809" t="s">
        <v>864</v>
      </c>
      <c r="D809" t="s">
        <v>865</v>
      </c>
      <c r="E809" t="s">
        <v>866</v>
      </c>
      <c r="F809" t="s">
        <v>181</v>
      </c>
      <c r="G809" t="s">
        <v>867</v>
      </c>
      <c r="H809" t="s">
        <v>130</v>
      </c>
      <c r="I809" t="s">
        <v>134</v>
      </c>
      <c r="J809" t="s">
        <v>135</v>
      </c>
      <c r="K809" t="s">
        <v>69</v>
      </c>
      <c r="L809" t="s">
        <v>868</v>
      </c>
      <c r="M809" t="s">
        <v>71</v>
      </c>
      <c r="N809" t="s">
        <v>100</v>
      </c>
      <c r="O809" t="s">
        <v>524</v>
      </c>
      <c r="P809" t="s">
        <v>525</v>
      </c>
      <c r="R809" t="s">
        <v>526</v>
      </c>
      <c r="S809" t="s">
        <v>176</v>
      </c>
      <c r="T809" t="s">
        <v>76</v>
      </c>
      <c r="U809" t="s">
        <v>146</v>
      </c>
      <c r="V809" t="s">
        <v>321</v>
      </c>
      <c r="W809">
        <v>990</v>
      </c>
      <c r="X809">
        <v>39.99</v>
      </c>
      <c r="Y809">
        <v>129</v>
      </c>
      <c r="Z809">
        <v>709000</v>
      </c>
      <c r="AA809">
        <v>222750</v>
      </c>
      <c r="AB809">
        <v>388</v>
      </c>
      <c r="AD809" t="s">
        <v>238</v>
      </c>
      <c r="AE809">
        <v>1</v>
      </c>
      <c r="AF809">
        <v>0</v>
      </c>
      <c r="AI809">
        <v>15</v>
      </c>
      <c r="AJ809">
        <v>70</v>
      </c>
      <c r="AK809">
        <v>85</v>
      </c>
      <c r="AL809">
        <v>225</v>
      </c>
      <c r="AM809">
        <v>92</v>
      </c>
      <c r="AN809">
        <v>0</v>
      </c>
      <c r="AO809">
        <v>92</v>
      </c>
      <c r="AP809" t="s">
        <v>80</v>
      </c>
      <c r="AQ809" t="s">
        <v>1151</v>
      </c>
      <c r="AR809" t="s">
        <v>86</v>
      </c>
      <c r="AS809" t="s">
        <v>86</v>
      </c>
      <c r="AT809" t="s">
        <v>240</v>
      </c>
      <c r="AU809" t="s">
        <v>86</v>
      </c>
      <c r="AV809" t="s">
        <v>869</v>
      </c>
      <c r="AW809" t="s">
        <v>69</v>
      </c>
      <c r="AX809" t="s">
        <v>870</v>
      </c>
      <c r="AY809" t="s">
        <v>871</v>
      </c>
      <c r="AZ809" t="s">
        <v>264</v>
      </c>
      <c r="BA809" t="s">
        <v>244</v>
      </c>
      <c r="BB809" t="s">
        <v>245</v>
      </c>
      <c r="BC809" t="s">
        <v>245</v>
      </c>
      <c r="BD809" t="s">
        <v>874</v>
      </c>
      <c r="BE809" t="s">
        <v>2657</v>
      </c>
      <c r="BF809" t="s">
        <v>86</v>
      </c>
      <c r="BG809" t="s">
        <v>110</v>
      </c>
      <c r="BH809" t="str">
        <f>IF(COUNTIF(工作表1!A:A, $C809)&gt;0, "預購款", "非預購款")</f>
        <v>非預購款</v>
      </c>
    </row>
    <row r="810" spans="1:60" x14ac:dyDescent="0.25">
      <c r="A810" t="s">
        <v>863</v>
      </c>
      <c r="B810" t="s">
        <v>226</v>
      </c>
      <c r="C810" t="s">
        <v>864</v>
      </c>
      <c r="D810" t="s">
        <v>865</v>
      </c>
      <c r="E810" t="s">
        <v>866</v>
      </c>
      <c r="F810" t="s">
        <v>181</v>
      </c>
      <c r="G810" t="s">
        <v>867</v>
      </c>
      <c r="H810" t="s">
        <v>132</v>
      </c>
      <c r="I810" t="s">
        <v>134</v>
      </c>
      <c r="J810" t="s">
        <v>135</v>
      </c>
      <c r="K810" t="s">
        <v>69</v>
      </c>
      <c r="L810" t="s">
        <v>868</v>
      </c>
      <c r="M810" t="s">
        <v>71</v>
      </c>
      <c r="N810" t="s">
        <v>100</v>
      </c>
      <c r="O810" t="s">
        <v>524</v>
      </c>
      <c r="P810" t="s">
        <v>525</v>
      </c>
      <c r="R810" t="s">
        <v>526</v>
      </c>
      <c r="S810" t="s">
        <v>176</v>
      </c>
      <c r="T810" t="s">
        <v>76</v>
      </c>
      <c r="U810" t="s">
        <v>146</v>
      </c>
      <c r="V810" t="s">
        <v>321</v>
      </c>
      <c r="W810">
        <v>990</v>
      </c>
      <c r="X810">
        <v>39.99</v>
      </c>
      <c r="Y810">
        <v>129</v>
      </c>
      <c r="Z810">
        <v>709000</v>
      </c>
      <c r="AA810">
        <v>222750</v>
      </c>
      <c r="AB810">
        <v>388</v>
      </c>
      <c r="AD810" t="s">
        <v>238</v>
      </c>
      <c r="AE810">
        <v>1</v>
      </c>
      <c r="AF810">
        <v>0</v>
      </c>
      <c r="AI810">
        <v>15</v>
      </c>
      <c r="AJ810">
        <v>20</v>
      </c>
      <c r="AK810">
        <v>35</v>
      </c>
      <c r="AL810">
        <v>225</v>
      </c>
      <c r="AM810">
        <v>35</v>
      </c>
      <c r="AN810">
        <v>0</v>
      </c>
      <c r="AO810">
        <v>35</v>
      </c>
      <c r="AP810" t="s">
        <v>80</v>
      </c>
      <c r="AQ810" t="s">
        <v>1151</v>
      </c>
      <c r="AR810" t="s">
        <v>86</v>
      </c>
      <c r="AS810" t="s">
        <v>86</v>
      </c>
      <c r="AT810" t="s">
        <v>240</v>
      </c>
      <c r="AU810" t="s">
        <v>86</v>
      </c>
      <c r="AV810" t="s">
        <v>869</v>
      </c>
      <c r="AW810" t="s">
        <v>69</v>
      </c>
      <c r="AX810" t="s">
        <v>870</v>
      </c>
      <c r="AY810" t="s">
        <v>871</v>
      </c>
      <c r="AZ810" t="s">
        <v>264</v>
      </c>
      <c r="BA810" t="s">
        <v>244</v>
      </c>
      <c r="BB810" t="s">
        <v>245</v>
      </c>
      <c r="BC810" t="s">
        <v>245</v>
      </c>
      <c r="BD810" t="s">
        <v>875</v>
      </c>
      <c r="BE810" t="s">
        <v>2657</v>
      </c>
      <c r="BF810" t="s">
        <v>86</v>
      </c>
      <c r="BG810" t="s">
        <v>110</v>
      </c>
      <c r="BH810" t="str">
        <f>IF(COUNTIF(工作表1!A:A, $C810)&gt;0, "預購款", "非預購款")</f>
        <v>非預購款</v>
      </c>
    </row>
    <row r="811" spans="1:60" x14ac:dyDescent="0.25">
      <c r="A811" t="s">
        <v>2658</v>
      </c>
      <c r="B811" t="s">
        <v>226</v>
      </c>
      <c r="C811" t="s">
        <v>2659</v>
      </c>
      <c r="D811" t="s">
        <v>2660</v>
      </c>
      <c r="E811" t="s">
        <v>2661</v>
      </c>
      <c r="F811" t="s">
        <v>181</v>
      </c>
      <c r="G811" t="s">
        <v>2662</v>
      </c>
      <c r="H811" t="s">
        <v>119</v>
      </c>
      <c r="I811" t="s">
        <v>134</v>
      </c>
      <c r="J811" t="s">
        <v>135</v>
      </c>
      <c r="K811" t="s">
        <v>80</v>
      </c>
      <c r="L811" t="s">
        <v>2663</v>
      </c>
      <c r="M811" t="s">
        <v>71</v>
      </c>
      <c r="N811" t="s">
        <v>100</v>
      </c>
      <c r="O811" t="s">
        <v>2597</v>
      </c>
      <c r="P811" t="s">
        <v>2598</v>
      </c>
      <c r="R811" t="s">
        <v>2599</v>
      </c>
      <c r="S811" t="s">
        <v>176</v>
      </c>
      <c r="T811" t="s">
        <v>291</v>
      </c>
      <c r="U811" t="s">
        <v>502</v>
      </c>
      <c r="V811" t="s">
        <v>765</v>
      </c>
      <c r="W811">
        <v>890</v>
      </c>
      <c r="X811">
        <v>39.99</v>
      </c>
      <c r="Y811">
        <v>115</v>
      </c>
      <c r="Z811">
        <v>639000</v>
      </c>
      <c r="AA811">
        <v>89000</v>
      </c>
      <c r="AB811">
        <v>500</v>
      </c>
      <c r="AD811" t="s">
        <v>238</v>
      </c>
      <c r="AE811">
        <v>1</v>
      </c>
      <c r="AF811">
        <v>0</v>
      </c>
      <c r="AI811">
        <v>0</v>
      </c>
      <c r="AJ811">
        <v>50</v>
      </c>
      <c r="AK811">
        <v>50</v>
      </c>
      <c r="AL811">
        <v>100</v>
      </c>
      <c r="AM811">
        <v>54</v>
      </c>
      <c r="AN811">
        <v>0</v>
      </c>
      <c r="AO811">
        <v>54</v>
      </c>
      <c r="AP811" t="s">
        <v>80</v>
      </c>
      <c r="AQ811" t="s">
        <v>1151</v>
      </c>
      <c r="AT811" t="s">
        <v>86</v>
      </c>
      <c r="AU811" t="s">
        <v>86</v>
      </c>
      <c r="AV811" t="s">
        <v>2466</v>
      </c>
      <c r="AW811" t="s">
        <v>69</v>
      </c>
      <c r="AX811" t="s">
        <v>218</v>
      </c>
      <c r="AY811" t="s">
        <v>2664</v>
      </c>
      <c r="AZ811" t="s">
        <v>243</v>
      </c>
      <c r="BA811" t="s">
        <v>244</v>
      </c>
      <c r="BB811" t="s">
        <v>244</v>
      </c>
      <c r="BC811" t="s">
        <v>244</v>
      </c>
      <c r="BD811" t="s">
        <v>2665</v>
      </c>
      <c r="BE811" t="s">
        <v>2666</v>
      </c>
      <c r="BF811" t="s">
        <v>291</v>
      </c>
      <c r="BG811" t="s">
        <v>150</v>
      </c>
      <c r="BH811" t="str">
        <f>IF(COUNTIF(工作表1!A:A, $C811)&gt;0, "預購款", "非預購款")</f>
        <v>非預購款</v>
      </c>
    </row>
    <row r="812" spans="1:60" x14ac:dyDescent="0.25">
      <c r="A812" t="s">
        <v>2658</v>
      </c>
      <c r="B812" t="s">
        <v>226</v>
      </c>
      <c r="C812" t="s">
        <v>2659</v>
      </c>
      <c r="D812" t="s">
        <v>2660</v>
      </c>
      <c r="E812" t="s">
        <v>2661</v>
      </c>
      <c r="F812" t="s">
        <v>181</v>
      </c>
      <c r="G812" t="s">
        <v>2662</v>
      </c>
      <c r="H812" t="s">
        <v>130</v>
      </c>
      <c r="I812" t="s">
        <v>134</v>
      </c>
      <c r="J812" t="s">
        <v>135</v>
      </c>
      <c r="K812" t="s">
        <v>80</v>
      </c>
      <c r="L812" t="s">
        <v>2663</v>
      </c>
      <c r="M812" t="s">
        <v>71</v>
      </c>
      <c r="N812" t="s">
        <v>100</v>
      </c>
      <c r="O812" t="s">
        <v>2597</v>
      </c>
      <c r="P812" t="s">
        <v>2598</v>
      </c>
      <c r="R812" t="s">
        <v>2599</v>
      </c>
      <c r="S812" t="s">
        <v>176</v>
      </c>
      <c r="T812" t="s">
        <v>291</v>
      </c>
      <c r="U812" t="s">
        <v>502</v>
      </c>
      <c r="V812" t="s">
        <v>765</v>
      </c>
      <c r="W812">
        <v>890</v>
      </c>
      <c r="X812">
        <v>39.99</v>
      </c>
      <c r="Y812">
        <v>115</v>
      </c>
      <c r="Z812">
        <v>639000</v>
      </c>
      <c r="AA812">
        <v>89000</v>
      </c>
      <c r="AB812">
        <v>500</v>
      </c>
      <c r="AD812" t="s">
        <v>238</v>
      </c>
      <c r="AE812">
        <v>1</v>
      </c>
      <c r="AF812">
        <v>0</v>
      </c>
      <c r="AI812">
        <v>0</v>
      </c>
      <c r="AJ812">
        <v>40</v>
      </c>
      <c r="AK812">
        <v>40</v>
      </c>
      <c r="AL812">
        <v>100</v>
      </c>
      <c r="AM812">
        <v>45</v>
      </c>
      <c r="AN812">
        <v>0</v>
      </c>
      <c r="AO812">
        <v>45</v>
      </c>
      <c r="AP812" t="s">
        <v>80</v>
      </c>
      <c r="AQ812" t="s">
        <v>1151</v>
      </c>
      <c r="AT812" t="s">
        <v>86</v>
      </c>
      <c r="AU812" t="s">
        <v>86</v>
      </c>
      <c r="AV812" t="s">
        <v>2466</v>
      </c>
      <c r="AW812" t="s">
        <v>69</v>
      </c>
      <c r="AX812" t="s">
        <v>218</v>
      </c>
      <c r="AY812" t="s">
        <v>2664</v>
      </c>
      <c r="AZ812" t="s">
        <v>243</v>
      </c>
      <c r="BA812" t="s">
        <v>244</v>
      </c>
      <c r="BB812" t="s">
        <v>244</v>
      </c>
      <c r="BC812" t="s">
        <v>244</v>
      </c>
      <c r="BD812" t="s">
        <v>2667</v>
      </c>
      <c r="BE812" t="s">
        <v>2666</v>
      </c>
      <c r="BF812" t="s">
        <v>291</v>
      </c>
      <c r="BG812" t="s">
        <v>150</v>
      </c>
      <c r="BH812" t="str">
        <f>IF(COUNTIF(工作表1!A:A, $C812)&gt;0, "預購款", "非預購款")</f>
        <v>非預購款</v>
      </c>
    </row>
    <row r="813" spans="1:60" x14ac:dyDescent="0.25">
      <c r="A813" t="s">
        <v>2658</v>
      </c>
      <c r="B813" t="s">
        <v>226</v>
      </c>
      <c r="C813" t="s">
        <v>2659</v>
      </c>
      <c r="D813" t="s">
        <v>2660</v>
      </c>
      <c r="E813" t="s">
        <v>2661</v>
      </c>
      <c r="F813" t="s">
        <v>181</v>
      </c>
      <c r="G813" t="s">
        <v>2662</v>
      </c>
      <c r="H813" t="s">
        <v>132</v>
      </c>
      <c r="I813" t="s">
        <v>134</v>
      </c>
      <c r="J813" t="s">
        <v>135</v>
      </c>
      <c r="K813" t="s">
        <v>80</v>
      </c>
      <c r="L813" t="s">
        <v>2663</v>
      </c>
      <c r="M813" t="s">
        <v>71</v>
      </c>
      <c r="N813" t="s">
        <v>100</v>
      </c>
      <c r="O813" t="s">
        <v>2597</v>
      </c>
      <c r="P813" t="s">
        <v>2598</v>
      </c>
      <c r="R813" t="s">
        <v>2599</v>
      </c>
      <c r="S813" t="s">
        <v>176</v>
      </c>
      <c r="T813" t="s">
        <v>291</v>
      </c>
      <c r="U813" t="s">
        <v>502</v>
      </c>
      <c r="V813" t="s">
        <v>765</v>
      </c>
      <c r="W813">
        <v>890</v>
      </c>
      <c r="X813">
        <v>39.99</v>
      </c>
      <c r="Y813">
        <v>115</v>
      </c>
      <c r="Z813">
        <v>639000</v>
      </c>
      <c r="AA813">
        <v>89000</v>
      </c>
      <c r="AB813">
        <v>500</v>
      </c>
      <c r="AD813" t="s">
        <v>238</v>
      </c>
      <c r="AE813">
        <v>1</v>
      </c>
      <c r="AF813">
        <v>0</v>
      </c>
      <c r="AI813">
        <v>0</v>
      </c>
      <c r="AJ813">
        <v>10</v>
      </c>
      <c r="AK813">
        <v>10</v>
      </c>
      <c r="AL813">
        <v>100</v>
      </c>
      <c r="AM813">
        <v>10</v>
      </c>
      <c r="AN813">
        <v>0</v>
      </c>
      <c r="AO813">
        <v>10</v>
      </c>
      <c r="AP813" t="s">
        <v>80</v>
      </c>
      <c r="AQ813" t="s">
        <v>1151</v>
      </c>
      <c r="AT813" t="s">
        <v>86</v>
      </c>
      <c r="AU813" t="s">
        <v>86</v>
      </c>
      <c r="AV813" t="s">
        <v>2466</v>
      </c>
      <c r="AW813" t="s">
        <v>69</v>
      </c>
      <c r="AX813" t="s">
        <v>218</v>
      </c>
      <c r="AY813" t="s">
        <v>2664</v>
      </c>
      <c r="AZ813" t="s">
        <v>243</v>
      </c>
      <c r="BA813" t="s">
        <v>244</v>
      </c>
      <c r="BB813" t="s">
        <v>244</v>
      </c>
      <c r="BC813" t="s">
        <v>244</v>
      </c>
      <c r="BD813" t="s">
        <v>2668</v>
      </c>
      <c r="BE813" t="s">
        <v>2666</v>
      </c>
      <c r="BF813" t="s">
        <v>291</v>
      </c>
      <c r="BG813" t="s">
        <v>150</v>
      </c>
      <c r="BH813" t="str">
        <f>IF(COUNTIF(工作表1!A:A, $C813)&gt;0, "預購款", "非預購款")</f>
        <v>非預購款</v>
      </c>
    </row>
    <row r="814" spans="1:60" x14ac:dyDescent="0.25">
      <c r="A814" t="s">
        <v>2669</v>
      </c>
      <c r="B814" t="s">
        <v>226</v>
      </c>
      <c r="C814" t="s">
        <v>2670</v>
      </c>
      <c r="D814" t="s">
        <v>2671</v>
      </c>
      <c r="E814" t="s">
        <v>2672</v>
      </c>
      <c r="F814" t="s">
        <v>181</v>
      </c>
      <c r="G814" t="s">
        <v>2673</v>
      </c>
      <c r="H814" t="s">
        <v>119</v>
      </c>
      <c r="I814" t="s">
        <v>97</v>
      </c>
      <c r="J814" t="s">
        <v>98</v>
      </c>
      <c r="K814" t="s">
        <v>69</v>
      </c>
      <c r="L814" t="s">
        <v>2674</v>
      </c>
      <c r="M814" t="s">
        <v>71</v>
      </c>
      <c r="N814" t="s">
        <v>100</v>
      </c>
      <c r="O814" t="s">
        <v>2597</v>
      </c>
      <c r="P814" t="s">
        <v>2598</v>
      </c>
      <c r="R814" t="s">
        <v>2599</v>
      </c>
      <c r="S814" t="s">
        <v>176</v>
      </c>
      <c r="T814" t="s">
        <v>258</v>
      </c>
      <c r="U814" t="s">
        <v>104</v>
      </c>
      <c r="V814" t="s">
        <v>1418</v>
      </c>
      <c r="W814">
        <v>490</v>
      </c>
      <c r="X814">
        <v>22.99</v>
      </c>
      <c r="Y814">
        <v>60</v>
      </c>
      <c r="Z814">
        <v>355000</v>
      </c>
      <c r="AA814">
        <v>102900</v>
      </c>
      <c r="AB814">
        <v>135</v>
      </c>
      <c r="AD814" t="s">
        <v>238</v>
      </c>
      <c r="AE814">
        <v>1</v>
      </c>
      <c r="AF814">
        <v>30</v>
      </c>
      <c r="AI814">
        <v>0</v>
      </c>
      <c r="AJ814">
        <v>70</v>
      </c>
      <c r="AK814">
        <v>100</v>
      </c>
      <c r="AL814">
        <v>210</v>
      </c>
      <c r="AM814">
        <v>90</v>
      </c>
      <c r="AN814">
        <v>0</v>
      </c>
      <c r="AO814">
        <v>90</v>
      </c>
      <c r="AP814" t="s">
        <v>80</v>
      </c>
      <c r="AQ814" t="s">
        <v>184</v>
      </c>
      <c r="AR814" t="s">
        <v>86</v>
      </c>
      <c r="AS814" t="s">
        <v>86</v>
      </c>
      <c r="AT814" t="s">
        <v>240</v>
      </c>
      <c r="AU814" t="s">
        <v>86</v>
      </c>
      <c r="AV814" t="s">
        <v>81</v>
      </c>
      <c r="AW814" t="s">
        <v>69</v>
      </c>
      <c r="AX814" t="s">
        <v>262</v>
      </c>
      <c r="AY814" t="s">
        <v>2675</v>
      </c>
      <c r="AZ814" t="s">
        <v>244</v>
      </c>
      <c r="BA814" t="s">
        <v>245</v>
      </c>
      <c r="BB814" t="s">
        <v>244</v>
      </c>
      <c r="BC814" t="s">
        <v>244</v>
      </c>
      <c r="BD814" t="s">
        <v>2676</v>
      </c>
      <c r="BE814" t="s">
        <v>2677</v>
      </c>
      <c r="BF814" t="s">
        <v>240</v>
      </c>
      <c r="BG814" t="s">
        <v>150</v>
      </c>
      <c r="BH814" t="str">
        <f>IF(COUNTIF(工作表1!A:A, $C814)&gt;0, "預購款", "非預購款")</f>
        <v>非預購款</v>
      </c>
    </row>
    <row r="815" spans="1:60" x14ac:dyDescent="0.25">
      <c r="A815" t="s">
        <v>2669</v>
      </c>
      <c r="B815" t="s">
        <v>226</v>
      </c>
      <c r="C815" t="s">
        <v>2670</v>
      </c>
      <c r="D815" t="s">
        <v>2671</v>
      </c>
      <c r="E815" t="s">
        <v>2672</v>
      </c>
      <c r="F815" t="s">
        <v>181</v>
      </c>
      <c r="G815" t="s">
        <v>2673</v>
      </c>
      <c r="H815" t="s">
        <v>130</v>
      </c>
      <c r="I815" t="s">
        <v>97</v>
      </c>
      <c r="J815" t="s">
        <v>98</v>
      </c>
      <c r="K815" t="s">
        <v>69</v>
      </c>
      <c r="L815" t="s">
        <v>2674</v>
      </c>
      <c r="M815" t="s">
        <v>71</v>
      </c>
      <c r="N815" t="s">
        <v>100</v>
      </c>
      <c r="O815" t="s">
        <v>2597</v>
      </c>
      <c r="P815" t="s">
        <v>2598</v>
      </c>
      <c r="R815" t="s">
        <v>2599</v>
      </c>
      <c r="S815" t="s">
        <v>176</v>
      </c>
      <c r="T815" t="s">
        <v>258</v>
      </c>
      <c r="U815" t="s">
        <v>104</v>
      </c>
      <c r="V815" t="s">
        <v>1418</v>
      </c>
      <c r="W815">
        <v>490</v>
      </c>
      <c r="X815">
        <v>22.99</v>
      </c>
      <c r="Y815">
        <v>60</v>
      </c>
      <c r="Z815">
        <v>355000</v>
      </c>
      <c r="AA815">
        <v>102900</v>
      </c>
      <c r="AB815">
        <v>135</v>
      </c>
      <c r="AD815" t="s">
        <v>238</v>
      </c>
      <c r="AE815">
        <v>1</v>
      </c>
      <c r="AF815">
        <v>20</v>
      </c>
      <c r="AI815">
        <v>0</v>
      </c>
      <c r="AJ815">
        <v>60</v>
      </c>
      <c r="AK815">
        <v>80</v>
      </c>
      <c r="AL815">
        <v>210</v>
      </c>
      <c r="AM815">
        <v>76</v>
      </c>
      <c r="AN815">
        <v>0</v>
      </c>
      <c r="AO815">
        <v>76</v>
      </c>
      <c r="AP815" t="s">
        <v>80</v>
      </c>
      <c r="AQ815" t="s">
        <v>184</v>
      </c>
      <c r="AR815" t="s">
        <v>86</v>
      </c>
      <c r="AS815" t="s">
        <v>86</v>
      </c>
      <c r="AT815" t="s">
        <v>240</v>
      </c>
      <c r="AU815" t="s">
        <v>86</v>
      </c>
      <c r="AV815" t="s">
        <v>81</v>
      </c>
      <c r="AW815" t="s">
        <v>69</v>
      </c>
      <c r="AX815" t="s">
        <v>262</v>
      </c>
      <c r="AY815" t="s">
        <v>2675</v>
      </c>
      <c r="AZ815" t="s">
        <v>244</v>
      </c>
      <c r="BA815" t="s">
        <v>245</v>
      </c>
      <c r="BB815" t="s">
        <v>244</v>
      </c>
      <c r="BC815" t="s">
        <v>244</v>
      </c>
      <c r="BD815" t="s">
        <v>2678</v>
      </c>
      <c r="BE815" t="s">
        <v>2677</v>
      </c>
      <c r="BF815" t="s">
        <v>240</v>
      </c>
      <c r="BG815" t="s">
        <v>150</v>
      </c>
      <c r="BH815" t="str">
        <f>IF(COUNTIF(工作表1!A:A, $C815)&gt;0, "預購款", "非預購款")</f>
        <v>非預購款</v>
      </c>
    </row>
    <row r="816" spans="1:60" x14ac:dyDescent="0.25">
      <c r="A816" t="s">
        <v>2669</v>
      </c>
      <c r="B816" t="s">
        <v>226</v>
      </c>
      <c r="C816" t="s">
        <v>2670</v>
      </c>
      <c r="D816" t="s">
        <v>2671</v>
      </c>
      <c r="E816" t="s">
        <v>2672</v>
      </c>
      <c r="F816" t="s">
        <v>181</v>
      </c>
      <c r="G816" t="s">
        <v>2673</v>
      </c>
      <c r="H816" t="s">
        <v>132</v>
      </c>
      <c r="I816" t="s">
        <v>97</v>
      </c>
      <c r="J816" t="s">
        <v>98</v>
      </c>
      <c r="K816" t="s">
        <v>69</v>
      </c>
      <c r="L816" t="s">
        <v>2674</v>
      </c>
      <c r="M816" t="s">
        <v>71</v>
      </c>
      <c r="N816" t="s">
        <v>100</v>
      </c>
      <c r="O816" t="s">
        <v>2597</v>
      </c>
      <c r="P816" t="s">
        <v>2598</v>
      </c>
      <c r="R816" t="s">
        <v>2599</v>
      </c>
      <c r="S816" t="s">
        <v>176</v>
      </c>
      <c r="T816" t="s">
        <v>258</v>
      </c>
      <c r="U816" t="s">
        <v>104</v>
      </c>
      <c r="V816" t="s">
        <v>1418</v>
      </c>
      <c r="W816">
        <v>490</v>
      </c>
      <c r="X816">
        <v>22.99</v>
      </c>
      <c r="Y816">
        <v>60</v>
      </c>
      <c r="Z816">
        <v>355000</v>
      </c>
      <c r="AA816">
        <v>102900</v>
      </c>
      <c r="AB816">
        <v>135</v>
      </c>
      <c r="AD816" t="s">
        <v>238</v>
      </c>
      <c r="AE816">
        <v>1</v>
      </c>
      <c r="AF816">
        <v>10</v>
      </c>
      <c r="AI816">
        <v>0</v>
      </c>
      <c r="AJ816">
        <v>20</v>
      </c>
      <c r="AK816">
        <v>30</v>
      </c>
      <c r="AL816">
        <v>210</v>
      </c>
      <c r="AM816">
        <v>25</v>
      </c>
      <c r="AN816">
        <v>0</v>
      </c>
      <c r="AO816">
        <v>25</v>
      </c>
      <c r="AP816" t="s">
        <v>80</v>
      </c>
      <c r="AQ816" t="s">
        <v>184</v>
      </c>
      <c r="AR816" t="s">
        <v>86</v>
      </c>
      <c r="AS816" t="s">
        <v>86</v>
      </c>
      <c r="AT816" t="s">
        <v>240</v>
      </c>
      <c r="AU816" t="s">
        <v>86</v>
      </c>
      <c r="AV816" t="s">
        <v>81</v>
      </c>
      <c r="AW816" t="s">
        <v>69</v>
      </c>
      <c r="AX816" t="s">
        <v>262</v>
      </c>
      <c r="AY816" t="s">
        <v>2675</v>
      </c>
      <c r="AZ816" t="s">
        <v>244</v>
      </c>
      <c r="BA816" t="s">
        <v>245</v>
      </c>
      <c r="BB816" t="s">
        <v>244</v>
      </c>
      <c r="BC816" t="s">
        <v>244</v>
      </c>
      <c r="BD816" t="s">
        <v>2679</v>
      </c>
      <c r="BE816" t="s">
        <v>2677</v>
      </c>
      <c r="BF816" t="s">
        <v>240</v>
      </c>
      <c r="BG816" t="s">
        <v>150</v>
      </c>
      <c r="BH816" t="str">
        <f>IF(COUNTIF(工作表1!A:A, $C816)&gt;0, "預購款", "非預購款")</f>
        <v>非預購款</v>
      </c>
    </row>
    <row r="817" spans="1:60" x14ac:dyDescent="0.25">
      <c r="A817" t="s">
        <v>2680</v>
      </c>
      <c r="B817" t="s">
        <v>226</v>
      </c>
      <c r="C817" t="s">
        <v>2681</v>
      </c>
      <c r="D817" t="s">
        <v>2682</v>
      </c>
      <c r="E817" t="s">
        <v>2683</v>
      </c>
      <c r="F817" t="s">
        <v>181</v>
      </c>
      <c r="G817" t="s">
        <v>2684</v>
      </c>
      <c r="H817" t="s">
        <v>119</v>
      </c>
      <c r="I817" t="s">
        <v>214</v>
      </c>
      <c r="J817" t="s">
        <v>215</v>
      </c>
      <c r="K817" t="s">
        <v>69</v>
      </c>
      <c r="L817" t="s">
        <v>2685</v>
      </c>
      <c r="M817" t="s">
        <v>71</v>
      </c>
      <c r="N817" t="s">
        <v>100</v>
      </c>
      <c r="O817" t="s">
        <v>2597</v>
      </c>
      <c r="P817" t="s">
        <v>2598</v>
      </c>
      <c r="R817" t="s">
        <v>2599</v>
      </c>
      <c r="S817" t="s">
        <v>176</v>
      </c>
      <c r="T817" t="s">
        <v>291</v>
      </c>
      <c r="U817" t="s">
        <v>502</v>
      </c>
      <c r="V817" t="s">
        <v>2060</v>
      </c>
      <c r="W817">
        <v>590</v>
      </c>
      <c r="X817">
        <v>29.99</v>
      </c>
      <c r="Y817">
        <v>75</v>
      </c>
      <c r="Z817">
        <v>429000</v>
      </c>
      <c r="AA817">
        <v>212400</v>
      </c>
      <c r="AB817">
        <v>270</v>
      </c>
      <c r="AD817" t="s">
        <v>238</v>
      </c>
      <c r="AE817">
        <v>2</v>
      </c>
      <c r="AF817">
        <v>0</v>
      </c>
      <c r="AI817">
        <v>0</v>
      </c>
      <c r="AJ817">
        <v>40</v>
      </c>
      <c r="AK817">
        <v>40</v>
      </c>
      <c r="AL817">
        <v>360</v>
      </c>
      <c r="AM817">
        <v>48</v>
      </c>
      <c r="AN817">
        <v>0</v>
      </c>
      <c r="AO817">
        <v>48</v>
      </c>
      <c r="AP817" t="s">
        <v>80</v>
      </c>
      <c r="AQ817" t="s">
        <v>1151</v>
      </c>
      <c r="AT817" t="s">
        <v>86</v>
      </c>
      <c r="AU817" t="s">
        <v>264</v>
      </c>
      <c r="AV817" t="s">
        <v>2686</v>
      </c>
      <c r="AW817" t="s">
        <v>69</v>
      </c>
      <c r="AX817" t="s">
        <v>126</v>
      </c>
      <c r="AY817" t="s">
        <v>1209</v>
      </c>
      <c r="AZ817" t="s">
        <v>243</v>
      </c>
      <c r="BA817" t="s">
        <v>244</v>
      </c>
      <c r="BB817" t="s">
        <v>244</v>
      </c>
      <c r="BC817" t="s">
        <v>244</v>
      </c>
      <c r="BD817" t="s">
        <v>2687</v>
      </c>
      <c r="BE817" t="s">
        <v>2688</v>
      </c>
      <c r="BF817" t="s">
        <v>291</v>
      </c>
      <c r="BG817" t="s">
        <v>150</v>
      </c>
      <c r="BH817" t="str">
        <f>IF(COUNTIF(工作表1!A:A, $C817)&gt;0, "預購款", "非預購款")</f>
        <v>非預購款</v>
      </c>
    </row>
    <row r="818" spans="1:60" x14ac:dyDescent="0.25">
      <c r="A818" t="s">
        <v>2680</v>
      </c>
      <c r="B818" t="s">
        <v>226</v>
      </c>
      <c r="C818" t="s">
        <v>2681</v>
      </c>
      <c r="D818" t="s">
        <v>2682</v>
      </c>
      <c r="E818" t="s">
        <v>2683</v>
      </c>
      <c r="F818" t="s">
        <v>181</v>
      </c>
      <c r="G818" t="s">
        <v>2684</v>
      </c>
      <c r="H818" t="s">
        <v>130</v>
      </c>
      <c r="I818" t="s">
        <v>214</v>
      </c>
      <c r="J818" t="s">
        <v>215</v>
      </c>
      <c r="K818" t="s">
        <v>69</v>
      </c>
      <c r="L818" t="s">
        <v>2685</v>
      </c>
      <c r="M818" t="s">
        <v>71</v>
      </c>
      <c r="N818" t="s">
        <v>100</v>
      </c>
      <c r="O818" t="s">
        <v>2597</v>
      </c>
      <c r="P818" t="s">
        <v>2598</v>
      </c>
      <c r="R818" t="s">
        <v>2599</v>
      </c>
      <c r="S818" t="s">
        <v>176</v>
      </c>
      <c r="T818" t="s">
        <v>291</v>
      </c>
      <c r="U818" t="s">
        <v>502</v>
      </c>
      <c r="V818" t="s">
        <v>2060</v>
      </c>
      <c r="W818">
        <v>590</v>
      </c>
      <c r="X818">
        <v>29.99</v>
      </c>
      <c r="Y818">
        <v>75</v>
      </c>
      <c r="Z818">
        <v>429000</v>
      </c>
      <c r="AA818">
        <v>212400</v>
      </c>
      <c r="AB818">
        <v>270</v>
      </c>
      <c r="AD818" t="s">
        <v>238</v>
      </c>
      <c r="AE818">
        <v>2</v>
      </c>
      <c r="AF818">
        <v>0</v>
      </c>
      <c r="AI818">
        <v>0</v>
      </c>
      <c r="AJ818">
        <v>50</v>
      </c>
      <c r="AK818">
        <v>50</v>
      </c>
      <c r="AL818">
        <v>360</v>
      </c>
      <c r="AM818">
        <v>58</v>
      </c>
      <c r="AN818">
        <v>0</v>
      </c>
      <c r="AO818">
        <v>58</v>
      </c>
      <c r="AP818" t="s">
        <v>80</v>
      </c>
      <c r="AQ818" t="s">
        <v>1151</v>
      </c>
      <c r="AT818" t="s">
        <v>86</v>
      </c>
      <c r="AU818" t="s">
        <v>264</v>
      </c>
      <c r="AV818" t="s">
        <v>2686</v>
      </c>
      <c r="AW818" t="s">
        <v>69</v>
      </c>
      <c r="AX818" t="s">
        <v>126</v>
      </c>
      <c r="AY818" t="s">
        <v>1209</v>
      </c>
      <c r="AZ818" t="s">
        <v>243</v>
      </c>
      <c r="BA818" t="s">
        <v>244</v>
      </c>
      <c r="BB818" t="s">
        <v>244</v>
      </c>
      <c r="BC818" t="s">
        <v>244</v>
      </c>
      <c r="BD818" t="s">
        <v>2689</v>
      </c>
      <c r="BE818" t="s">
        <v>2688</v>
      </c>
      <c r="BF818" t="s">
        <v>291</v>
      </c>
      <c r="BG818" t="s">
        <v>150</v>
      </c>
      <c r="BH818" t="str">
        <f>IF(COUNTIF(工作表1!A:A, $C818)&gt;0, "預購款", "非預購款")</f>
        <v>非預購款</v>
      </c>
    </row>
    <row r="819" spans="1:60" x14ac:dyDescent="0.25">
      <c r="A819" t="s">
        <v>2680</v>
      </c>
      <c r="B819" t="s">
        <v>226</v>
      </c>
      <c r="C819" t="s">
        <v>2681</v>
      </c>
      <c r="D819" t="s">
        <v>2682</v>
      </c>
      <c r="E819" t="s">
        <v>2683</v>
      </c>
      <c r="F819" t="s">
        <v>181</v>
      </c>
      <c r="G819" t="s">
        <v>2684</v>
      </c>
      <c r="H819" t="s">
        <v>132</v>
      </c>
      <c r="I819" t="s">
        <v>214</v>
      </c>
      <c r="J819" t="s">
        <v>215</v>
      </c>
      <c r="K819" t="s">
        <v>69</v>
      </c>
      <c r="L819" t="s">
        <v>2685</v>
      </c>
      <c r="M819" t="s">
        <v>71</v>
      </c>
      <c r="N819" t="s">
        <v>100</v>
      </c>
      <c r="O819" t="s">
        <v>2597</v>
      </c>
      <c r="P819" t="s">
        <v>2598</v>
      </c>
      <c r="R819" t="s">
        <v>2599</v>
      </c>
      <c r="S819" t="s">
        <v>176</v>
      </c>
      <c r="T819" t="s">
        <v>291</v>
      </c>
      <c r="U819" t="s">
        <v>502</v>
      </c>
      <c r="V819" t="s">
        <v>2060</v>
      </c>
      <c r="W819">
        <v>590</v>
      </c>
      <c r="X819">
        <v>29.99</v>
      </c>
      <c r="Y819">
        <v>75</v>
      </c>
      <c r="Z819">
        <v>429000</v>
      </c>
      <c r="AA819">
        <v>212400</v>
      </c>
      <c r="AB819">
        <v>270</v>
      </c>
      <c r="AD819" t="s">
        <v>238</v>
      </c>
      <c r="AE819">
        <v>2</v>
      </c>
      <c r="AF819">
        <v>0</v>
      </c>
      <c r="AI819">
        <v>0</v>
      </c>
      <c r="AJ819">
        <v>40</v>
      </c>
      <c r="AK819">
        <v>40</v>
      </c>
      <c r="AL819">
        <v>360</v>
      </c>
      <c r="AM819">
        <v>48</v>
      </c>
      <c r="AN819">
        <v>0</v>
      </c>
      <c r="AO819">
        <v>48</v>
      </c>
      <c r="AP819" t="s">
        <v>80</v>
      </c>
      <c r="AQ819" t="s">
        <v>1151</v>
      </c>
      <c r="AT819" t="s">
        <v>86</v>
      </c>
      <c r="AU819" t="s">
        <v>264</v>
      </c>
      <c r="AV819" t="s">
        <v>2686</v>
      </c>
      <c r="AW819" t="s">
        <v>69</v>
      </c>
      <c r="AX819" t="s">
        <v>126</v>
      </c>
      <c r="AY819" t="s">
        <v>1209</v>
      </c>
      <c r="AZ819" t="s">
        <v>243</v>
      </c>
      <c r="BA819" t="s">
        <v>244</v>
      </c>
      <c r="BB819" t="s">
        <v>244</v>
      </c>
      <c r="BC819" t="s">
        <v>244</v>
      </c>
      <c r="BD819" t="s">
        <v>2690</v>
      </c>
      <c r="BE819" t="s">
        <v>2688</v>
      </c>
      <c r="BF819" t="s">
        <v>291</v>
      </c>
      <c r="BG819" t="s">
        <v>150</v>
      </c>
      <c r="BH819" t="str">
        <f>IF(COUNTIF(工作表1!A:A, $C819)&gt;0, "預購款", "非預購款")</f>
        <v>非預購款</v>
      </c>
    </row>
    <row r="820" spans="1:60" x14ac:dyDescent="0.25">
      <c r="A820" t="s">
        <v>2680</v>
      </c>
      <c r="B820" t="s">
        <v>226</v>
      </c>
      <c r="C820" t="s">
        <v>2681</v>
      </c>
      <c r="D820" t="s">
        <v>2682</v>
      </c>
      <c r="E820" t="s">
        <v>2683</v>
      </c>
      <c r="F820" t="s">
        <v>181</v>
      </c>
      <c r="G820" t="s">
        <v>2684</v>
      </c>
      <c r="H820" t="s">
        <v>119</v>
      </c>
      <c r="I820" t="s">
        <v>134</v>
      </c>
      <c r="J820" t="s">
        <v>135</v>
      </c>
      <c r="K820" t="s">
        <v>80</v>
      </c>
      <c r="L820" t="s">
        <v>2685</v>
      </c>
      <c r="M820" t="s">
        <v>71</v>
      </c>
      <c r="N820" t="s">
        <v>100</v>
      </c>
      <c r="O820" t="s">
        <v>2597</v>
      </c>
      <c r="P820" t="s">
        <v>2598</v>
      </c>
      <c r="R820" t="s">
        <v>2599</v>
      </c>
      <c r="S820" t="s">
        <v>176</v>
      </c>
      <c r="T820" t="s">
        <v>291</v>
      </c>
      <c r="U820" t="s">
        <v>502</v>
      </c>
      <c r="V820" t="s">
        <v>2060</v>
      </c>
      <c r="W820">
        <v>590</v>
      </c>
      <c r="X820">
        <v>29.99</v>
      </c>
      <c r="Y820">
        <v>75</v>
      </c>
      <c r="Z820">
        <v>429000</v>
      </c>
      <c r="AA820">
        <v>212400</v>
      </c>
      <c r="AB820">
        <v>270</v>
      </c>
      <c r="AD820" t="s">
        <v>238</v>
      </c>
      <c r="AE820">
        <v>2</v>
      </c>
      <c r="AF820">
        <v>0</v>
      </c>
      <c r="AI820">
        <v>15</v>
      </c>
      <c r="AJ820">
        <v>85</v>
      </c>
      <c r="AK820">
        <v>100</v>
      </c>
      <c r="AL820">
        <v>360</v>
      </c>
      <c r="AM820">
        <v>91</v>
      </c>
      <c r="AN820">
        <v>0</v>
      </c>
      <c r="AO820">
        <v>91</v>
      </c>
      <c r="AP820" t="s">
        <v>80</v>
      </c>
      <c r="AQ820" t="s">
        <v>1151</v>
      </c>
      <c r="AT820" t="s">
        <v>86</v>
      </c>
      <c r="AU820" t="s">
        <v>264</v>
      </c>
      <c r="AV820" t="s">
        <v>2686</v>
      </c>
      <c r="AW820" t="s">
        <v>69</v>
      </c>
      <c r="AX820" t="s">
        <v>126</v>
      </c>
      <c r="AY820" t="s">
        <v>1209</v>
      </c>
      <c r="AZ820" t="s">
        <v>243</v>
      </c>
      <c r="BA820" t="s">
        <v>244</v>
      </c>
      <c r="BB820" t="s">
        <v>244</v>
      </c>
      <c r="BC820" t="s">
        <v>244</v>
      </c>
      <c r="BD820" t="s">
        <v>2691</v>
      </c>
      <c r="BE820" t="s">
        <v>2688</v>
      </c>
      <c r="BF820" t="s">
        <v>291</v>
      </c>
      <c r="BG820" t="s">
        <v>150</v>
      </c>
      <c r="BH820" t="str">
        <f>IF(COUNTIF(工作表1!A:A, $C820)&gt;0, "預購款", "非預購款")</f>
        <v>非預購款</v>
      </c>
    </row>
    <row r="821" spans="1:60" x14ac:dyDescent="0.25">
      <c r="A821" t="s">
        <v>2680</v>
      </c>
      <c r="B821" t="s">
        <v>226</v>
      </c>
      <c r="C821" t="s">
        <v>2681</v>
      </c>
      <c r="D821" t="s">
        <v>2682</v>
      </c>
      <c r="E821" t="s">
        <v>2683</v>
      </c>
      <c r="F821" t="s">
        <v>181</v>
      </c>
      <c r="G821" t="s">
        <v>2684</v>
      </c>
      <c r="H821" t="s">
        <v>130</v>
      </c>
      <c r="I821" t="s">
        <v>134</v>
      </c>
      <c r="J821" t="s">
        <v>135</v>
      </c>
      <c r="K821" t="s">
        <v>80</v>
      </c>
      <c r="L821" t="s">
        <v>2685</v>
      </c>
      <c r="M821" t="s">
        <v>71</v>
      </c>
      <c r="N821" t="s">
        <v>100</v>
      </c>
      <c r="O821" t="s">
        <v>2597</v>
      </c>
      <c r="P821" t="s">
        <v>2598</v>
      </c>
      <c r="R821" t="s">
        <v>2599</v>
      </c>
      <c r="S821" t="s">
        <v>176</v>
      </c>
      <c r="T821" t="s">
        <v>291</v>
      </c>
      <c r="U821" t="s">
        <v>502</v>
      </c>
      <c r="V821" t="s">
        <v>2060</v>
      </c>
      <c r="W821">
        <v>590</v>
      </c>
      <c r="X821">
        <v>29.99</v>
      </c>
      <c r="Y821">
        <v>75</v>
      </c>
      <c r="Z821">
        <v>429000</v>
      </c>
      <c r="AA821">
        <v>212400</v>
      </c>
      <c r="AB821">
        <v>270</v>
      </c>
      <c r="AD821" t="s">
        <v>238</v>
      </c>
      <c r="AE821">
        <v>2</v>
      </c>
      <c r="AF821">
        <v>0</v>
      </c>
      <c r="AI821">
        <v>0</v>
      </c>
      <c r="AJ821">
        <v>70</v>
      </c>
      <c r="AK821">
        <v>70</v>
      </c>
      <c r="AL821">
        <v>360</v>
      </c>
      <c r="AM821">
        <v>60</v>
      </c>
      <c r="AN821">
        <v>0</v>
      </c>
      <c r="AO821">
        <v>60</v>
      </c>
      <c r="AP821" t="s">
        <v>80</v>
      </c>
      <c r="AQ821" t="s">
        <v>1151</v>
      </c>
      <c r="AT821" t="s">
        <v>86</v>
      </c>
      <c r="AU821" t="s">
        <v>264</v>
      </c>
      <c r="AV821" t="s">
        <v>2686</v>
      </c>
      <c r="AW821" t="s">
        <v>69</v>
      </c>
      <c r="AX821" t="s">
        <v>126</v>
      </c>
      <c r="AY821" t="s">
        <v>1209</v>
      </c>
      <c r="AZ821" t="s">
        <v>243</v>
      </c>
      <c r="BA821" t="s">
        <v>244</v>
      </c>
      <c r="BB821" t="s">
        <v>244</v>
      </c>
      <c r="BC821" t="s">
        <v>244</v>
      </c>
      <c r="BD821" t="s">
        <v>2692</v>
      </c>
      <c r="BE821" t="s">
        <v>2688</v>
      </c>
      <c r="BF821" t="s">
        <v>291</v>
      </c>
      <c r="BG821" t="s">
        <v>150</v>
      </c>
      <c r="BH821" t="str">
        <f>IF(COUNTIF(工作表1!A:A, $C821)&gt;0, "預購款", "非預購款")</f>
        <v>非預購款</v>
      </c>
    </row>
    <row r="822" spans="1:60" x14ac:dyDescent="0.25">
      <c r="A822" t="s">
        <v>2680</v>
      </c>
      <c r="B822" t="s">
        <v>226</v>
      </c>
      <c r="C822" t="s">
        <v>2681</v>
      </c>
      <c r="D822" t="s">
        <v>2682</v>
      </c>
      <c r="E822" t="s">
        <v>2683</v>
      </c>
      <c r="F822" t="s">
        <v>181</v>
      </c>
      <c r="G822" t="s">
        <v>2684</v>
      </c>
      <c r="H822" t="s">
        <v>132</v>
      </c>
      <c r="I822" t="s">
        <v>134</v>
      </c>
      <c r="J822" t="s">
        <v>135</v>
      </c>
      <c r="K822" t="s">
        <v>80</v>
      </c>
      <c r="L822" t="s">
        <v>2685</v>
      </c>
      <c r="M822" t="s">
        <v>71</v>
      </c>
      <c r="N822" t="s">
        <v>100</v>
      </c>
      <c r="O822" t="s">
        <v>2597</v>
      </c>
      <c r="P822" t="s">
        <v>2598</v>
      </c>
      <c r="R822" t="s">
        <v>2599</v>
      </c>
      <c r="S822" t="s">
        <v>176</v>
      </c>
      <c r="T822" t="s">
        <v>291</v>
      </c>
      <c r="U822" t="s">
        <v>502</v>
      </c>
      <c r="V822" t="s">
        <v>2060</v>
      </c>
      <c r="W822">
        <v>590</v>
      </c>
      <c r="X822">
        <v>29.99</v>
      </c>
      <c r="Y822">
        <v>75</v>
      </c>
      <c r="Z822">
        <v>429000</v>
      </c>
      <c r="AA822">
        <v>212400</v>
      </c>
      <c r="AB822">
        <v>270</v>
      </c>
      <c r="AD822" t="s">
        <v>238</v>
      </c>
      <c r="AE822">
        <v>2</v>
      </c>
      <c r="AF822">
        <v>0</v>
      </c>
      <c r="AI822">
        <v>15</v>
      </c>
      <c r="AJ822">
        <v>45</v>
      </c>
      <c r="AK822">
        <v>60</v>
      </c>
      <c r="AL822">
        <v>360</v>
      </c>
      <c r="AM822">
        <v>53</v>
      </c>
      <c r="AN822">
        <v>0</v>
      </c>
      <c r="AO822">
        <v>53</v>
      </c>
      <c r="AP822" t="s">
        <v>80</v>
      </c>
      <c r="AQ822" t="s">
        <v>1151</v>
      </c>
      <c r="AT822" t="s">
        <v>86</v>
      </c>
      <c r="AU822" t="s">
        <v>264</v>
      </c>
      <c r="AV822" t="s">
        <v>2686</v>
      </c>
      <c r="AW822" t="s">
        <v>69</v>
      </c>
      <c r="AX822" t="s">
        <v>126</v>
      </c>
      <c r="AY822" t="s">
        <v>1209</v>
      </c>
      <c r="AZ822" t="s">
        <v>243</v>
      </c>
      <c r="BA822" t="s">
        <v>244</v>
      </c>
      <c r="BB822" t="s">
        <v>244</v>
      </c>
      <c r="BC822" t="s">
        <v>244</v>
      </c>
      <c r="BD822" t="s">
        <v>2693</v>
      </c>
      <c r="BE822" t="s">
        <v>2688</v>
      </c>
      <c r="BF822" t="s">
        <v>291</v>
      </c>
      <c r="BG822" t="s">
        <v>150</v>
      </c>
      <c r="BH822" t="str">
        <f>IF(COUNTIF(工作表1!A:A, $C822)&gt;0, "預購款", "非預購款")</f>
        <v>非預購款</v>
      </c>
    </row>
    <row r="823" spans="1:60" x14ac:dyDescent="0.25">
      <c r="A823" t="s">
        <v>2694</v>
      </c>
      <c r="B823" t="s">
        <v>226</v>
      </c>
      <c r="C823" t="s">
        <v>2695</v>
      </c>
      <c r="D823" t="s">
        <v>2696</v>
      </c>
      <c r="E823" t="s">
        <v>2697</v>
      </c>
      <c r="F823" t="s">
        <v>181</v>
      </c>
      <c r="G823" t="s">
        <v>2698</v>
      </c>
      <c r="H823" t="s">
        <v>119</v>
      </c>
      <c r="I823" t="s">
        <v>97</v>
      </c>
      <c r="J823" t="s">
        <v>98</v>
      </c>
      <c r="K823" t="s">
        <v>69</v>
      </c>
      <c r="L823" t="s">
        <v>2699</v>
      </c>
      <c r="M823" t="s">
        <v>71</v>
      </c>
      <c r="N823" t="s">
        <v>100</v>
      </c>
      <c r="O823" t="s">
        <v>2597</v>
      </c>
      <c r="P823" t="s">
        <v>2598</v>
      </c>
      <c r="R823" t="s">
        <v>2599</v>
      </c>
      <c r="S823" t="s">
        <v>176</v>
      </c>
      <c r="T823" t="s">
        <v>258</v>
      </c>
      <c r="U823" t="s">
        <v>104</v>
      </c>
      <c r="V823" t="s">
        <v>1519</v>
      </c>
      <c r="W823">
        <v>590</v>
      </c>
      <c r="X823">
        <v>29.99</v>
      </c>
      <c r="Y823">
        <v>75</v>
      </c>
      <c r="Z823">
        <v>429000</v>
      </c>
      <c r="AA823">
        <v>369930</v>
      </c>
      <c r="AB823">
        <v>170</v>
      </c>
      <c r="AD823" t="s">
        <v>238</v>
      </c>
      <c r="AE823">
        <v>2</v>
      </c>
      <c r="AF823">
        <v>25</v>
      </c>
      <c r="AI823">
        <v>15</v>
      </c>
      <c r="AJ823">
        <v>90</v>
      </c>
      <c r="AK823">
        <v>130</v>
      </c>
      <c r="AL823">
        <v>627</v>
      </c>
      <c r="AM823">
        <v>127</v>
      </c>
      <c r="AN823">
        <v>0</v>
      </c>
      <c r="AO823">
        <v>127</v>
      </c>
      <c r="AP823" t="s">
        <v>80</v>
      </c>
      <c r="AQ823" t="s">
        <v>2257</v>
      </c>
      <c r="AR823" t="s">
        <v>86</v>
      </c>
      <c r="AS823" t="s">
        <v>86</v>
      </c>
      <c r="AT823" t="s">
        <v>86</v>
      </c>
      <c r="AU823" t="s">
        <v>86</v>
      </c>
      <c r="AV823" t="s">
        <v>2700</v>
      </c>
      <c r="AW823" t="s">
        <v>80</v>
      </c>
      <c r="AX823" t="s">
        <v>737</v>
      </c>
      <c r="AY823" t="s">
        <v>2701</v>
      </c>
      <c r="AZ823" t="s">
        <v>245</v>
      </c>
      <c r="BA823" t="s">
        <v>264</v>
      </c>
      <c r="BB823" t="s">
        <v>244</v>
      </c>
      <c r="BC823" t="s">
        <v>243</v>
      </c>
      <c r="BD823" t="s">
        <v>2702</v>
      </c>
      <c r="BE823" t="s">
        <v>2703</v>
      </c>
      <c r="BF823" t="s">
        <v>240</v>
      </c>
      <c r="BG823" t="s">
        <v>150</v>
      </c>
      <c r="BH823" t="str">
        <f>IF(COUNTIF(工作表1!A:A, $C823)&gt;0, "預購款", "非預購款")</f>
        <v>非預購款</v>
      </c>
    </row>
    <row r="824" spans="1:60" x14ac:dyDescent="0.25">
      <c r="A824" t="s">
        <v>2694</v>
      </c>
      <c r="B824" t="s">
        <v>226</v>
      </c>
      <c r="C824" t="s">
        <v>2695</v>
      </c>
      <c r="D824" t="s">
        <v>2696</v>
      </c>
      <c r="E824" t="s">
        <v>2697</v>
      </c>
      <c r="F824" t="s">
        <v>181</v>
      </c>
      <c r="G824" t="s">
        <v>2698</v>
      </c>
      <c r="H824" t="s">
        <v>130</v>
      </c>
      <c r="I824" t="s">
        <v>97</v>
      </c>
      <c r="J824" t="s">
        <v>98</v>
      </c>
      <c r="K824" t="s">
        <v>69</v>
      </c>
      <c r="L824" t="s">
        <v>2699</v>
      </c>
      <c r="M824" t="s">
        <v>71</v>
      </c>
      <c r="N824" t="s">
        <v>100</v>
      </c>
      <c r="O824" t="s">
        <v>2597</v>
      </c>
      <c r="P824" t="s">
        <v>2598</v>
      </c>
      <c r="R824" t="s">
        <v>2599</v>
      </c>
      <c r="S824" t="s">
        <v>176</v>
      </c>
      <c r="T824" t="s">
        <v>258</v>
      </c>
      <c r="U824" t="s">
        <v>104</v>
      </c>
      <c r="V824" t="s">
        <v>1519</v>
      </c>
      <c r="W824">
        <v>590</v>
      </c>
      <c r="X824">
        <v>29.99</v>
      </c>
      <c r="Y824">
        <v>75</v>
      </c>
      <c r="Z824">
        <v>429000</v>
      </c>
      <c r="AA824">
        <v>369930</v>
      </c>
      <c r="AB824">
        <v>170</v>
      </c>
      <c r="AD824" t="s">
        <v>238</v>
      </c>
      <c r="AE824">
        <v>2</v>
      </c>
      <c r="AF824">
        <v>15</v>
      </c>
      <c r="AI824">
        <v>15</v>
      </c>
      <c r="AJ824">
        <v>70</v>
      </c>
      <c r="AK824">
        <v>100</v>
      </c>
      <c r="AL824">
        <v>627</v>
      </c>
      <c r="AM824">
        <v>96</v>
      </c>
      <c r="AN824">
        <v>0</v>
      </c>
      <c r="AO824">
        <v>96</v>
      </c>
      <c r="AP824" t="s">
        <v>80</v>
      </c>
      <c r="AQ824" t="s">
        <v>2257</v>
      </c>
      <c r="AR824" t="s">
        <v>86</v>
      </c>
      <c r="AS824" t="s">
        <v>86</v>
      </c>
      <c r="AT824" t="s">
        <v>86</v>
      </c>
      <c r="AU824" t="s">
        <v>86</v>
      </c>
      <c r="AV824" t="s">
        <v>2700</v>
      </c>
      <c r="AW824" t="s">
        <v>80</v>
      </c>
      <c r="AX824" t="s">
        <v>737</v>
      </c>
      <c r="AY824" t="s">
        <v>2701</v>
      </c>
      <c r="AZ824" t="s">
        <v>245</v>
      </c>
      <c r="BA824" t="s">
        <v>264</v>
      </c>
      <c r="BB824" t="s">
        <v>244</v>
      </c>
      <c r="BC824" t="s">
        <v>243</v>
      </c>
      <c r="BD824" t="s">
        <v>2704</v>
      </c>
      <c r="BE824" t="s">
        <v>2703</v>
      </c>
      <c r="BF824" t="s">
        <v>240</v>
      </c>
      <c r="BG824" t="s">
        <v>150</v>
      </c>
      <c r="BH824" t="str">
        <f>IF(COUNTIF(工作表1!A:A, $C824)&gt;0, "預購款", "非預購款")</f>
        <v>非預購款</v>
      </c>
    </row>
    <row r="825" spans="1:60" x14ac:dyDescent="0.25">
      <c r="A825" t="s">
        <v>2694</v>
      </c>
      <c r="B825" t="s">
        <v>226</v>
      </c>
      <c r="C825" t="s">
        <v>2695</v>
      </c>
      <c r="D825" t="s">
        <v>2696</v>
      </c>
      <c r="E825" t="s">
        <v>2697</v>
      </c>
      <c r="F825" t="s">
        <v>181</v>
      </c>
      <c r="G825" t="s">
        <v>2698</v>
      </c>
      <c r="H825" t="s">
        <v>132</v>
      </c>
      <c r="I825" t="s">
        <v>97</v>
      </c>
      <c r="J825" t="s">
        <v>98</v>
      </c>
      <c r="K825" t="s">
        <v>69</v>
      </c>
      <c r="L825" t="s">
        <v>2699</v>
      </c>
      <c r="M825" t="s">
        <v>71</v>
      </c>
      <c r="N825" t="s">
        <v>100</v>
      </c>
      <c r="O825" t="s">
        <v>2597</v>
      </c>
      <c r="P825" t="s">
        <v>2598</v>
      </c>
      <c r="R825" t="s">
        <v>2599</v>
      </c>
      <c r="S825" t="s">
        <v>176</v>
      </c>
      <c r="T825" t="s">
        <v>258</v>
      </c>
      <c r="U825" t="s">
        <v>104</v>
      </c>
      <c r="V825" t="s">
        <v>1519</v>
      </c>
      <c r="W825">
        <v>590</v>
      </c>
      <c r="X825">
        <v>29.99</v>
      </c>
      <c r="Y825">
        <v>75</v>
      </c>
      <c r="Z825">
        <v>429000</v>
      </c>
      <c r="AA825">
        <v>369930</v>
      </c>
      <c r="AB825">
        <v>170</v>
      </c>
      <c r="AD825" t="s">
        <v>238</v>
      </c>
      <c r="AE825">
        <v>2</v>
      </c>
      <c r="AF825">
        <v>0</v>
      </c>
      <c r="AI825">
        <v>10</v>
      </c>
      <c r="AJ825">
        <v>20</v>
      </c>
      <c r="AK825">
        <v>30</v>
      </c>
      <c r="AL825">
        <v>627</v>
      </c>
      <c r="AM825">
        <v>28</v>
      </c>
      <c r="AN825">
        <v>0</v>
      </c>
      <c r="AO825">
        <v>28</v>
      </c>
      <c r="AP825" t="s">
        <v>80</v>
      </c>
      <c r="AQ825" t="s">
        <v>2257</v>
      </c>
      <c r="AR825" t="s">
        <v>86</v>
      </c>
      <c r="AS825" t="s">
        <v>86</v>
      </c>
      <c r="AT825" t="s">
        <v>86</v>
      </c>
      <c r="AU825" t="s">
        <v>86</v>
      </c>
      <c r="AV825" t="s">
        <v>2700</v>
      </c>
      <c r="AW825" t="s">
        <v>80</v>
      </c>
      <c r="AX825" t="s">
        <v>737</v>
      </c>
      <c r="AY825" t="s">
        <v>2701</v>
      </c>
      <c r="AZ825" t="s">
        <v>245</v>
      </c>
      <c r="BA825" t="s">
        <v>264</v>
      </c>
      <c r="BB825" t="s">
        <v>244</v>
      </c>
      <c r="BC825" t="s">
        <v>243</v>
      </c>
      <c r="BD825" t="s">
        <v>2705</v>
      </c>
      <c r="BE825" t="s">
        <v>2703</v>
      </c>
      <c r="BF825" t="s">
        <v>240</v>
      </c>
      <c r="BG825" t="s">
        <v>150</v>
      </c>
      <c r="BH825" t="str">
        <f>IF(COUNTIF(工作表1!A:A, $C825)&gt;0, "預購款", "非預購款")</f>
        <v>非預購款</v>
      </c>
    </row>
    <row r="826" spans="1:60" x14ac:dyDescent="0.25">
      <c r="A826" t="s">
        <v>2694</v>
      </c>
      <c r="B826" t="s">
        <v>226</v>
      </c>
      <c r="C826" t="s">
        <v>2695</v>
      </c>
      <c r="D826" t="s">
        <v>2696</v>
      </c>
      <c r="E826" t="s">
        <v>2697</v>
      </c>
      <c r="F826" t="s">
        <v>181</v>
      </c>
      <c r="G826" t="s">
        <v>2698</v>
      </c>
      <c r="H826" t="s">
        <v>119</v>
      </c>
      <c r="I826" t="s">
        <v>288</v>
      </c>
      <c r="J826" t="s">
        <v>289</v>
      </c>
      <c r="K826" t="s">
        <v>69</v>
      </c>
      <c r="L826" t="s">
        <v>2699</v>
      </c>
      <c r="M826" t="s">
        <v>71</v>
      </c>
      <c r="N826" t="s">
        <v>100</v>
      </c>
      <c r="O826" t="s">
        <v>2597</v>
      </c>
      <c r="P826" t="s">
        <v>2598</v>
      </c>
      <c r="R826" t="s">
        <v>2599</v>
      </c>
      <c r="S826" t="s">
        <v>176</v>
      </c>
      <c r="T826" t="s">
        <v>258</v>
      </c>
      <c r="U826" t="s">
        <v>104</v>
      </c>
      <c r="V826" t="s">
        <v>1519</v>
      </c>
      <c r="W826">
        <v>590</v>
      </c>
      <c r="X826">
        <v>29.99</v>
      </c>
      <c r="Y826">
        <v>75</v>
      </c>
      <c r="Z826">
        <v>429000</v>
      </c>
      <c r="AA826">
        <v>369930</v>
      </c>
      <c r="AB826">
        <v>170</v>
      </c>
      <c r="AD826" t="s">
        <v>238</v>
      </c>
      <c r="AE826">
        <v>2</v>
      </c>
      <c r="AF826">
        <v>20</v>
      </c>
      <c r="AI826">
        <v>15</v>
      </c>
      <c r="AJ826">
        <v>100</v>
      </c>
      <c r="AK826">
        <v>135</v>
      </c>
      <c r="AL826">
        <v>627</v>
      </c>
      <c r="AM826">
        <v>135</v>
      </c>
      <c r="AN826">
        <v>0</v>
      </c>
      <c r="AO826">
        <v>135</v>
      </c>
      <c r="AP826" t="s">
        <v>80</v>
      </c>
      <c r="AQ826" t="s">
        <v>2257</v>
      </c>
      <c r="AR826" t="s">
        <v>86</v>
      </c>
      <c r="AS826" t="s">
        <v>86</v>
      </c>
      <c r="AT826" t="s">
        <v>86</v>
      </c>
      <c r="AU826" t="s">
        <v>86</v>
      </c>
      <c r="AV826" t="s">
        <v>2700</v>
      </c>
      <c r="AW826" t="s">
        <v>80</v>
      </c>
      <c r="AX826" t="s">
        <v>737</v>
      </c>
      <c r="AY826" t="s">
        <v>2701</v>
      </c>
      <c r="AZ826" t="s">
        <v>245</v>
      </c>
      <c r="BA826" t="s">
        <v>264</v>
      </c>
      <c r="BB826" t="s">
        <v>244</v>
      </c>
      <c r="BC826" t="s">
        <v>243</v>
      </c>
      <c r="BD826" t="s">
        <v>2706</v>
      </c>
      <c r="BE826" t="s">
        <v>2703</v>
      </c>
      <c r="BF826" t="s">
        <v>240</v>
      </c>
      <c r="BG826" t="s">
        <v>150</v>
      </c>
      <c r="BH826" t="str">
        <f>IF(COUNTIF(工作表1!A:A, $C826)&gt;0, "預購款", "非預購款")</f>
        <v>非預購款</v>
      </c>
    </row>
    <row r="827" spans="1:60" x14ac:dyDescent="0.25">
      <c r="A827" t="s">
        <v>2694</v>
      </c>
      <c r="B827" t="s">
        <v>226</v>
      </c>
      <c r="C827" t="s">
        <v>2695</v>
      </c>
      <c r="D827" t="s">
        <v>2696</v>
      </c>
      <c r="E827" t="s">
        <v>2697</v>
      </c>
      <c r="F827" t="s">
        <v>181</v>
      </c>
      <c r="G827" t="s">
        <v>2698</v>
      </c>
      <c r="H827" t="s">
        <v>130</v>
      </c>
      <c r="I827" t="s">
        <v>288</v>
      </c>
      <c r="J827" t="s">
        <v>289</v>
      </c>
      <c r="K827" t="s">
        <v>69</v>
      </c>
      <c r="L827" t="s">
        <v>2699</v>
      </c>
      <c r="M827" t="s">
        <v>71</v>
      </c>
      <c r="N827" t="s">
        <v>100</v>
      </c>
      <c r="O827" t="s">
        <v>2597</v>
      </c>
      <c r="P827" t="s">
        <v>2598</v>
      </c>
      <c r="R827" t="s">
        <v>2599</v>
      </c>
      <c r="S827" t="s">
        <v>176</v>
      </c>
      <c r="T827" t="s">
        <v>258</v>
      </c>
      <c r="U827" t="s">
        <v>104</v>
      </c>
      <c r="V827" t="s">
        <v>1519</v>
      </c>
      <c r="W827">
        <v>590</v>
      </c>
      <c r="X827">
        <v>29.99</v>
      </c>
      <c r="Y827">
        <v>75</v>
      </c>
      <c r="Z827">
        <v>429000</v>
      </c>
      <c r="AA827">
        <v>369930</v>
      </c>
      <c r="AB827">
        <v>170</v>
      </c>
      <c r="AD827" t="s">
        <v>238</v>
      </c>
      <c r="AE827">
        <v>2</v>
      </c>
      <c r="AF827">
        <v>12</v>
      </c>
      <c r="AI827">
        <v>15</v>
      </c>
      <c r="AJ827">
        <v>130</v>
      </c>
      <c r="AK827">
        <v>157</v>
      </c>
      <c r="AL827">
        <v>627</v>
      </c>
      <c r="AM827">
        <v>163</v>
      </c>
      <c r="AN827">
        <v>0</v>
      </c>
      <c r="AO827">
        <v>163</v>
      </c>
      <c r="AP827" t="s">
        <v>80</v>
      </c>
      <c r="AQ827" t="s">
        <v>2257</v>
      </c>
      <c r="AR827" t="s">
        <v>86</v>
      </c>
      <c r="AS827" t="s">
        <v>86</v>
      </c>
      <c r="AT827" t="s">
        <v>86</v>
      </c>
      <c r="AU827" t="s">
        <v>86</v>
      </c>
      <c r="AV827" t="s">
        <v>2700</v>
      </c>
      <c r="AW827" t="s">
        <v>80</v>
      </c>
      <c r="AX827" t="s">
        <v>737</v>
      </c>
      <c r="AY827" t="s">
        <v>2701</v>
      </c>
      <c r="AZ827" t="s">
        <v>245</v>
      </c>
      <c r="BA827" t="s">
        <v>264</v>
      </c>
      <c r="BB827" t="s">
        <v>244</v>
      </c>
      <c r="BC827" t="s">
        <v>243</v>
      </c>
      <c r="BD827" t="s">
        <v>2707</v>
      </c>
      <c r="BE827" t="s">
        <v>2703</v>
      </c>
      <c r="BF827" t="s">
        <v>240</v>
      </c>
      <c r="BG827" t="s">
        <v>150</v>
      </c>
      <c r="BH827" t="str">
        <f>IF(COUNTIF(工作表1!A:A, $C827)&gt;0, "預購款", "非預購款")</f>
        <v>非預購款</v>
      </c>
    </row>
    <row r="828" spans="1:60" x14ac:dyDescent="0.25">
      <c r="A828" t="s">
        <v>2694</v>
      </c>
      <c r="B828" t="s">
        <v>226</v>
      </c>
      <c r="C828" t="s">
        <v>2695</v>
      </c>
      <c r="D828" t="s">
        <v>2696</v>
      </c>
      <c r="E828" t="s">
        <v>2697</v>
      </c>
      <c r="F828" t="s">
        <v>181</v>
      </c>
      <c r="G828" t="s">
        <v>2698</v>
      </c>
      <c r="H828" t="s">
        <v>132</v>
      </c>
      <c r="I828" t="s">
        <v>288</v>
      </c>
      <c r="J828" t="s">
        <v>289</v>
      </c>
      <c r="K828" t="s">
        <v>69</v>
      </c>
      <c r="L828" t="s">
        <v>2699</v>
      </c>
      <c r="M828" t="s">
        <v>71</v>
      </c>
      <c r="N828" t="s">
        <v>100</v>
      </c>
      <c r="O828" t="s">
        <v>2597</v>
      </c>
      <c r="P828" t="s">
        <v>2598</v>
      </c>
      <c r="R828" t="s">
        <v>2599</v>
      </c>
      <c r="S828" t="s">
        <v>176</v>
      </c>
      <c r="T828" t="s">
        <v>258</v>
      </c>
      <c r="U828" t="s">
        <v>104</v>
      </c>
      <c r="V828" t="s">
        <v>1519</v>
      </c>
      <c r="W828">
        <v>590</v>
      </c>
      <c r="X828">
        <v>29.99</v>
      </c>
      <c r="Y828">
        <v>75</v>
      </c>
      <c r="Z828">
        <v>429000</v>
      </c>
      <c r="AA828">
        <v>369930</v>
      </c>
      <c r="AB828">
        <v>170</v>
      </c>
      <c r="AD828" t="s">
        <v>238</v>
      </c>
      <c r="AE828">
        <v>2</v>
      </c>
      <c r="AF828">
        <v>0</v>
      </c>
      <c r="AI828">
        <v>15</v>
      </c>
      <c r="AJ828">
        <v>60</v>
      </c>
      <c r="AK828">
        <v>75</v>
      </c>
      <c r="AL828">
        <v>627</v>
      </c>
      <c r="AM828">
        <v>66</v>
      </c>
      <c r="AN828">
        <v>0</v>
      </c>
      <c r="AO828">
        <v>66</v>
      </c>
      <c r="AP828" t="s">
        <v>80</v>
      </c>
      <c r="AQ828" t="s">
        <v>2257</v>
      </c>
      <c r="AR828" t="s">
        <v>86</v>
      </c>
      <c r="AS828" t="s">
        <v>86</v>
      </c>
      <c r="AT828" t="s">
        <v>86</v>
      </c>
      <c r="AU828" t="s">
        <v>86</v>
      </c>
      <c r="AV828" t="s">
        <v>2700</v>
      </c>
      <c r="AW828" t="s">
        <v>80</v>
      </c>
      <c r="AX828" t="s">
        <v>737</v>
      </c>
      <c r="AY828" t="s">
        <v>2701</v>
      </c>
      <c r="AZ828" t="s">
        <v>245</v>
      </c>
      <c r="BA828" t="s">
        <v>264</v>
      </c>
      <c r="BB828" t="s">
        <v>244</v>
      </c>
      <c r="BC828" t="s">
        <v>243</v>
      </c>
      <c r="BD828" t="s">
        <v>2708</v>
      </c>
      <c r="BE828" t="s">
        <v>2703</v>
      </c>
      <c r="BF828" t="s">
        <v>240</v>
      </c>
      <c r="BG828" t="s">
        <v>150</v>
      </c>
      <c r="BH828" t="str">
        <f>IF(COUNTIF(工作表1!A:A, $C828)&gt;0, "預購款", "非預購款")</f>
        <v>非預購款</v>
      </c>
    </row>
    <row r="829" spans="1:60" x14ac:dyDescent="0.25">
      <c r="A829" t="s">
        <v>1236</v>
      </c>
      <c r="B829" t="s">
        <v>283</v>
      </c>
      <c r="C829" t="s">
        <v>1237</v>
      </c>
      <c r="D829" t="s">
        <v>1238</v>
      </c>
      <c r="E829" t="s">
        <v>1239</v>
      </c>
      <c r="F829" t="s">
        <v>181</v>
      </c>
      <c r="G829" t="s">
        <v>1240</v>
      </c>
      <c r="H829" t="s">
        <v>119</v>
      </c>
      <c r="I829" t="s">
        <v>97</v>
      </c>
      <c r="J829" t="s">
        <v>98</v>
      </c>
      <c r="K829" t="s">
        <v>69</v>
      </c>
      <c r="L829" t="s">
        <v>1241</v>
      </c>
      <c r="M829" t="s">
        <v>71</v>
      </c>
      <c r="N829" t="s">
        <v>100</v>
      </c>
      <c r="O829" t="s">
        <v>1136</v>
      </c>
      <c r="P829" t="s">
        <v>1137</v>
      </c>
      <c r="R829" t="s">
        <v>1138</v>
      </c>
      <c r="S829" t="s">
        <v>176</v>
      </c>
      <c r="T829" t="s">
        <v>76</v>
      </c>
      <c r="U829" t="s">
        <v>104</v>
      </c>
      <c r="V829" t="s">
        <v>653</v>
      </c>
      <c r="W829">
        <v>490</v>
      </c>
      <c r="X829">
        <v>22.99</v>
      </c>
      <c r="Y829">
        <v>60</v>
      </c>
      <c r="Z829">
        <v>355000</v>
      </c>
      <c r="AA829">
        <v>169050</v>
      </c>
      <c r="AB829">
        <v>178</v>
      </c>
      <c r="AD829" t="s">
        <v>238</v>
      </c>
      <c r="AE829">
        <v>1</v>
      </c>
      <c r="AF829">
        <v>20</v>
      </c>
      <c r="AI829">
        <v>0</v>
      </c>
      <c r="AJ829">
        <v>180</v>
      </c>
      <c r="AK829">
        <v>200</v>
      </c>
      <c r="AL829">
        <v>345</v>
      </c>
      <c r="AM829">
        <v>195</v>
      </c>
      <c r="AN829">
        <v>0</v>
      </c>
      <c r="AO829">
        <v>195</v>
      </c>
      <c r="AP829" t="s">
        <v>80</v>
      </c>
      <c r="AQ829" t="s">
        <v>187</v>
      </c>
      <c r="AR829" t="s">
        <v>261</v>
      </c>
      <c r="AS829" t="s">
        <v>261</v>
      </c>
      <c r="AT829" t="s">
        <v>261</v>
      </c>
      <c r="AU829" t="s">
        <v>261</v>
      </c>
      <c r="AV829" t="s">
        <v>1033</v>
      </c>
      <c r="AW829" t="s">
        <v>69</v>
      </c>
      <c r="AX829" t="s">
        <v>218</v>
      </c>
      <c r="AY829" t="s">
        <v>1242</v>
      </c>
      <c r="AZ829" t="s">
        <v>243</v>
      </c>
      <c r="BA829" t="s">
        <v>244</v>
      </c>
      <c r="BB829" t="s">
        <v>244</v>
      </c>
      <c r="BC829" t="s">
        <v>244</v>
      </c>
      <c r="BD829" t="s">
        <v>1243</v>
      </c>
      <c r="BE829" t="s">
        <v>2709</v>
      </c>
      <c r="BF829" t="s">
        <v>786</v>
      </c>
      <c r="BG829" t="s">
        <v>110</v>
      </c>
      <c r="BH829" t="str">
        <f>IF(COUNTIF(工作表1!A:A, $C829)&gt;0, "預購款", "非預購款")</f>
        <v>非預購款</v>
      </c>
    </row>
    <row r="830" spans="1:60" x14ac:dyDescent="0.25">
      <c r="A830" t="s">
        <v>1236</v>
      </c>
      <c r="B830" t="s">
        <v>283</v>
      </c>
      <c r="C830" t="s">
        <v>1237</v>
      </c>
      <c r="D830" t="s">
        <v>1238</v>
      </c>
      <c r="E830" t="s">
        <v>1239</v>
      </c>
      <c r="F830" t="s">
        <v>181</v>
      </c>
      <c r="G830" t="s">
        <v>1240</v>
      </c>
      <c r="H830" t="s">
        <v>130</v>
      </c>
      <c r="I830" t="s">
        <v>97</v>
      </c>
      <c r="J830" t="s">
        <v>98</v>
      </c>
      <c r="K830" t="s">
        <v>69</v>
      </c>
      <c r="L830" t="s">
        <v>1241</v>
      </c>
      <c r="M830" t="s">
        <v>71</v>
      </c>
      <c r="N830" t="s">
        <v>100</v>
      </c>
      <c r="O830" t="s">
        <v>1136</v>
      </c>
      <c r="P830" t="s">
        <v>1137</v>
      </c>
      <c r="R830" t="s">
        <v>1138</v>
      </c>
      <c r="S830" t="s">
        <v>176</v>
      </c>
      <c r="T830" t="s">
        <v>76</v>
      </c>
      <c r="U830" t="s">
        <v>104</v>
      </c>
      <c r="V830" t="s">
        <v>653</v>
      </c>
      <c r="W830">
        <v>490</v>
      </c>
      <c r="X830">
        <v>22.99</v>
      </c>
      <c r="Y830">
        <v>60</v>
      </c>
      <c r="Z830">
        <v>355000</v>
      </c>
      <c r="AA830">
        <v>169050</v>
      </c>
      <c r="AB830">
        <v>178</v>
      </c>
      <c r="AD830" t="s">
        <v>238</v>
      </c>
      <c r="AE830">
        <v>1</v>
      </c>
      <c r="AF830">
        <v>15</v>
      </c>
      <c r="AI830">
        <v>0</v>
      </c>
      <c r="AJ830">
        <v>100</v>
      </c>
      <c r="AK830">
        <v>115</v>
      </c>
      <c r="AL830">
        <v>345</v>
      </c>
      <c r="AM830">
        <v>120</v>
      </c>
      <c r="AN830">
        <v>0</v>
      </c>
      <c r="AO830">
        <v>120</v>
      </c>
      <c r="AP830" t="s">
        <v>80</v>
      </c>
      <c r="AQ830" t="s">
        <v>187</v>
      </c>
      <c r="AR830" t="s">
        <v>261</v>
      </c>
      <c r="AS830" t="s">
        <v>261</v>
      </c>
      <c r="AT830" t="s">
        <v>261</v>
      </c>
      <c r="AU830" t="s">
        <v>261</v>
      </c>
      <c r="AV830" t="s">
        <v>1033</v>
      </c>
      <c r="AW830" t="s">
        <v>69</v>
      </c>
      <c r="AX830" t="s">
        <v>218</v>
      </c>
      <c r="AY830" t="s">
        <v>1242</v>
      </c>
      <c r="AZ830" t="s">
        <v>243</v>
      </c>
      <c r="BA830" t="s">
        <v>244</v>
      </c>
      <c r="BB830" t="s">
        <v>244</v>
      </c>
      <c r="BC830" t="s">
        <v>244</v>
      </c>
      <c r="BD830" t="s">
        <v>1245</v>
      </c>
      <c r="BE830" t="s">
        <v>2709</v>
      </c>
      <c r="BF830" t="s">
        <v>786</v>
      </c>
      <c r="BG830" t="s">
        <v>110</v>
      </c>
      <c r="BH830" t="str">
        <f>IF(COUNTIF(工作表1!A:A, $C830)&gt;0, "預購款", "非預購款")</f>
        <v>非預購款</v>
      </c>
    </row>
    <row r="831" spans="1:60" x14ac:dyDescent="0.25">
      <c r="A831" t="s">
        <v>1236</v>
      </c>
      <c r="B831" t="s">
        <v>283</v>
      </c>
      <c r="C831" t="s">
        <v>1237</v>
      </c>
      <c r="D831" t="s">
        <v>1238</v>
      </c>
      <c r="E831" t="s">
        <v>1239</v>
      </c>
      <c r="F831" t="s">
        <v>181</v>
      </c>
      <c r="G831" t="s">
        <v>1240</v>
      </c>
      <c r="H831" t="s">
        <v>132</v>
      </c>
      <c r="I831" t="s">
        <v>97</v>
      </c>
      <c r="J831" t="s">
        <v>98</v>
      </c>
      <c r="K831" t="s">
        <v>69</v>
      </c>
      <c r="L831" t="s">
        <v>1241</v>
      </c>
      <c r="M831" t="s">
        <v>71</v>
      </c>
      <c r="N831" t="s">
        <v>100</v>
      </c>
      <c r="O831" t="s">
        <v>1136</v>
      </c>
      <c r="P831" t="s">
        <v>1137</v>
      </c>
      <c r="R831" t="s">
        <v>1138</v>
      </c>
      <c r="S831" t="s">
        <v>176</v>
      </c>
      <c r="T831" t="s">
        <v>76</v>
      </c>
      <c r="U831" t="s">
        <v>104</v>
      </c>
      <c r="V831" t="s">
        <v>653</v>
      </c>
      <c r="W831">
        <v>490</v>
      </c>
      <c r="X831">
        <v>22.99</v>
      </c>
      <c r="Y831">
        <v>60</v>
      </c>
      <c r="Z831">
        <v>355000</v>
      </c>
      <c r="AA831">
        <v>169050</v>
      </c>
      <c r="AB831">
        <v>178</v>
      </c>
      <c r="AD831" t="s">
        <v>238</v>
      </c>
      <c r="AE831">
        <v>1</v>
      </c>
      <c r="AF831">
        <v>0</v>
      </c>
      <c r="AI831">
        <v>0</v>
      </c>
      <c r="AJ831">
        <v>30</v>
      </c>
      <c r="AK831">
        <v>30</v>
      </c>
      <c r="AL831">
        <v>345</v>
      </c>
      <c r="AM831">
        <v>30</v>
      </c>
      <c r="AN831">
        <v>0</v>
      </c>
      <c r="AO831">
        <v>30</v>
      </c>
      <c r="AP831" t="s">
        <v>80</v>
      </c>
      <c r="AQ831" t="s">
        <v>187</v>
      </c>
      <c r="AR831" t="s">
        <v>261</v>
      </c>
      <c r="AS831" t="s">
        <v>261</v>
      </c>
      <c r="AT831" t="s">
        <v>261</v>
      </c>
      <c r="AU831" t="s">
        <v>261</v>
      </c>
      <c r="AV831" t="s">
        <v>1033</v>
      </c>
      <c r="AW831" t="s">
        <v>69</v>
      </c>
      <c r="AX831" t="s">
        <v>218</v>
      </c>
      <c r="AY831" t="s">
        <v>1242</v>
      </c>
      <c r="AZ831" t="s">
        <v>243</v>
      </c>
      <c r="BA831" t="s">
        <v>244</v>
      </c>
      <c r="BB831" t="s">
        <v>244</v>
      </c>
      <c r="BC831" t="s">
        <v>244</v>
      </c>
      <c r="BD831" t="s">
        <v>1246</v>
      </c>
      <c r="BE831" t="s">
        <v>2709</v>
      </c>
      <c r="BF831" t="s">
        <v>786</v>
      </c>
      <c r="BG831" t="s">
        <v>110</v>
      </c>
      <c r="BH831" t="str">
        <f>IF(COUNTIF(工作表1!A:A, $C831)&gt;0, "預購款", "非預購款")</f>
        <v>非預購款</v>
      </c>
    </row>
    <row r="832" spans="1:60" x14ac:dyDescent="0.25">
      <c r="A832" t="s">
        <v>2710</v>
      </c>
      <c r="B832" t="s">
        <v>315</v>
      </c>
      <c r="C832" t="s">
        <v>2711</v>
      </c>
      <c r="D832" t="s">
        <v>2712</v>
      </c>
      <c r="E832" t="s">
        <v>2713</v>
      </c>
      <c r="F832" t="s">
        <v>181</v>
      </c>
      <c r="G832" t="s">
        <v>2714</v>
      </c>
      <c r="H832" t="s">
        <v>119</v>
      </c>
      <c r="I832" t="s">
        <v>134</v>
      </c>
      <c r="J832" t="s">
        <v>135</v>
      </c>
      <c r="K832" t="s">
        <v>69</v>
      </c>
      <c r="L832" t="s">
        <v>2715</v>
      </c>
      <c r="M832" t="s">
        <v>71</v>
      </c>
      <c r="N832" t="s">
        <v>198</v>
      </c>
      <c r="O832" t="s">
        <v>2306</v>
      </c>
      <c r="P832" t="s">
        <v>2307</v>
      </c>
      <c r="R832" t="s">
        <v>2518</v>
      </c>
      <c r="S832" t="s">
        <v>176</v>
      </c>
      <c r="T832" t="s">
        <v>76</v>
      </c>
      <c r="U832" t="s">
        <v>383</v>
      </c>
      <c r="V832" t="s">
        <v>124</v>
      </c>
      <c r="W832">
        <v>1280</v>
      </c>
      <c r="X832">
        <v>49.99</v>
      </c>
      <c r="Y832">
        <v>169</v>
      </c>
      <c r="Z832">
        <v>919000</v>
      </c>
      <c r="AA832">
        <v>294400</v>
      </c>
      <c r="AB832">
        <v>458</v>
      </c>
      <c r="AD832" t="s">
        <v>238</v>
      </c>
      <c r="AE832">
        <v>1</v>
      </c>
      <c r="AF832">
        <v>5</v>
      </c>
      <c r="AI832">
        <v>40</v>
      </c>
      <c r="AJ832">
        <v>60</v>
      </c>
      <c r="AK832">
        <v>105</v>
      </c>
      <c r="AL832">
        <v>230</v>
      </c>
      <c r="AM832">
        <v>114</v>
      </c>
      <c r="AN832">
        <v>0</v>
      </c>
      <c r="AO832">
        <v>114</v>
      </c>
      <c r="AP832" t="s">
        <v>80</v>
      </c>
      <c r="AQ832" t="s">
        <v>2257</v>
      </c>
      <c r="AR832" t="s">
        <v>261</v>
      </c>
      <c r="AS832" t="s">
        <v>261</v>
      </c>
      <c r="AT832" t="s">
        <v>261</v>
      </c>
      <c r="AU832" t="s">
        <v>261</v>
      </c>
      <c r="AV832" t="s">
        <v>2519</v>
      </c>
      <c r="AW832" t="s">
        <v>69</v>
      </c>
      <c r="AX832" t="s">
        <v>2520</v>
      </c>
      <c r="AY832" t="s">
        <v>2716</v>
      </c>
      <c r="AZ832" t="s">
        <v>264</v>
      </c>
      <c r="BA832" t="s">
        <v>245</v>
      </c>
      <c r="BB832" t="s">
        <v>245</v>
      </c>
      <c r="BC832" t="s">
        <v>244</v>
      </c>
      <c r="BD832" t="s">
        <v>2717</v>
      </c>
      <c r="BE832" t="s">
        <v>2718</v>
      </c>
      <c r="BF832" t="s">
        <v>86</v>
      </c>
      <c r="BG832" t="s">
        <v>150</v>
      </c>
      <c r="BH832" t="str">
        <f>IF(COUNTIF(工作表1!A:A, $C832)&gt;0, "預購款", "非預購款")</f>
        <v>非預購款</v>
      </c>
    </row>
    <row r="833" spans="1:60" x14ac:dyDescent="0.25">
      <c r="A833" t="s">
        <v>2710</v>
      </c>
      <c r="B833" t="s">
        <v>315</v>
      </c>
      <c r="C833" t="s">
        <v>2711</v>
      </c>
      <c r="D833" t="s">
        <v>2712</v>
      </c>
      <c r="E833" t="s">
        <v>2713</v>
      </c>
      <c r="F833" t="s">
        <v>181</v>
      </c>
      <c r="G833" t="s">
        <v>2714</v>
      </c>
      <c r="H833" t="s">
        <v>130</v>
      </c>
      <c r="I833" t="s">
        <v>134</v>
      </c>
      <c r="J833" t="s">
        <v>135</v>
      </c>
      <c r="K833" t="s">
        <v>69</v>
      </c>
      <c r="L833" t="s">
        <v>2715</v>
      </c>
      <c r="M833" t="s">
        <v>71</v>
      </c>
      <c r="N833" t="s">
        <v>198</v>
      </c>
      <c r="O833" t="s">
        <v>2306</v>
      </c>
      <c r="P833" t="s">
        <v>2307</v>
      </c>
      <c r="R833" t="s">
        <v>2518</v>
      </c>
      <c r="S833" t="s">
        <v>176</v>
      </c>
      <c r="T833" t="s">
        <v>76</v>
      </c>
      <c r="U833" t="s">
        <v>383</v>
      </c>
      <c r="V833" t="s">
        <v>124</v>
      </c>
      <c r="W833">
        <v>1280</v>
      </c>
      <c r="X833">
        <v>49.99</v>
      </c>
      <c r="Y833">
        <v>169</v>
      </c>
      <c r="Z833">
        <v>919000</v>
      </c>
      <c r="AA833">
        <v>294400</v>
      </c>
      <c r="AB833">
        <v>458</v>
      </c>
      <c r="AD833" t="s">
        <v>238</v>
      </c>
      <c r="AE833">
        <v>1</v>
      </c>
      <c r="AF833">
        <v>5</v>
      </c>
      <c r="AI833">
        <v>20</v>
      </c>
      <c r="AJ833">
        <v>50</v>
      </c>
      <c r="AK833">
        <v>75</v>
      </c>
      <c r="AL833">
        <v>230</v>
      </c>
      <c r="AM833">
        <v>85</v>
      </c>
      <c r="AN833">
        <v>0</v>
      </c>
      <c r="AO833">
        <v>85</v>
      </c>
      <c r="AP833" t="s">
        <v>80</v>
      </c>
      <c r="AQ833" t="s">
        <v>2257</v>
      </c>
      <c r="AR833" t="s">
        <v>261</v>
      </c>
      <c r="AS833" t="s">
        <v>261</v>
      </c>
      <c r="AT833" t="s">
        <v>261</v>
      </c>
      <c r="AU833" t="s">
        <v>261</v>
      </c>
      <c r="AV833" t="s">
        <v>2519</v>
      </c>
      <c r="AW833" t="s">
        <v>69</v>
      </c>
      <c r="AX833" t="s">
        <v>2520</v>
      </c>
      <c r="AY833" t="s">
        <v>2716</v>
      </c>
      <c r="AZ833" t="s">
        <v>264</v>
      </c>
      <c r="BA833" t="s">
        <v>245</v>
      </c>
      <c r="BB833" t="s">
        <v>245</v>
      </c>
      <c r="BC833" t="s">
        <v>244</v>
      </c>
      <c r="BD833" t="s">
        <v>2719</v>
      </c>
      <c r="BE833" t="s">
        <v>2718</v>
      </c>
      <c r="BF833" t="s">
        <v>86</v>
      </c>
      <c r="BG833" t="s">
        <v>150</v>
      </c>
      <c r="BH833" t="str">
        <f>IF(COUNTIF(工作表1!A:A, $C833)&gt;0, "預購款", "非預購款")</f>
        <v>非預購款</v>
      </c>
    </row>
    <row r="834" spans="1:60" x14ac:dyDescent="0.25">
      <c r="A834" t="s">
        <v>2710</v>
      </c>
      <c r="B834" t="s">
        <v>315</v>
      </c>
      <c r="C834" t="s">
        <v>2711</v>
      </c>
      <c r="D834" t="s">
        <v>2712</v>
      </c>
      <c r="E834" t="s">
        <v>2713</v>
      </c>
      <c r="F834" t="s">
        <v>181</v>
      </c>
      <c r="G834" t="s">
        <v>2714</v>
      </c>
      <c r="H834" t="s">
        <v>132</v>
      </c>
      <c r="I834" t="s">
        <v>134</v>
      </c>
      <c r="J834" t="s">
        <v>135</v>
      </c>
      <c r="K834" t="s">
        <v>69</v>
      </c>
      <c r="L834" t="s">
        <v>2715</v>
      </c>
      <c r="M834" t="s">
        <v>71</v>
      </c>
      <c r="N834" t="s">
        <v>198</v>
      </c>
      <c r="O834" t="s">
        <v>2306</v>
      </c>
      <c r="P834" t="s">
        <v>2307</v>
      </c>
      <c r="R834" t="s">
        <v>2518</v>
      </c>
      <c r="S834" t="s">
        <v>176</v>
      </c>
      <c r="T834" t="s">
        <v>76</v>
      </c>
      <c r="U834" t="s">
        <v>383</v>
      </c>
      <c r="V834" t="s">
        <v>124</v>
      </c>
      <c r="W834">
        <v>1280</v>
      </c>
      <c r="X834">
        <v>49.99</v>
      </c>
      <c r="Y834">
        <v>169</v>
      </c>
      <c r="Z834">
        <v>919000</v>
      </c>
      <c r="AA834">
        <v>294400</v>
      </c>
      <c r="AB834">
        <v>458</v>
      </c>
      <c r="AD834" t="s">
        <v>238</v>
      </c>
      <c r="AE834">
        <v>1</v>
      </c>
      <c r="AF834">
        <v>0</v>
      </c>
      <c r="AI834">
        <v>20</v>
      </c>
      <c r="AJ834">
        <v>30</v>
      </c>
      <c r="AK834">
        <v>50</v>
      </c>
      <c r="AL834">
        <v>230</v>
      </c>
      <c r="AM834">
        <v>58</v>
      </c>
      <c r="AN834">
        <v>0</v>
      </c>
      <c r="AO834">
        <v>58</v>
      </c>
      <c r="AP834" t="s">
        <v>80</v>
      </c>
      <c r="AQ834" t="s">
        <v>2257</v>
      </c>
      <c r="AR834" t="s">
        <v>261</v>
      </c>
      <c r="AS834" t="s">
        <v>261</v>
      </c>
      <c r="AT834" t="s">
        <v>261</v>
      </c>
      <c r="AU834" t="s">
        <v>261</v>
      </c>
      <c r="AV834" t="s">
        <v>2519</v>
      </c>
      <c r="AW834" t="s">
        <v>69</v>
      </c>
      <c r="AX834" t="s">
        <v>2520</v>
      </c>
      <c r="AY834" t="s">
        <v>2716</v>
      </c>
      <c r="AZ834" t="s">
        <v>264</v>
      </c>
      <c r="BA834" t="s">
        <v>245</v>
      </c>
      <c r="BB834" t="s">
        <v>245</v>
      </c>
      <c r="BC834" t="s">
        <v>244</v>
      </c>
      <c r="BD834" t="s">
        <v>2720</v>
      </c>
      <c r="BE834" t="s">
        <v>2718</v>
      </c>
      <c r="BF834" t="s">
        <v>86</v>
      </c>
      <c r="BG834" t="s">
        <v>150</v>
      </c>
      <c r="BH834" t="str">
        <f>IF(COUNTIF(工作表1!A:A, $C834)&gt;0, "預購款", "非預購款")</f>
        <v>非預購款</v>
      </c>
    </row>
    <row r="835" spans="1:60" x14ac:dyDescent="0.25">
      <c r="A835" t="s">
        <v>2721</v>
      </c>
      <c r="B835" t="s">
        <v>315</v>
      </c>
      <c r="C835" t="s">
        <v>2722</v>
      </c>
      <c r="D835" t="s">
        <v>2723</v>
      </c>
      <c r="E835" t="s">
        <v>2724</v>
      </c>
      <c r="F835" t="s">
        <v>181</v>
      </c>
      <c r="G835" t="s">
        <v>2725</v>
      </c>
      <c r="H835" t="s">
        <v>119</v>
      </c>
      <c r="I835" t="s">
        <v>97</v>
      </c>
      <c r="J835" t="s">
        <v>98</v>
      </c>
      <c r="K835" t="s">
        <v>69</v>
      </c>
      <c r="L835" t="s">
        <v>2726</v>
      </c>
      <c r="M835" t="s">
        <v>71</v>
      </c>
      <c r="N835" t="s">
        <v>100</v>
      </c>
      <c r="O835" t="s">
        <v>2306</v>
      </c>
      <c r="P835" t="s">
        <v>2307</v>
      </c>
      <c r="R835" t="s">
        <v>1588</v>
      </c>
      <c r="S835" t="s">
        <v>176</v>
      </c>
      <c r="T835" t="s">
        <v>258</v>
      </c>
      <c r="U835" t="s">
        <v>383</v>
      </c>
      <c r="V835" t="s">
        <v>384</v>
      </c>
      <c r="W835">
        <v>890</v>
      </c>
      <c r="X835">
        <v>39.99</v>
      </c>
      <c r="Y835">
        <v>115</v>
      </c>
      <c r="Z835">
        <v>639000</v>
      </c>
      <c r="AA835">
        <v>80100</v>
      </c>
      <c r="AB835">
        <v>485</v>
      </c>
      <c r="AD835" t="s">
        <v>238</v>
      </c>
      <c r="AE835">
        <v>1</v>
      </c>
      <c r="AF835">
        <v>0</v>
      </c>
      <c r="AI835">
        <v>0</v>
      </c>
      <c r="AJ835">
        <v>50</v>
      </c>
      <c r="AK835">
        <v>50</v>
      </c>
      <c r="AL835">
        <v>90</v>
      </c>
      <c r="AM835">
        <v>58</v>
      </c>
      <c r="AN835">
        <v>0</v>
      </c>
      <c r="AO835">
        <v>58</v>
      </c>
      <c r="AP835" t="s">
        <v>80</v>
      </c>
      <c r="AQ835" t="s">
        <v>187</v>
      </c>
      <c r="AR835" t="s">
        <v>86</v>
      </c>
      <c r="AS835" t="s">
        <v>86</v>
      </c>
      <c r="AT835" t="s">
        <v>86</v>
      </c>
      <c r="AU835" t="s">
        <v>86</v>
      </c>
      <c r="AV835" t="s">
        <v>799</v>
      </c>
      <c r="AW835" t="s">
        <v>69</v>
      </c>
      <c r="AX835" t="s">
        <v>2727</v>
      </c>
      <c r="AY835" t="s">
        <v>1819</v>
      </c>
      <c r="AZ835" t="s">
        <v>244</v>
      </c>
      <c r="BA835" t="s">
        <v>245</v>
      </c>
      <c r="BB835" t="s">
        <v>245</v>
      </c>
      <c r="BC835" t="s">
        <v>245</v>
      </c>
      <c r="BD835" t="s">
        <v>2728</v>
      </c>
      <c r="BE835" t="s">
        <v>2729</v>
      </c>
      <c r="BF835" t="s">
        <v>240</v>
      </c>
      <c r="BG835" t="s">
        <v>110</v>
      </c>
      <c r="BH835" t="str">
        <f>IF(COUNTIF(工作表1!A:A, $C835)&gt;0, "預購款", "非預購款")</f>
        <v>非預購款</v>
      </c>
    </row>
    <row r="836" spans="1:60" x14ac:dyDescent="0.25">
      <c r="A836" t="s">
        <v>2721</v>
      </c>
      <c r="B836" t="s">
        <v>315</v>
      </c>
      <c r="C836" t="s">
        <v>2722</v>
      </c>
      <c r="D836" t="s">
        <v>2723</v>
      </c>
      <c r="E836" t="s">
        <v>2724</v>
      </c>
      <c r="F836" t="s">
        <v>181</v>
      </c>
      <c r="G836" t="s">
        <v>2725</v>
      </c>
      <c r="H836" t="s">
        <v>130</v>
      </c>
      <c r="I836" t="s">
        <v>97</v>
      </c>
      <c r="J836" t="s">
        <v>98</v>
      </c>
      <c r="K836" t="s">
        <v>69</v>
      </c>
      <c r="L836" t="s">
        <v>2726</v>
      </c>
      <c r="M836" t="s">
        <v>71</v>
      </c>
      <c r="N836" t="s">
        <v>100</v>
      </c>
      <c r="O836" t="s">
        <v>2306</v>
      </c>
      <c r="P836" t="s">
        <v>2307</v>
      </c>
      <c r="R836" t="s">
        <v>1588</v>
      </c>
      <c r="S836" t="s">
        <v>176</v>
      </c>
      <c r="T836" t="s">
        <v>258</v>
      </c>
      <c r="U836" t="s">
        <v>383</v>
      </c>
      <c r="V836" t="s">
        <v>384</v>
      </c>
      <c r="W836">
        <v>890</v>
      </c>
      <c r="X836">
        <v>39.99</v>
      </c>
      <c r="Y836">
        <v>115</v>
      </c>
      <c r="Z836">
        <v>639000</v>
      </c>
      <c r="AA836">
        <v>80100</v>
      </c>
      <c r="AB836">
        <v>485</v>
      </c>
      <c r="AD836" t="s">
        <v>238</v>
      </c>
      <c r="AE836">
        <v>1</v>
      </c>
      <c r="AF836">
        <v>0</v>
      </c>
      <c r="AI836">
        <v>0</v>
      </c>
      <c r="AJ836">
        <v>30</v>
      </c>
      <c r="AK836">
        <v>30</v>
      </c>
      <c r="AL836">
        <v>90</v>
      </c>
      <c r="AM836">
        <v>36</v>
      </c>
      <c r="AN836">
        <v>0</v>
      </c>
      <c r="AO836">
        <v>36</v>
      </c>
      <c r="AP836" t="s">
        <v>80</v>
      </c>
      <c r="AQ836" t="s">
        <v>187</v>
      </c>
      <c r="AR836" t="s">
        <v>86</v>
      </c>
      <c r="AS836" t="s">
        <v>86</v>
      </c>
      <c r="AT836" t="s">
        <v>86</v>
      </c>
      <c r="AU836" t="s">
        <v>86</v>
      </c>
      <c r="AV836" t="s">
        <v>799</v>
      </c>
      <c r="AW836" t="s">
        <v>69</v>
      </c>
      <c r="AX836" t="s">
        <v>2727</v>
      </c>
      <c r="AY836" t="s">
        <v>1819</v>
      </c>
      <c r="AZ836" t="s">
        <v>244</v>
      </c>
      <c r="BA836" t="s">
        <v>245</v>
      </c>
      <c r="BB836" t="s">
        <v>245</v>
      </c>
      <c r="BC836" t="s">
        <v>245</v>
      </c>
      <c r="BD836" t="s">
        <v>2730</v>
      </c>
      <c r="BE836" t="s">
        <v>2729</v>
      </c>
      <c r="BF836" t="s">
        <v>240</v>
      </c>
      <c r="BG836" t="s">
        <v>110</v>
      </c>
      <c r="BH836" t="str">
        <f>IF(COUNTIF(工作表1!A:A, $C836)&gt;0, "預購款", "非預購款")</f>
        <v>非預購款</v>
      </c>
    </row>
    <row r="837" spans="1:60" x14ac:dyDescent="0.25">
      <c r="A837" t="s">
        <v>2721</v>
      </c>
      <c r="B837" t="s">
        <v>315</v>
      </c>
      <c r="C837" t="s">
        <v>2722</v>
      </c>
      <c r="D837" t="s">
        <v>2723</v>
      </c>
      <c r="E837" t="s">
        <v>2724</v>
      </c>
      <c r="F837" t="s">
        <v>181</v>
      </c>
      <c r="G837" t="s">
        <v>2725</v>
      </c>
      <c r="H837" t="s">
        <v>132</v>
      </c>
      <c r="I837" t="s">
        <v>97</v>
      </c>
      <c r="J837" t="s">
        <v>98</v>
      </c>
      <c r="K837" t="s">
        <v>69</v>
      </c>
      <c r="L837" t="s">
        <v>2726</v>
      </c>
      <c r="M837" t="s">
        <v>71</v>
      </c>
      <c r="N837" t="s">
        <v>100</v>
      </c>
      <c r="O837" t="s">
        <v>2306</v>
      </c>
      <c r="P837" t="s">
        <v>2307</v>
      </c>
      <c r="R837" t="s">
        <v>1588</v>
      </c>
      <c r="S837" t="s">
        <v>176</v>
      </c>
      <c r="T837" t="s">
        <v>258</v>
      </c>
      <c r="U837" t="s">
        <v>383</v>
      </c>
      <c r="V837" t="s">
        <v>384</v>
      </c>
      <c r="W837">
        <v>890</v>
      </c>
      <c r="X837">
        <v>39.99</v>
      </c>
      <c r="Y837">
        <v>115</v>
      </c>
      <c r="Z837">
        <v>639000</v>
      </c>
      <c r="AA837">
        <v>80100</v>
      </c>
      <c r="AB837">
        <v>485</v>
      </c>
      <c r="AD837" t="s">
        <v>238</v>
      </c>
      <c r="AE837">
        <v>1</v>
      </c>
      <c r="AF837">
        <v>0</v>
      </c>
      <c r="AI837">
        <v>0</v>
      </c>
      <c r="AJ837">
        <v>10</v>
      </c>
      <c r="AK837">
        <v>10</v>
      </c>
      <c r="AL837">
        <v>90</v>
      </c>
      <c r="AM837">
        <v>15</v>
      </c>
      <c r="AN837">
        <v>0</v>
      </c>
      <c r="AO837">
        <v>15</v>
      </c>
      <c r="AP837" t="s">
        <v>80</v>
      </c>
      <c r="AQ837" t="s">
        <v>187</v>
      </c>
      <c r="AR837" t="s">
        <v>86</v>
      </c>
      <c r="AS837" t="s">
        <v>86</v>
      </c>
      <c r="AT837" t="s">
        <v>86</v>
      </c>
      <c r="AU837" t="s">
        <v>86</v>
      </c>
      <c r="AV837" t="s">
        <v>799</v>
      </c>
      <c r="AW837" t="s">
        <v>69</v>
      </c>
      <c r="AX837" t="s">
        <v>2727</v>
      </c>
      <c r="AY837" t="s">
        <v>1819</v>
      </c>
      <c r="AZ837" t="s">
        <v>244</v>
      </c>
      <c r="BA837" t="s">
        <v>245</v>
      </c>
      <c r="BB837" t="s">
        <v>245</v>
      </c>
      <c r="BC837" t="s">
        <v>245</v>
      </c>
      <c r="BD837" t="s">
        <v>2731</v>
      </c>
      <c r="BE837" t="s">
        <v>2729</v>
      </c>
      <c r="BF837" t="s">
        <v>240</v>
      </c>
      <c r="BG837" t="s">
        <v>110</v>
      </c>
      <c r="BH837" t="str">
        <f>IF(COUNTIF(工作表1!A:A, $C837)&gt;0, "預購款", "非預購款")</f>
        <v>非預購款</v>
      </c>
    </row>
    <row r="838" spans="1:60" x14ac:dyDescent="0.25">
      <c r="A838" t="s">
        <v>2732</v>
      </c>
      <c r="B838" t="s">
        <v>315</v>
      </c>
      <c r="C838" t="s">
        <v>2733</v>
      </c>
      <c r="D838" t="s">
        <v>2734</v>
      </c>
      <c r="E838" t="s">
        <v>2735</v>
      </c>
      <c r="F838" t="s">
        <v>181</v>
      </c>
      <c r="G838" t="s">
        <v>2736</v>
      </c>
      <c r="H838" t="s">
        <v>119</v>
      </c>
      <c r="I838" t="s">
        <v>120</v>
      </c>
      <c r="J838" t="s">
        <v>121</v>
      </c>
      <c r="K838" t="s">
        <v>69</v>
      </c>
      <c r="L838" t="s">
        <v>2737</v>
      </c>
      <c r="M838" t="s">
        <v>71</v>
      </c>
      <c r="N838" t="s">
        <v>198</v>
      </c>
      <c r="O838" t="s">
        <v>2597</v>
      </c>
      <c r="P838" t="s">
        <v>2598</v>
      </c>
      <c r="R838" t="s">
        <v>2599</v>
      </c>
      <c r="S838" t="s">
        <v>176</v>
      </c>
      <c r="T838" t="s">
        <v>76</v>
      </c>
      <c r="U838" t="s">
        <v>383</v>
      </c>
      <c r="V838" t="s">
        <v>384</v>
      </c>
      <c r="W838">
        <v>990</v>
      </c>
      <c r="X838">
        <v>39.99</v>
      </c>
      <c r="Y838">
        <v>129</v>
      </c>
      <c r="Z838">
        <v>709000</v>
      </c>
      <c r="AA838">
        <v>1093950</v>
      </c>
      <c r="AB838">
        <v>424</v>
      </c>
      <c r="AD838" t="s">
        <v>238</v>
      </c>
      <c r="AE838">
        <v>2</v>
      </c>
      <c r="AF838">
        <v>25</v>
      </c>
      <c r="AI838">
        <v>15</v>
      </c>
      <c r="AJ838">
        <v>200</v>
      </c>
      <c r="AK838">
        <v>240</v>
      </c>
      <c r="AL838">
        <v>1105</v>
      </c>
      <c r="AM838">
        <v>242</v>
      </c>
      <c r="AN838">
        <v>0</v>
      </c>
      <c r="AO838">
        <v>242</v>
      </c>
      <c r="AP838" t="s">
        <v>80</v>
      </c>
      <c r="AQ838" t="s">
        <v>2257</v>
      </c>
      <c r="AR838" t="s">
        <v>240</v>
      </c>
      <c r="AS838" t="s">
        <v>240</v>
      </c>
      <c r="AT838" t="s">
        <v>240</v>
      </c>
      <c r="AU838" t="s">
        <v>240</v>
      </c>
      <c r="AV838" t="s">
        <v>2738</v>
      </c>
      <c r="AW838" t="s">
        <v>80</v>
      </c>
      <c r="AX838" t="s">
        <v>2739</v>
      </c>
      <c r="AY838" t="s">
        <v>2740</v>
      </c>
      <c r="AZ838" t="s">
        <v>264</v>
      </c>
      <c r="BA838" t="s">
        <v>245</v>
      </c>
      <c r="BB838" t="s">
        <v>244</v>
      </c>
      <c r="BC838" t="s">
        <v>244</v>
      </c>
      <c r="BD838" t="s">
        <v>2741</v>
      </c>
      <c r="BE838" t="s">
        <v>2742</v>
      </c>
      <c r="BF838" t="s">
        <v>86</v>
      </c>
      <c r="BG838" t="s">
        <v>110</v>
      </c>
      <c r="BH838" t="str">
        <f>IF(COUNTIF(工作表1!A:A, $C838)&gt;0, "預購款", "非預購款")</f>
        <v>非預購款</v>
      </c>
    </row>
    <row r="839" spans="1:60" x14ac:dyDescent="0.25">
      <c r="A839" t="s">
        <v>2732</v>
      </c>
      <c r="B839" t="s">
        <v>315</v>
      </c>
      <c r="C839" t="s">
        <v>2733</v>
      </c>
      <c r="D839" t="s">
        <v>2734</v>
      </c>
      <c r="E839" t="s">
        <v>2735</v>
      </c>
      <c r="F839" t="s">
        <v>181</v>
      </c>
      <c r="G839" t="s">
        <v>2736</v>
      </c>
      <c r="H839" t="s">
        <v>130</v>
      </c>
      <c r="I839" t="s">
        <v>120</v>
      </c>
      <c r="J839" t="s">
        <v>121</v>
      </c>
      <c r="K839" t="s">
        <v>69</v>
      </c>
      <c r="L839" t="s">
        <v>2737</v>
      </c>
      <c r="M839" t="s">
        <v>71</v>
      </c>
      <c r="N839" t="s">
        <v>198</v>
      </c>
      <c r="O839" t="s">
        <v>2597</v>
      </c>
      <c r="P839" t="s">
        <v>2598</v>
      </c>
      <c r="R839" t="s">
        <v>2599</v>
      </c>
      <c r="S839" t="s">
        <v>176</v>
      </c>
      <c r="T839" t="s">
        <v>76</v>
      </c>
      <c r="U839" t="s">
        <v>383</v>
      </c>
      <c r="V839" t="s">
        <v>384</v>
      </c>
      <c r="W839">
        <v>990</v>
      </c>
      <c r="X839">
        <v>39.99</v>
      </c>
      <c r="Y839">
        <v>129</v>
      </c>
      <c r="Z839">
        <v>709000</v>
      </c>
      <c r="AA839">
        <v>1093950</v>
      </c>
      <c r="AB839">
        <v>424</v>
      </c>
      <c r="AD839" t="s">
        <v>238</v>
      </c>
      <c r="AE839">
        <v>2</v>
      </c>
      <c r="AF839">
        <v>15</v>
      </c>
      <c r="AI839">
        <v>15</v>
      </c>
      <c r="AJ839">
        <v>170</v>
      </c>
      <c r="AK839">
        <v>200</v>
      </c>
      <c r="AL839">
        <v>1105</v>
      </c>
      <c r="AM839">
        <v>200</v>
      </c>
      <c r="AN839">
        <v>0</v>
      </c>
      <c r="AO839">
        <v>200</v>
      </c>
      <c r="AP839" t="s">
        <v>80</v>
      </c>
      <c r="AQ839" t="s">
        <v>2257</v>
      </c>
      <c r="AR839" t="s">
        <v>240</v>
      </c>
      <c r="AS839" t="s">
        <v>240</v>
      </c>
      <c r="AT839" t="s">
        <v>240</v>
      </c>
      <c r="AU839" t="s">
        <v>240</v>
      </c>
      <c r="AV839" t="s">
        <v>2738</v>
      </c>
      <c r="AW839" t="s">
        <v>80</v>
      </c>
      <c r="AX839" t="s">
        <v>2739</v>
      </c>
      <c r="AY839" t="s">
        <v>2740</v>
      </c>
      <c r="AZ839" t="s">
        <v>264</v>
      </c>
      <c r="BA839" t="s">
        <v>245</v>
      </c>
      <c r="BB839" t="s">
        <v>244</v>
      </c>
      <c r="BC839" t="s">
        <v>244</v>
      </c>
      <c r="BD839" t="s">
        <v>2743</v>
      </c>
      <c r="BE839" t="s">
        <v>2742</v>
      </c>
      <c r="BF839" t="s">
        <v>86</v>
      </c>
      <c r="BG839" t="s">
        <v>110</v>
      </c>
      <c r="BH839" t="str">
        <f>IF(COUNTIF(工作表1!A:A, $C839)&gt;0, "預購款", "非預購款")</f>
        <v>非預購款</v>
      </c>
    </row>
    <row r="840" spans="1:60" x14ac:dyDescent="0.25">
      <c r="A840" t="s">
        <v>2732</v>
      </c>
      <c r="B840" t="s">
        <v>315</v>
      </c>
      <c r="C840" t="s">
        <v>2733</v>
      </c>
      <c r="D840" t="s">
        <v>2734</v>
      </c>
      <c r="E840" t="s">
        <v>2735</v>
      </c>
      <c r="F840" t="s">
        <v>181</v>
      </c>
      <c r="G840" t="s">
        <v>2736</v>
      </c>
      <c r="H840" t="s">
        <v>132</v>
      </c>
      <c r="I840" t="s">
        <v>120</v>
      </c>
      <c r="J840" t="s">
        <v>121</v>
      </c>
      <c r="K840" t="s">
        <v>69</v>
      </c>
      <c r="L840" t="s">
        <v>2737</v>
      </c>
      <c r="M840" t="s">
        <v>71</v>
      </c>
      <c r="N840" t="s">
        <v>198</v>
      </c>
      <c r="O840" t="s">
        <v>2597</v>
      </c>
      <c r="P840" t="s">
        <v>2598</v>
      </c>
      <c r="R840" t="s">
        <v>2599</v>
      </c>
      <c r="S840" t="s">
        <v>176</v>
      </c>
      <c r="T840" t="s">
        <v>76</v>
      </c>
      <c r="U840" t="s">
        <v>383</v>
      </c>
      <c r="V840" t="s">
        <v>384</v>
      </c>
      <c r="W840">
        <v>990</v>
      </c>
      <c r="X840">
        <v>39.99</v>
      </c>
      <c r="Y840">
        <v>129</v>
      </c>
      <c r="Z840">
        <v>709000</v>
      </c>
      <c r="AA840">
        <v>1093950</v>
      </c>
      <c r="AB840">
        <v>424</v>
      </c>
      <c r="AD840" t="s">
        <v>238</v>
      </c>
      <c r="AE840">
        <v>2</v>
      </c>
      <c r="AF840">
        <v>10</v>
      </c>
      <c r="AI840">
        <v>15</v>
      </c>
      <c r="AJ840">
        <v>60</v>
      </c>
      <c r="AK840">
        <v>85</v>
      </c>
      <c r="AL840">
        <v>1105</v>
      </c>
      <c r="AM840">
        <v>90</v>
      </c>
      <c r="AN840">
        <v>0</v>
      </c>
      <c r="AO840">
        <v>90</v>
      </c>
      <c r="AP840" t="s">
        <v>80</v>
      </c>
      <c r="AQ840" t="s">
        <v>2257</v>
      </c>
      <c r="AR840" t="s">
        <v>240</v>
      </c>
      <c r="AS840" t="s">
        <v>240</v>
      </c>
      <c r="AT840" t="s">
        <v>240</v>
      </c>
      <c r="AU840" t="s">
        <v>240</v>
      </c>
      <c r="AV840" t="s">
        <v>2738</v>
      </c>
      <c r="AW840" t="s">
        <v>80</v>
      </c>
      <c r="AX840" t="s">
        <v>2739</v>
      </c>
      <c r="AY840" t="s">
        <v>2740</v>
      </c>
      <c r="AZ840" t="s">
        <v>264</v>
      </c>
      <c r="BA840" t="s">
        <v>245</v>
      </c>
      <c r="BB840" t="s">
        <v>244</v>
      </c>
      <c r="BC840" t="s">
        <v>244</v>
      </c>
      <c r="BD840" t="s">
        <v>2744</v>
      </c>
      <c r="BE840" t="s">
        <v>2742</v>
      </c>
      <c r="BF840" t="s">
        <v>86</v>
      </c>
      <c r="BG840" t="s">
        <v>110</v>
      </c>
      <c r="BH840" t="str">
        <f>IF(COUNTIF(工作表1!A:A, $C840)&gt;0, "預購款", "非預購款")</f>
        <v>非預購款</v>
      </c>
    </row>
    <row r="841" spans="1:60" x14ac:dyDescent="0.25">
      <c r="A841" t="s">
        <v>2732</v>
      </c>
      <c r="B841" t="s">
        <v>315</v>
      </c>
      <c r="C841" t="s">
        <v>2733</v>
      </c>
      <c r="D841" t="s">
        <v>2734</v>
      </c>
      <c r="E841" t="s">
        <v>2735</v>
      </c>
      <c r="F841" t="s">
        <v>181</v>
      </c>
      <c r="G841" t="s">
        <v>2736</v>
      </c>
      <c r="H841" t="s">
        <v>119</v>
      </c>
      <c r="I841" t="s">
        <v>88</v>
      </c>
      <c r="J841" t="s">
        <v>89</v>
      </c>
      <c r="K841" t="s">
        <v>69</v>
      </c>
      <c r="L841" t="s">
        <v>2737</v>
      </c>
      <c r="M841" t="s">
        <v>71</v>
      </c>
      <c r="N841" t="s">
        <v>198</v>
      </c>
      <c r="O841" t="s">
        <v>2597</v>
      </c>
      <c r="P841" t="s">
        <v>2598</v>
      </c>
      <c r="R841" t="s">
        <v>2599</v>
      </c>
      <c r="S841" t="s">
        <v>176</v>
      </c>
      <c r="T841" t="s">
        <v>76</v>
      </c>
      <c r="U841" t="s">
        <v>383</v>
      </c>
      <c r="V841" t="s">
        <v>384</v>
      </c>
      <c r="W841">
        <v>990</v>
      </c>
      <c r="X841">
        <v>39.99</v>
      </c>
      <c r="Y841">
        <v>129</v>
      </c>
      <c r="Z841">
        <v>709000</v>
      </c>
      <c r="AA841">
        <v>1093950</v>
      </c>
      <c r="AB841">
        <v>424</v>
      </c>
      <c r="AD841" t="s">
        <v>238</v>
      </c>
      <c r="AE841">
        <v>2</v>
      </c>
      <c r="AF841">
        <v>50</v>
      </c>
      <c r="AI841">
        <v>15</v>
      </c>
      <c r="AJ841">
        <v>160</v>
      </c>
      <c r="AK841">
        <v>225</v>
      </c>
      <c r="AL841">
        <v>1105</v>
      </c>
      <c r="AM841">
        <v>230</v>
      </c>
      <c r="AN841">
        <v>0</v>
      </c>
      <c r="AO841">
        <v>230</v>
      </c>
      <c r="AP841" t="s">
        <v>80</v>
      </c>
      <c r="AQ841" t="s">
        <v>2257</v>
      </c>
      <c r="AR841" t="s">
        <v>240</v>
      </c>
      <c r="AS841" t="s">
        <v>240</v>
      </c>
      <c r="AT841" t="s">
        <v>240</v>
      </c>
      <c r="AU841" t="s">
        <v>240</v>
      </c>
      <c r="AV841" t="s">
        <v>2738</v>
      </c>
      <c r="AW841" t="s">
        <v>80</v>
      </c>
      <c r="AX841" t="s">
        <v>2739</v>
      </c>
      <c r="AY841" t="s">
        <v>2740</v>
      </c>
      <c r="AZ841" t="s">
        <v>264</v>
      </c>
      <c r="BA841" t="s">
        <v>245</v>
      </c>
      <c r="BB841" t="s">
        <v>244</v>
      </c>
      <c r="BC841" t="s">
        <v>244</v>
      </c>
      <c r="BD841" t="s">
        <v>2745</v>
      </c>
      <c r="BE841" t="s">
        <v>2742</v>
      </c>
      <c r="BF841" t="s">
        <v>86</v>
      </c>
      <c r="BG841" t="s">
        <v>110</v>
      </c>
      <c r="BH841" t="str">
        <f>IF(COUNTIF(工作表1!A:A, $C841)&gt;0, "預購款", "非預購款")</f>
        <v>非預購款</v>
      </c>
    </row>
    <row r="842" spans="1:60" x14ac:dyDescent="0.25">
      <c r="A842" t="s">
        <v>2732</v>
      </c>
      <c r="B842" t="s">
        <v>315</v>
      </c>
      <c r="C842" t="s">
        <v>2733</v>
      </c>
      <c r="D842" t="s">
        <v>2734</v>
      </c>
      <c r="E842" t="s">
        <v>2735</v>
      </c>
      <c r="F842" t="s">
        <v>181</v>
      </c>
      <c r="G842" t="s">
        <v>2736</v>
      </c>
      <c r="H842" t="s">
        <v>130</v>
      </c>
      <c r="I842" t="s">
        <v>88</v>
      </c>
      <c r="J842" t="s">
        <v>89</v>
      </c>
      <c r="K842" t="s">
        <v>69</v>
      </c>
      <c r="L842" t="s">
        <v>2737</v>
      </c>
      <c r="M842" t="s">
        <v>71</v>
      </c>
      <c r="N842" t="s">
        <v>198</v>
      </c>
      <c r="O842" t="s">
        <v>2597</v>
      </c>
      <c r="P842" t="s">
        <v>2598</v>
      </c>
      <c r="R842" t="s">
        <v>2599</v>
      </c>
      <c r="S842" t="s">
        <v>176</v>
      </c>
      <c r="T842" t="s">
        <v>76</v>
      </c>
      <c r="U842" t="s">
        <v>383</v>
      </c>
      <c r="V842" t="s">
        <v>384</v>
      </c>
      <c r="W842">
        <v>990</v>
      </c>
      <c r="X842">
        <v>39.99</v>
      </c>
      <c r="Y842">
        <v>129</v>
      </c>
      <c r="Z842">
        <v>709000</v>
      </c>
      <c r="AA842">
        <v>1093950</v>
      </c>
      <c r="AB842">
        <v>424</v>
      </c>
      <c r="AD842" t="s">
        <v>238</v>
      </c>
      <c r="AE842">
        <v>2</v>
      </c>
      <c r="AF842">
        <v>35</v>
      </c>
      <c r="AI842">
        <v>15</v>
      </c>
      <c r="AJ842">
        <v>200</v>
      </c>
      <c r="AK842">
        <v>250</v>
      </c>
      <c r="AL842">
        <v>1105</v>
      </c>
      <c r="AM842">
        <v>251</v>
      </c>
      <c r="AN842">
        <v>0</v>
      </c>
      <c r="AO842">
        <v>251</v>
      </c>
      <c r="AP842" t="s">
        <v>80</v>
      </c>
      <c r="AQ842" t="s">
        <v>2257</v>
      </c>
      <c r="AR842" t="s">
        <v>240</v>
      </c>
      <c r="AS842" t="s">
        <v>240</v>
      </c>
      <c r="AT842" t="s">
        <v>240</v>
      </c>
      <c r="AU842" t="s">
        <v>240</v>
      </c>
      <c r="AV842" t="s">
        <v>2738</v>
      </c>
      <c r="AW842" t="s">
        <v>80</v>
      </c>
      <c r="AX842" t="s">
        <v>2739</v>
      </c>
      <c r="AY842" t="s">
        <v>2740</v>
      </c>
      <c r="AZ842" t="s">
        <v>264</v>
      </c>
      <c r="BA842" t="s">
        <v>245</v>
      </c>
      <c r="BB842" t="s">
        <v>244</v>
      </c>
      <c r="BC842" t="s">
        <v>244</v>
      </c>
      <c r="BD842" t="s">
        <v>2746</v>
      </c>
      <c r="BE842" t="s">
        <v>2742</v>
      </c>
      <c r="BF842" t="s">
        <v>86</v>
      </c>
      <c r="BG842" t="s">
        <v>110</v>
      </c>
      <c r="BH842" t="str">
        <f>IF(COUNTIF(工作表1!A:A, $C842)&gt;0, "預購款", "非預購款")</f>
        <v>非預購款</v>
      </c>
    </row>
    <row r="843" spans="1:60" x14ac:dyDescent="0.25">
      <c r="A843" t="s">
        <v>2732</v>
      </c>
      <c r="B843" t="s">
        <v>315</v>
      </c>
      <c r="C843" t="s">
        <v>2733</v>
      </c>
      <c r="D843" t="s">
        <v>2734</v>
      </c>
      <c r="E843" t="s">
        <v>2735</v>
      </c>
      <c r="F843" t="s">
        <v>181</v>
      </c>
      <c r="G843" t="s">
        <v>2736</v>
      </c>
      <c r="H843" t="s">
        <v>132</v>
      </c>
      <c r="I843" t="s">
        <v>88</v>
      </c>
      <c r="J843" t="s">
        <v>89</v>
      </c>
      <c r="K843" t="s">
        <v>69</v>
      </c>
      <c r="L843" t="s">
        <v>2737</v>
      </c>
      <c r="M843" t="s">
        <v>71</v>
      </c>
      <c r="N843" t="s">
        <v>198</v>
      </c>
      <c r="O843" t="s">
        <v>2597</v>
      </c>
      <c r="P843" t="s">
        <v>2598</v>
      </c>
      <c r="R843" t="s">
        <v>2599</v>
      </c>
      <c r="S843" t="s">
        <v>176</v>
      </c>
      <c r="T843" t="s">
        <v>76</v>
      </c>
      <c r="U843" t="s">
        <v>383</v>
      </c>
      <c r="V843" t="s">
        <v>384</v>
      </c>
      <c r="W843">
        <v>990</v>
      </c>
      <c r="X843">
        <v>39.99</v>
      </c>
      <c r="Y843">
        <v>129</v>
      </c>
      <c r="Z843">
        <v>709000</v>
      </c>
      <c r="AA843">
        <v>1093950</v>
      </c>
      <c r="AB843">
        <v>424</v>
      </c>
      <c r="AD843" t="s">
        <v>238</v>
      </c>
      <c r="AE843">
        <v>2</v>
      </c>
      <c r="AF843">
        <v>10</v>
      </c>
      <c r="AI843">
        <v>15</v>
      </c>
      <c r="AJ843">
        <v>80</v>
      </c>
      <c r="AK843">
        <v>105</v>
      </c>
      <c r="AL843">
        <v>1105</v>
      </c>
      <c r="AM843">
        <v>110</v>
      </c>
      <c r="AN843">
        <v>0</v>
      </c>
      <c r="AO843">
        <v>110</v>
      </c>
      <c r="AP843" t="s">
        <v>80</v>
      </c>
      <c r="AQ843" t="s">
        <v>2257</v>
      </c>
      <c r="AR843" t="s">
        <v>240</v>
      </c>
      <c r="AS843" t="s">
        <v>240</v>
      </c>
      <c r="AT843" t="s">
        <v>240</v>
      </c>
      <c r="AU843" t="s">
        <v>240</v>
      </c>
      <c r="AV843" t="s">
        <v>2738</v>
      </c>
      <c r="AW843" t="s">
        <v>80</v>
      </c>
      <c r="AX843" t="s">
        <v>2739</v>
      </c>
      <c r="AY843" t="s">
        <v>2740</v>
      </c>
      <c r="AZ843" t="s">
        <v>264</v>
      </c>
      <c r="BA843" t="s">
        <v>245</v>
      </c>
      <c r="BB843" t="s">
        <v>244</v>
      </c>
      <c r="BC843" t="s">
        <v>244</v>
      </c>
      <c r="BD843" t="s">
        <v>2747</v>
      </c>
      <c r="BE843" t="s">
        <v>2742</v>
      </c>
      <c r="BF843" t="s">
        <v>86</v>
      </c>
      <c r="BG843" t="s">
        <v>110</v>
      </c>
      <c r="BH843" t="str">
        <f>IF(COUNTIF(工作表1!A:A, $C843)&gt;0, "預購款", "非預購款")</f>
        <v>非預購款</v>
      </c>
    </row>
    <row r="844" spans="1:60" x14ac:dyDescent="0.25">
      <c r="A844" t="s">
        <v>2748</v>
      </c>
      <c r="B844" t="s">
        <v>315</v>
      </c>
      <c r="C844" t="s">
        <v>2749</v>
      </c>
      <c r="D844" t="s">
        <v>2750</v>
      </c>
      <c r="E844" t="s">
        <v>2751</v>
      </c>
      <c r="F844" t="s">
        <v>181</v>
      </c>
      <c r="G844" t="s">
        <v>2752</v>
      </c>
      <c r="H844" t="s">
        <v>273</v>
      </c>
      <c r="I844" t="s">
        <v>120</v>
      </c>
      <c r="J844" t="s">
        <v>121</v>
      </c>
      <c r="K844" t="s">
        <v>69</v>
      </c>
      <c r="L844" t="s">
        <v>2737</v>
      </c>
      <c r="M844" t="s">
        <v>71</v>
      </c>
      <c r="N844" t="s">
        <v>198</v>
      </c>
      <c r="O844" t="s">
        <v>2597</v>
      </c>
      <c r="P844" t="s">
        <v>2598</v>
      </c>
      <c r="R844" t="s">
        <v>2599</v>
      </c>
      <c r="S844" t="s">
        <v>176</v>
      </c>
      <c r="T844" t="s">
        <v>274</v>
      </c>
      <c r="U844" t="s">
        <v>383</v>
      </c>
      <c r="V844" t="s">
        <v>384</v>
      </c>
      <c r="W844">
        <v>1080</v>
      </c>
      <c r="X844">
        <v>44.99</v>
      </c>
      <c r="Y844">
        <v>139</v>
      </c>
      <c r="Z844">
        <v>779000</v>
      </c>
      <c r="AA844">
        <v>527040</v>
      </c>
      <c r="AB844">
        <v>468</v>
      </c>
      <c r="AD844" t="s">
        <v>238</v>
      </c>
      <c r="AE844">
        <v>2</v>
      </c>
      <c r="AF844">
        <v>5</v>
      </c>
      <c r="AI844">
        <v>20</v>
      </c>
      <c r="AJ844">
        <v>70</v>
      </c>
      <c r="AK844">
        <v>95</v>
      </c>
      <c r="AL844">
        <v>488</v>
      </c>
      <c r="AM844">
        <v>107</v>
      </c>
      <c r="AN844">
        <v>0</v>
      </c>
      <c r="AO844">
        <v>107</v>
      </c>
      <c r="AP844" t="s">
        <v>80</v>
      </c>
      <c r="AQ844" t="s">
        <v>2257</v>
      </c>
      <c r="AS844" t="s">
        <v>86</v>
      </c>
      <c r="AT844" t="s">
        <v>86</v>
      </c>
      <c r="AU844" t="s">
        <v>86</v>
      </c>
      <c r="AV844" t="s">
        <v>2753</v>
      </c>
      <c r="AW844" t="s">
        <v>80</v>
      </c>
      <c r="AX844" t="s">
        <v>387</v>
      </c>
      <c r="AY844" t="s">
        <v>2754</v>
      </c>
      <c r="AZ844" t="s">
        <v>264</v>
      </c>
      <c r="BA844" t="s">
        <v>243</v>
      </c>
      <c r="BB844" t="s">
        <v>244</v>
      </c>
      <c r="BC844" t="s">
        <v>244</v>
      </c>
      <c r="BD844" t="s">
        <v>2755</v>
      </c>
      <c r="BE844" t="s">
        <v>2756</v>
      </c>
      <c r="BF844" t="s">
        <v>279</v>
      </c>
      <c r="BG844" t="s">
        <v>110</v>
      </c>
      <c r="BH844" t="str">
        <f>IF(COUNTIF(工作表1!A:A, $C844)&gt;0, "預購款", "非預購款")</f>
        <v>非預購款</v>
      </c>
    </row>
    <row r="845" spans="1:60" x14ac:dyDescent="0.25">
      <c r="A845" t="s">
        <v>2748</v>
      </c>
      <c r="B845" t="s">
        <v>315</v>
      </c>
      <c r="C845" t="s">
        <v>2749</v>
      </c>
      <c r="D845" t="s">
        <v>2750</v>
      </c>
      <c r="E845" t="s">
        <v>2751</v>
      </c>
      <c r="F845" t="s">
        <v>181</v>
      </c>
      <c r="G845" t="s">
        <v>2752</v>
      </c>
      <c r="H845" t="s">
        <v>501</v>
      </c>
      <c r="I845" t="s">
        <v>120</v>
      </c>
      <c r="J845" t="s">
        <v>121</v>
      </c>
      <c r="K845" t="s">
        <v>69</v>
      </c>
      <c r="L845" t="s">
        <v>2737</v>
      </c>
      <c r="M845" t="s">
        <v>71</v>
      </c>
      <c r="N845" t="s">
        <v>198</v>
      </c>
      <c r="O845" t="s">
        <v>2597</v>
      </c>
      <c r="P845" t="s">
        <v>2598</v>
      </c>
      <c r="R845" t="s">
        <v>2599</v>
      </c>
      <c r="S845" t="s">
        <v>176</v>
      </c>
      <c r="T845" t="s">
        <v>274</v>
      </c>
      <c r="U845" t="s">
        <v>383</v>
      </c>
      <c r="V845" t="s">
        <v>384</v>
      </c>
      <c r="W845">
        <v>1080</v>
      </c>
      <c r="X845">
        <v>44.99</v>
      </c>
      <c r="Y845">
        <v>139</v>
      </c>
      <c r="Z845">
        <v>779000</v>
      </c>
      <c r="AA845">
        <v>527040</v>
      </c>
      <c r="AB845">
        <v>468</v>
      </c>
      <c r="AD845" t="s">
        <v>238</v>
      </c>
      <c r="AE845">
        <v>2</v>
      </c>
      <c r="AF845">
        <v>2</v>
      </c>
      <c r="AI845">
        <v>15</v>
      </c>
      <c r="AJ845">
        <v>30</v>
      </c>
      <c r="AK845">
        <v>47</v>
      </c>
      <c r="AL845">
        <v>488</v>
      </c>
      <c r="AM845">
        <v>53</v>
      </c>
      <c r="AN845">
        <v>0</v>
      </c>
      <c r="AO845">
        <v>53</v>
      </c>
      <c r="AP845" t="s">
        <v>80</v>
      </c>
      <c r="AQ845" t="s">
        <v>2257</v>
      </c>
      <c r="AS845" t="s">
        <v>86</v>
      </c>
      <c r="AT845" t="s">
        <v>86</v>
      </c>
      <c r="AU845" t="s">
        <v>86</v>
      </c>
      <c r="AV845" t="s">
        <v>2753</v>
      </c>
      <c r="AW845" t="s">
        <v>80</v>
      </c>
      <c r="AX845" t="s">
        <v>387</v>
      </c>
      <c r="AY845" t="s">
        <v>2754</v>
      </c>
      <c r="AZ845" t="s">
        <v>264</v>
      </c>
      <c r="BA845" t="s">
        <v>243</v>
      </c>
      <c r="BB845" t="s">
        <v>244</v>
      </c>
      <c r="BC845" t="s">
        <v>244</v>
      </c>
      <c r="BD845" t="s">
        <v>2757</v>
      </c>
      <c r="BE845" t="s">
        <v>2756</v>
      </c>
      <c r="BF845" t="s">
        <v>279</v>
      </c>
      <c r="BG845" t="s">
        <v>110</v>
      </c>
      <c r="BH845" t="str">
        <f>IF(COUNTIF(工作表1!A:A, $C845)&gt;0, "預購款", "非預購款")</f>
        <v>非預購款</v>
      </c>
    </row>
    <row r="846" spans="1:60" x14ac:dyDescent="0.25">
      <c r="A846" t="s">
        <v>2748</v>
      </c>
      <c r="B846" t="s">
        <v>315</v>
      </c>
      <c r="C846" t="s">
        <v>2749</v>
      </c>
      <c r="D846" t="s">
        <v>2750</v>
      </c>
      <c r="E846" t="s">
        <v>2751</v>
      </c>
      <c r="F846" t="s">
        <v>181</v>
      </c>
      <c r="G846" t="s">
        <v>2752</v>
      </c>
      <c r="H846" t="s">
        <v>280</v>
      </c>
      <c r="I846" t="s">
        <v>120</v>
      </c>
      <c r="J846" t="s">
        <v>121</v>
      </c>
      <c r="K846" t="s">
        <v>69</v>
      </c>
      <c r="L846" t="s">
        <v>2737</v>
      </c>
      <c r="M846" t="s">
        <v>71</v>
      </c>
      <c r="N846" t="s">
        <v>198</v>
      </c>
      <c r="O846" t="s">
        <v>2597</v>
      </c>
      <c r="P846" t="s">
        <v>2598</v>
      </c>
      <c r="R846" t="s">
        <v>2599</v>
      </c>
      <c r="S846" t="s">
        <v>176</v>
      </c>
      <c r="T846" t="s">
        <v>274</v>
      </c>
      <c r="U846" t="s">
        <v>383</v>
      </c>
      <c r="V846" t="s">
        <v>384</v>
      </c>
      <c r="W846">
        <v>1080</v>
      </c>
      <c r="X846">
        <v>44.99</v>
      </c>
      <c r="Y846">
        <v>139</v>
      </c>
      <c r="Z846">
        <v>779000</v>
      </c>
      <c r="AA846">
        <v>527040</v>
      </c>
      <c r="AB846">
        <v>468</v>
      </c>
      <c r="AD846" t="s">
        <v>238</v>
      </c>
      <c r="AE846">
        <v>2</v>
      </c>
      <c r="AF846">
        <v>3</v>
      </c>
      <c r="AI846">
        <v>20</v>
      </c>
      <c r="AJ846">
        <v>40</v>
      </c>
      <c r="AK846">
        <v>63</v>
      </c>
      <c r="AL846">
        <v>488</v>
      </c>
      <c r="AM846">
        <v>68</v>
      </c>
      <c r="AN846">
        <v>0</v>
      </c>
      <c r="AO846">
        <v>68</v>
      </c>
      <c r="AP846" t="s">
        <v>80</v>
      </c>
      <c r="AQ846" t="s">
        <v>2257</v>
      </c>
      <c r="AS846" t="s">
        <v>86</v>
      </c>
      <c r="AT846" t="s">
        <v>86</v>
      </c>
      <c r="AU846" t="s">
        <v>86</v>
      </c>
      <c r="AV846" t="s">
        <v>2753</v>
      </c>
      <c r="AW846" t="s">
        <v>80</v>
      </c>
      <c r="AX846" t="s">
        <v>387</v>
      </c>
      <c r="AY846" t="s">
        <v>2754</v>
      </c>
      <c r="AZ846" t="s">
        <v>264</v>
      </c>
      <c r="BA846" t="s">
        <v>243</v>
      </c>
      <c r="BB846" t="s">
        <v>244</v>
      </c>
      <c r="BC846" t="s">
        <v>244</v>
      </c>
      <c r="BD846" t="s">
        <v>2758</v>
      </c>
      <c r="BE846" t="s">
        <v>2756</v>
      </c>
      <c r="BF846" t="s">
        <v>279</v>
      </c>
      <c r="BG846" t="s">
        <v>110</v>
      </c>
      <c r="BH846" t="str">
        <f>IF(COUNTIF(工作表1!A:A, $C846)&gt;0, "預購款", "非預購款")</f>
        <v>非預購款</v>
      </c>
    </row>
    <row r="847" spans="1:60" x14ac:dyDescent="0.25">
      <c r="A847" t="s">
        <v>2748</v>
      </c>
      <c r="B847" t="s">
        <v>315</v>
      </c>
      <c r="C847" t="s">
        <v>2749</v>
      </c>
      <c r="D847" t="s">
        <v>2750</v>
      </c>
      <c r="E847" t="s">
        <v>2751</v>
      </c>
      <c r="F847" t="s">
        <v>181</v>
      </c>
      <c r="G847" t="s">
        <v>2752</v>
      </c>
      <c r="H847" t="s">
        <v>273</v>
      </c>
      <c r="I847" t="s">
        <v>88</v>
      </c>
      <c r="J847" t="s">
        <v>89</v>
      </c>
      <c r="K847" t="s">
        <v>69</v>
      </c>
      <c r="L847" t="s">
        <v>2737</v>
      </c>
      <c r="M847" t="s">
        <v>71</v>
      </c>
      <c r="N847" t="s">
        <v>198</v>
      </c>
      <c r="O847" t="s">
        <v>2597</v>
      </c>
      <c r="P847" t="s">
        <v>2598</v>
      </c>
      <c r="R847" t="s">
        <v>2599</v>
      </c>
      <c r="S847" t="s">
        <v>176</v>
      </c>
      <c r="T847" t="s">
        <v>274</v>
      </c>
      <c r="U847" t="s">
        <v>383</v>
      </c>
      <c r="V847" t="s">
        <v>384</v>
      </c>
      <c r="W847">
        <v>1080</v>
      </c>
      <c r="X847">
        <v>44.99</v>
      </c>
      <c r="Y847">
        <v>139</v>
      </c>
      <c r="Z847">
        <v>779000</v>
      </c>
      <c r="AA847">
        <v>527040</v>
      </c>
      <c r="AB847">
        <v>468</v>
      </c>
      <c r="AD847" t="s">
        <v>238</v>
      </c>
      <c r="AE847">
        <v>2</v>
      </c>
      <c r="AF847">
        <v>10</v>
      </c>
      <c r="AI847">
        <v>20</v>
      </c>
      <c r="AJ847">
        <v>80</v>
      </c>
      <c r="AK847">
        <v>110</v>
      </c>
      <c r="AL847">
        <v>488</v>
      </c>
      <c r="AM847">
        <v>115</v>
      </c>
      <c r="AN847">
        <v>0</v>
      </c>
      <c r="AO847">
        <v>115</v>
      </c>
      <c r="AP847" t="s">
        <v>80</v>
      </c>
      <c r="AQ847" t="s">
        <v>2257</v>
      </c>
      <c r="AS847" t="s">
        <v>86</v>
      </c>
      <c r="AT847" t="s">
        <v>86</v>
      </c>
      <c r="AU847" t="s">
        <v>86</v>
      </c>
      <c r="AV847" t="s">
        <v>2753</v>
      </c>
      <c r="AW847" t="s">
        <v>80</v>
      </c>
      <c r="AX847" t="s">
        <v>387</v>
      </c>
      <c r="AY847" t="s">
        <v>2754</v>
      </c>
      <c r="AZ847" t="s">
        <v>264</v>
      </c>
      <c r="BA847" t="s">
        <v>243</v>
      </c>
      <c r="BB847" t="s">
        <v>244</v>
      </c>
      <c r="BC847" t="s">
        <v>244</v>
      </c>
      <c r="BD847" t="s">
        <v>2759</v>
      </c>
      <c r="BE847" t="s">
        <v>2756</v>
      </c>
      <c r="BF847" t="s">
        <v>279</v>
      </c>
      <c r="BG847" t="s">
        <v>110</v>
      </c>
      <c r="BH847" t="str">
        <f>IF(COUNTIF(工作表1!A:A, $C847)&gt;0, "預購款", "非預購款")</f>
        <v>非預購款</v>
      </c>
    </row>
    <row r="848" spans="1:60" x14ac:dyDescent="0.25">
      <c r="A848" t="s">
        <v>2748</v>
      </c>
      <c r="B848" t="s">
        <v>315</v>
      </c>
      <c r="C848" t="s">
        <v>2749</v>
      </c>
      <c r="D848" t="s">
        <v>2750</v>
      </c>
      <c r="E848" t="s">
        <v>2751</v>
      </c>
      <c r="F848" t="s">
        <v>181</v>
      </c>
      <c r="G848" t="s">
        <v>2752</v>
      </c>
      <c r="H848" t="s">
        <v>501</v>
      </c>
      <c r="I848" t="s">
        <v>88</v>
      </c>
      <c r="J848" t="s">
        <v>89</v>
      </c>
      <c r="K848" t="s">
        <v>69</v>
      </c>
      <c r="L848" t="s">
        <v>2737</v>
      </c>
      <c r="M848" t="s">
        <v>71</v>
      </c>
      <c r="N848" t="s">
        <v>198</v>
      </c>
      <c r="O848" t="s">
        <v>2597</v>
      </c>
      <c r="P848" t="s">
        <v>2598</v>
      </c>
      <c r="R848" t="s">
        <v>2599</v>
      </c>
      <c r="S848" t="s">
        <v>176</v>
      </c>
      <c r="T848" t="s">
        <v>274</v>
      </c>
      <c r="U848" t="s">
        <v>383</v>
      </c>
      <c r="V848" t="s">
        <v>384</v>
      </c>
      <c r="W848">
        <v>1080</v>
      </c>
      <c r="X848">
        <v>44.99</v>
      </c>
      <c r="Y848">
        <v>139</v>
      </c>
      <c r="Z848">
        <v>779000</v>
      </c>
      <c r="AA848">
        <v>527040</v>
      </c>
      <c r="AB848">
        <v>468</v>
      </c>
      <c r="AD848" t="s">
        <v>238</v>
      </c>
      <c r="AE848">
        <v>2</v>
      </c>
      <c r="AF848">
        <v>3</v>
      </c>
      <c r="AI848">
        <v>15</v>
      </c>
      <c r="AJ848">
        <v>40</v>
      </c>
      <c r="AK848">
        <v>58</v>
      </c>
      <c r="AL848">
        <v>488</v>
      </c>
      <c r="AM848">
        <v>68</v>
      </c>
      <c r="AN848">
        <v>0</v>
      </c>
      <c r="AO848">
        <v>68</v>
      </c>
      <c r="AP848" t="s">
        <v>80</v>
      </c>
      <c r="AQ848" t="s">
        <v>2257</v>
      </c>
      <c r="AS848" t="s">
        <v>86</v>
      </c>
      <c r="AT848" t="s">
        <v>86</v>
      </c>
      <c r="AU848" t="s">
        <v>86</v>
      </c>
      <c r="AV848" t="s">
        <v>2753</v>
      </c>
      <c r="AW848" t="s">
        <v>80</v>
      </c>
      <c r="AX848" t="s">
        <v>387</v>
      </c>
      <c r="AY848" t="s">
        <v>2754</v>
      </c>
      <c r="AZ848" t="s">
        <v>264</v>
      </c>
      <c r="BA848" t="s">
        <v>243</v>
      </c>
      <c r="BB848" t="s">
        <v>244</v>
      </c>
      <c r="BC848" t="s">
        <v>244</v>
      </c>
      <c r="BD848" t="s">
        <v>2760</v>
      </c>
      <c r="BE848" t="s">
        <v>2756</v>
      </c>
      <c r="BF848" t="s">
        <v>279</v>
      </c>
      <c r="BG848" t="s">
        <v>110</v>
      </c>
      <c r="BH848" t="str">
        <f>IF(COUNTIF(工作表1!A:A, $C848)&gt;0, "預購款", "非預購款")</f>
        <v>非預購款</v>
      </c>
    </row>
    <row r="849" spans="1:60" x14ac:dyDescent="0.25">
      <c r="A849" t="s">
        <v>2748</v>
      </c>
      <c r="B849" t="s">
        <v>315</v>
      </c>
      <c r="C849" t="s">
        <v>2749</v>
      </c>
      <c r="D849" t="s">
        <v>2750</v>
      </c>
      <c r="E849" t="s">
        <v>2751</v>
      </c>
      <c r="F849" t="s">
        <v>181</v>
      </c>
      <c r="G849" t="s">
        <v>2752</v>
      </c>
      <c r="H849" t="s">
        <v>280</v>
      </c>
      <c r="I849" t="s">
        <v>88</v>
      </c>
      <c r="J849" t="s">
        <v>89</v>
      </c>
      <c r="K849" t="s">
        <v>69</v>
      </c>
      <c r="L849" t="s">
        <v>2737</v>
      </c>
      <c r="M849" t="s">
        <v>71</v>
      </c>
      <c r="N849" t="s">
        <v>198</v>
      </c>
      <c r="O849" t="s">
        <v>2597</v>
      </c>
      <c r="P849" t="s">
        <v>2598</v>
      </c>
      <c r="R849" t="s">
        <v>2599</v>
      </c>
      <c r="S849" t="s">
        <v>176</v>
      </c>
      <c r="T849" t="s">
        <v>274</v>
      </c>
      <c r="U849" t="s">
        <v>383</v>
      </c>
      <c r="V849" t="s">
        <v>384</v>
      </c>
      <c r="W849">
        <v>1080</v>
      </c>
      <c r="X849">
        <v>44.99</v>
      </c>
      <c r="Y849">
        <v>139</v>
      </c>
      <c r="Z849">
        <v>779000</v>
      </c>
      <c r="AA849">
        <v>527040</v>
      </c>
      <c r="AB849">
        <v>468</v>
      </c>
      <c r="AD849" t="s">
        <v>238</v>
      </c>
      <c r="AE849">
        <v>2</v>
      </c>
      <c r="AF849">
        <v>5</v>
      </c>
      <c r="AI849">
        <v>20</v>
      </c>
      <c r="AJ849">
        <v>90</v>
      </c>
      <c r="AK849">
        <v>115</v>
      </c>
      <c r="AL849">
        <v>488</v>
      </c>
      <c r="AM849">
        <v>115</v>
      </c>
      <c r="AN849">
        <v>0</v>
      </c>
      <c r="AO849">
        <v>115</v>
      </c>
      <c r="AP849" t="s">
        <v>80</v>
      </c>
      <c r="AQ849" t="s">
        <v>2257</v>
      </c>
      <c r="AS849" t="s">
        <v>86</v>
      </c>
      <c r="AT849" t="s">
        <v>86</v>
      </c>
      <c r="AU849" t="s">
        <v>86</v>
      </c>
      <c r="AV849" t="s">
        <v>2753</v>
      </c>
      <c r="AW849" t="s">
        <v>80</v>
      </c>
      <c r="AX849" t="s">
        <v>387</v>
      </c>
      <c r="AY849" t="s">
        <v>2754</v>
      </c>
      <c r="AZ849" t="s">
        <v>264</v>
      </c>
      <c r="BA849" t="s">
        <v>243</v>
      </c>
      <c r="BB849" t="s">
        <v>244</v>
      </c>
      <c r="BC849" t="s">
        <v>244</v>
      </c>
      <c r="BD849" t="s">
        <v>2761</v>
      </c>
      <c r="BE849" t="s">
        <v>2756</v>
      </c>
      <c r="BF849" t="s">
        <v>279</v>
      </c>
      <c r="BG849" t="s">
        <v>110</v>
      </c>
      <c r="BH849" t="str">
        <f>IF(COUNTIF(工作表1!A:A, $C849)&gt;0, "預購款", "非預購款")</f>
        <v>非預購款</v>
      </c>
    </row>
    <row r="850" spans="1:60" x14ac:dyDescent="0.25">
      <c r="A850" t="s">
        <v>2762</v>
      </c>
      <c r="B850" t="s">
        <v>315</v>
      </c>
      <c r="C850" t="s">
        <v>2763</v>
      </c>
      <c r="D850" t="s">
        <v>2764</v>
      </c>
      <c r="E850" t="s">
        <v>2765</v>
      </c>
      <c r="F850" t="s">
        <v>181</v>
      </c>
      <c r="G850" t="s">
        <v>2766</v>
      </c>
      <c r="H850" t="s">
        <v>119</v>
      </c>
      <c r="I850" t="s">
        <v>120</v>
      </c>
      <c r="J850" t="s">
        <v>121</v>
      </c>
      <c r="K850" t="s">
        <v>69</v>
      </c>
      <c r="L850" t="s">
        <v>2767</v>
      </c>
      <c r="M850" t="s">
        <v>71</v>
      </c>
      <c r="N850" t="s">
        <v>198</v>
      </c>
      <c r="O850" t="s">
        <v>2597</v>
      </c>
      <c r="P850" t="s">
        <v>2598</v>
      </c>
      <c r="R850" t="s">
        <v>2599</v>
      </c>
      <c r="S850" t="s">
        <v>176</v>
      </c>
      <c r="T850" t="s">
        <v>76</v>
      </c>
      <c r="U850" t="s">
        <v>502</v>
      </c>
      <c r="V850" t="s">
        <v>765</v>
      </c>
      <c r="W850">
        <v>1180</v>
      </c>
      <c r="X850">
        <v>49.99</v>
      </c>
      <c r="Y850">
        <v>155</v>
      </c>
      <c r="Z850">
        <v>859000</v>
      </c>
      <c r="AA850">
        <v>1138700</v>
      </c>
      <c r="AB850">
        <v>490</v>
      </c>
      <c r="AD850" t="s">
        <v>238</v>
      </c>
      <c r="AE850">
        <v>2</v>
      </c>
      <c r="AF850">
        <v>5</v>
      </c>
      <c r="AI850">
        <v>15</v>
      </c>
      <c r="AJ850">
        <v>110</v>
      </c>
      <c r="AK850">
        <v>130</v>
      </c>
      <c r="AL850">
        <v>965</v>
      </c>
      <c r="AM850">
        <v>130</v>
      </c>
      <c r="AN850">
        <v>0</v>
      </c>
      <c r="AO850">
        <v>130</v>
      </c>
      <c r="AP850" t="s">
        <v>80</v>
      </c>
      <c r="AQ850" t="s">
        <v>190</v>
      </c>
      <c r="AR850" t="s">
        <v>86</v>
      </c>
      <c r="AS850" t="s">
        <v>86</v>
      </c>
      <c r="AT850" t="s">
        <v>86</v>
      </c>
      <c r="AU850" t="s">
        <v>86</v>
      </c>
      <c r="AV850" t="s">
        <v>2768</v>
      </c>
      <c r="AW850" t="s">
        <v>80</v>
      </c>
      <c r="AX850" t="s">
        <v>126</v>
      </c>
      <c r="AY850" t="s">
        <v>2769</v>
      </c>
      <c r="AZ850" t="s">
        <v>264</v>
      </c>
      <c r="BA850" t="s">
        <v>245</v>
      </c>
      <c r="BB850" t="s">
        <v>244</v>
      </c>
      <c r="BC850" t="s">
        <v>244</v>
      </c>
      <c r="BD850" t="s">
        <v>2770</v>
      </c>
      <c r="BE850" t="s">
        <v>2771</v>
      </c>
      <c r="BF850" t="s">
        <v>86</v>
      </c>
      <c r="BG850" t="s">
        <v>110</v>
      </c>
      <c r="BH850" t="str">
        <f>IF(COUNTIF(工作表1!A:A, $C850)&gt;0, "預購款", "非預購款")</f>
        <v>非預購款</v>
      </c>
    </row>
    <row r="851" spans="1:60" x14ac:dyDescent="0.25">
      <c r="A851" t="s">
        <v>2762</v>
      </c>
      <c r="B851" t="s">
        <v>315</v>
      </c>
      <c r="C851" t="s">
        <v>2763</v>
      </c>
      <c r="D851" t="s">
        <v>2764</v>
      </c>
      <c r="E851" t="s">
        <v>2765</v>
      </c>
      <c r="F851" t="s">
        <v>181</v>
      </c>
      <c r="G851" t="s">
        <v>2766</v>
      </c>
      <c r="H851" t="s">
        <v>130</v>
      </c>
      <c r="I851" t="s">
        <v>120</v>
      </c>
      <c r="J851" t="s">
        <v>121</v>
      </c>
      <c r="K851" t="s">
        <v>69</v>
      </c>
      <c r="L851" t="s">
        <v>2767</v>
      </c>
      <c r="M851" t="s">
        <v>71</v>
      </c>
      <c r="N851" t="s">
        <v>198</v>
      </c>
      <c r="O851" t="s">
        <v>2597</v>
      </c>
      <c r="P851" t="s">
        <v>2598</v>
      </c>
      <c r="R851" t="s">
        <v>2599</v>
      </c>
      <c r="S851" t="s">
        <v>176</v>
      </c>
      <c r="T851" t="s">
        <v>76</v>
      </c>
      <c r="U851" t="s">
        <v>502</v>
      </c>
      <c r="V851" t="s">
        <v>765</v>
      </c>
      <c r="W851">
        <v>1180</v>
      </c>
      <c r="X851">
        <v>49.99</v>
      </c>
      <c r="Y851">
        <v>155</v>
      </c>
      <c r="Z851">
        <v>859000</v>
      </c>
      <c r="AA851">
        <v>1138700</v>
      </c>
      <c r="AB851">
        <v>490</v>
      </c>
      <c r="AD851" t="s">
        <v>238</v>
      </c>
      <c r="AE851">
        <v>2</v>
      </c>
      <c r="AF851">
        <v>0</v>
      </c>
      <c r="AI851">
        <v>15</v>
      </c>
      <c r="AJ851">
        <v>100</v>
      </c>
      <c r="AK851">
        <v>115</v>
      </c>
      <c r="AL851">
        <v>965</v>
      </c>
      <c r="AM851">
        <v>120</v>
      </c>
      <c r="AN851">
        <v>0</v>
      </c>
      <c r="AO851">
        <v>120</v>
      </c>
      <c r="AP851" t="s">
        <v>80</v>
      </c>
      <c r="AQ851" t="s">
        <v>190</v>
      </c>
      <c r="AR851" t="s">
        <v>86</v>
      </c>
      <c r="AS851" t="s">
        <v>86</v>
      </c>
      <c r="AT851" t="s">
        <v>86</v>
      </c>
      <c r="AU851" t="s">
        <v>86</v>
      </c>
      <c r="AV851" t="s">
        <v>2768</v>
      </c>
      <c r="AW851" t="s">
        <v>80</v>
      </c>
      <c r="AX851" t="s">
        <v>126</v>
      </c>
      <c r="AY851" t="s">
        <v>2769</v>
      </c>
      <c r="AZ851" t="s">
        <v>264</v>
      </c>
      <c r="BA851" t="s">
        <v>245</v>
      </c>
      <c r="BB851" t="s">
        <v>244</v>
      </c>
      <c r="BC851" t="s">
        <v>244</v>
      </c>
      <c r="BD851" t="s">
        <v>2772</v>
      </c>
      <c r="BE851" t="s">
        <v>2771</v>
      </c>
      <c r="BF851" t="s">
        <v>86</v>
      </c>
      <c r="BG851" t="s">
        <v>110</v>
      </c>
      <c r="BH851" t="str">
        <f>IF(COUNTIF(工作表1!A:A, $C851)&gt;0, "預購款", "非預購款")</f>
        <v>非預購款</v>
      </c>
    </row>
    <row r="852" spans="1:60" x14ac:dyDescent="0.25">
      <c r="A852" t="s">
        <v>2762</v>
      </c>
      <c r="B852" t="s">
        <v>315</v>
      </c>
      <c r="C852" t="s">
        <v>2763</v>
      </c>
      <c r="D852" t="s">
        <v>2764</v>
      </c>
      <c r="E852" t="s">
        <v>2765</v>
      </c>
      <c r="F852" t="s">
        <v>181</v>
      </c>
      <c r="G852" t="s">
        <v>2766</v>
      </c>
      <c r="H852" t="s">
        <v>132</v>
      </c>
      <c r="I852" t="s">
        <v>120</v>
      </c>
      <c r="J852" t="s">
        <v>121</v>
      </c>
      <c r="K852" t="s">
        <v>69</v>
      </c>
      <c r="L852" t="s">
        <v>2767</v>
      </c>
      <c r="M852" t="s">
        <v>71</v>
      </c>
      <c r="N852" t="s">
        <v>198</v>
      </c>
      <c r="O852" t="s">
        <v>2597</v>
      </c>
      <c r="P852" t="s">
        <v>2598</v>
      </c>
      <c r="R852" t="s">
        <v>2599</v>
      </c>
      <c r="S852" t="s">
        <v>176</v>
      </c>
      <c r="T852" t="s">
        <v>76</v>
      </c>
      <c r="U852" t="s">
        <v>502</v>
      </c>
      <c r="V852" t="s">
        <v>765</v>
      </c>
      <c r="W852">
        <v>1180</v>
      </c>
      <c r="X852">
        <v>49.99</v>
      </c>
      <c r="Y852">
        <v>155</v>
      </c>
      <c r="Z852">
        <v>859000</v>
      </c>
      <c r="AA852">
        <v>1138700</v>
      </c>
      <c r="AB852">
        <v>490</v>
      </c>
      <c r="AD852" t="s">
        <v>238</v>
      </c>
      <c r="AE852">
        <v>2</v>
      </c>
      <c r="AF852">
        <v>0</v>
      </c>
      <c r="AI852">
        <v>10</v>
      </c>
      <c r="AJ852">
        <v>90</v>
      </c>
      <c r="AK852">
        <v>100</v>
      </c>
      <c r="AL852">
        <v>965</v>
      </c>
      <c r="AM852">
        <v>100</v>
      </c>
      <c r="AN852">
        <v>0</v>
      </c>
      <c r="AO852">
        <v>100</v>
      </c>
      <c r="AP852" t="s">
        <v>80</v>
      </c>
      <c r="AQ852" t="s">
        <v>190</v>
      </c>
      <c r="AR852" t="s">
        <v>86</v>
      </c>
      <c r="AS852" t="s">
        <v>86</v>
      </c>
      <c r="AT852" t="s">
        <v>86</v>
      </c>
      <c r="AU852" t="s">
        <v>86</v>
      </c>
      <c r="AV852" t="s">
        <v>2768</v>
      </c>
      <c r="AW852" t="s">
        <v>80</v>
      </c>
      <c r="AX852" t="s">
        <v>126</v>
      </c>
      <c r="AY852" t="s">
        <v>2769</v>
      </c>
      <c r="AZ852" t="s">
        <v>264</v>
      </c>
      <c r="BA852" t="s">
        <v>245</v>
      </c>
      <c r="BB852" t="s">
        <v>244</v>
      </c>
      <c r="BC852" t="s">
        <v>244</v>
      </c>
      <c r="BD852" t="s">
        <v>2773</v>
      </c>
      <c r="BE852" t="s">
        <v>2771</v>
      </c>
      <c r="BF852" t="s">
        <v>86</v>
      </c>
      <c r="BG852" t="s">
        <v>110</v>
      </c>
      <c r="BH852" t="str">
        <f>IF(COUNTIF(工作表1!A:A, $C852)&gt;0, "預購款", "非預購款")</f>
        <v>非預購款</v>
      </c>
    </row>
    <row r="853" spans="1:60" x14ac:dyDescent="0.25">
      <c r="A853" t="s">
        <v>2762</v>
      </c>
      <c r="B853" t="s">
        <v>315</v>
      </c>
      <c r="C853" t="s">
        <v>2763</v>
      </c>
      <c r="D853" t="s">
        <v>2764</v>
      </c>
      <c r="E853" t="s">
        <v>2765</v>
      </c>
      <c r="F853" t="s">
        <v>181</v>
      </c>
      <c r="G853" t="s">
        <v>2766</v>
      </c>
      <c r="H853" t="s">
        <v>119</v>
      </c>
      <c r="I853" t="s">
        <v>88</v>
      </c>
      <c r="J853" t="s">
        <v>89</v>
      </c>
      <c r="K853" t="s">
        <v>69</v>
      </c>
      <c r="L853" t="s">
        <v>2767</v>
      </c>
      <c r="M853" t="s">
        <v>71</v>
      </c>
      <c r="N853" t="s">
        <v>198</v>
      </c>
      <c r="O853" t="s">
        <v>2597</v>
      </c>
      <c r="P853" t="s">
        <v>2598</v>
      </c>
      <c r="R853" t="s">
        <v>2599</v>
      </c>
      <c r="S853" t="s">
        <v>176</v>
      </c>
      <c r="T853" t="s">
        <v>76</v>
      </c>
      <c r="U853" t="s">
        <v>502</v>
      </c>
      <c r="V853" t="s">
        <v>765</v>
      </c>
      <c r="W853">
        <v>1180</v>
      </c>
      <c r="X853">
        <v>49.99</v>
      </c>
      <c r="Y853">
        <v>155</v>
      </c>
      <c r="Z853">
        <v>859000</v>
      </c>
      <c r="AA853">
        <v>1138700</v>
      </c>
      <c r="AB853">
        <v>490</v>
      </c>
      <c r="AD853" t="s">
        <v>238</v>
      </c>
      <c r="AE853">
        <v>2</v>
      </c>
      <c r="AF853">
        <v>25</v>
      </c>
      <c r="AI853">
        <v>60</v>
      </c>
      <c r="AJ853">
        <v>150</v>
      </c>
      <c r="AK853">
        <v>235</v>
      </c>
      <c r="AL853">
        <v>965</v>
      </c>
      <c r="AM853">
        <v>240</v>
      </c>
      <c r="AN853">
        <v>0</v>
      </c>
      <c r="AO853">
        <v>240</v>
      </c>
      <c r="AP853" t="s">
        <v>80</v>
      </c>
      <c r="AQ853" t="s">
        <v>190</v>
      </c>
      <c r="AR853" t="s">
        <v>86</v>
      </c>
      <c r="AS853" t="s">
        <v>86</v>
      </c>
      <c r="AT853" t="s">
        <v>86</v>
      </c>
      <c r="AU853" t="s">
        <v>86</v>
      </c>
      <c r="AV853" t="s">
        <v>2768</v>
      </c>
      <c r="AW853" t="s">
        <v>80</v>
      </c>
      <c r="AX853" t="s">
        <v>126</v>
      </c>
      <c r="AY853" t="s">
        <v>2769</v>
      </c>
      <c r="AZ853" t="s">
        <v>264</v>
      </c>
      <c r="BA853" t="s">
        <v>245</v>
      </c>
      <c r="BB853" t="s">
        <v>244</v>
      </c>
      <c r="BC853" t="s">
        <v>244</v>
      </c>
      <c r="BD853" t="s">
        <v>2774</v>
      </c>
      <c r="BE853" t="s">
        <v>2771</v>
      </c>
      <c r="BF853" t="s">
        <v>86</v>
      </c>
      <c r="BG853" t="s">
        <v>110</v>
      </c>
      <c r="BH853" t="str">
        <f>IF(COUNTIF(工作表1!A:A, $C853)&gt;0, "預購款", "非預購款")</f>
        <v>非預購款</v>
      </c>
    </row>
    <row r="854" spans="1:60" x14ac:dyDescent="0.25">
      <c r="A854" t="s">
        <v>2762</v>
      </c>
      <c r="B854" t="s">
        <v>315</v>
      </c>
      <c r="C854" t="s">
        <v>2763</v>
      </c>
      <c r="D854" t="s">
        <v>2764</v>
      </c>
      <c r="E854" t="s">
        <v>2765</v>
      </c>
      <c r="F854" t="s">
        <v>181</v>
      </c>
      <c r="G854" t="s">
        <v>2766</v>
      </c>
      <c r="H854" t="s">
        <v>130</v>
      </c>
      <c r="I854" t="s">
        <v>88</v>
      </c>
      <c r="J854" t="s">
        <v>89</v>
      </c>
      <c r="K854" t="s">
        <v>69</v>
      </c>
      <c r="L854" t="s">
        <v>2767</v>
      </c>
      <c r="M854" t="s">
        <v>71</v>
      </c>
      <c r="N854" t="s">
        <v>198</v>
      </c>
      <c r="O854" t="s">
        <v>2597</v>
      </c>
      <c r="P854" t="s">
        <v>2598</v>
      </c>
      <c r="R854" t="s">
        <v>2599</v>
      </c>
      <c r="S854" t="s">
        <v>176</v>
      </c>
      <c r="T854" t="s">
        <v>76</v>
      </c>
      <c r="U854" t="s">
        <v>502</v>
      </c>
      <c r="V854" t="s">
        <v>765</v>
      </c>
      <c r="W854">
        <v>1180</v>
      </c>
      <c r="X854">
        <v>49.99</v>
      </c>
      <c r="Y854">
        <v>155</v>
      </c>
      <c r="Z854">
        <v>859000</v>
      </c>
      <c r="AA854">
        <v>1138700</v>
      </c>
      <c r="AB854">
        <v>490</v>
      </c>
      <c r="AD854" t="s">
        <v>238</v>
      </c>
      <c r="AE854">
        <v>2</v>
      </c>
      <c r="AF854">
        <v>20</v>
      </c>
      <c r="AI854">
        <v>40</v>
      </c>
      <c r="AJ854">
        <v>190</v>
      </c>
      <c r="AK854">
        <v>250</v>
      </c>
      <c r="AL854">
        <v>965</v>
      </c>
      <c r="AM854">
        <v>249</v>
      </c>
      <c r="AN854">
        <v>0</v>
      </c>
      <c r="AO854">
        <v>249</v>
      </c>
      <c r="AP854" t="s">
        <v>80</v>
      </c>
      <c r="AQ854" t="s">
        <v>190</v>
      </c>
      <c r="AR854" t="s">
        <v>86</v>
      </c>
      <c r="AS854" t="s">
        <v>86</v>
      </c>
      <c r="AT854" t="s">
        <v>86</v>
      </c>
      <c r="AU854" t="s">
        <v>86</v>
      </c>
      <c r="AV854" t="s">
        <v>2768</v>
      </c>
      <c r="AW854" t="s">
        <v>80</v>
      </c>
      <c r="AX854" t="s">
        <v>126</v>
      </c>
      <c r="AY854" t="s">
        <v>2769</v>
      </c>
      <c r="AZ854" t="s">
        <v>264</v>
      </c>
      <c r="BA854" t="s">
        <v>245</v>
      </c>
      <c r="BB854" t="s">
        <v>244</v>
      </c>
      <c r="BC854" t="s">
        <v>244</v>
      </c>
      <c r="BD854" t="s">
        <v>2775</v>
      </c>
      <c r="BE854" t="s">
        <v>2771</v>
      </c>
      <c r="BF854" t="s">
        <v>86</v>
      </c>
      <c r="BG854" t="s">
        <v>110</v>
      </c>
      <c r="BH854" t="str">
        <f>IF(COUNTIF(工作表1!A:A, $C854)&gt;0, "預購款", "非預購款")</f>
        <v>非預購款</v>
      </c>
    </row>
    <row r="855" spans="1:60" x14ac:dyDescent="0.25">
      <c r="A855" t="s">
        <v>2762</v>
      </c>
      <c r="B855" t="s">
        <v>315</v>
      </c>
      <c r="C855" t="s">
        <v>2763</v>
      </c>
      <c r="D855" t="s">
        <v>2764</v>
      </c>
      <c r="E855" t="s">
        <v>2765</v>
      </c>
      <c r="F855" t="s">
        <v>181</v>
      </c>
      <c r="G855" t="s">
        <v>2766</v>
      </c>
      <c r="H855" t="s">
        <v>132</v>
      </c>
      <c r="I855" t="s">
        <v>88</v>
      </c>
      <c r="J855" t="s">
        <v>89</v>
      </c>
      <c r="K855" t="s">
        <v>69</v>
      </c>
      <c r="L855" t="s">
        <v>2767</v>
      </c>
      <c r="M855" t="s">
        <v>71</v>
      </c>
      <c r="N855" t="s">
        <v>198</v>
      </c>
      <c r="O855" t="s">
        <v>2597</v>
      </c>
      <c r="P855" t="s">
        <v>2598</v>
      </c>
      <c r="R855" t="s">
        <v>2599</v>
      </c>
      <c r="S855" t="s">
        <v>176</v>
      </c>
      <c r="T855" t="s">
        <v>76</v>
      </c>
      <c r="U855" t="s">
        <v>502</v>
      </c>
      <c r="V855" t="s">
        <v>765</v>
      </c>
      <c r="W855">
        <v>1180</v>
      </c>
      <c r="X855">
        <v>49.99</v>
      </c>
      <c r="Y855">
        <v>155</v>
      </c>
      <c r="Z855">
        <v>859000</v>
      </c>
      <c r="AA855">
        <v>1138700</v>
      </c>
      <c r="AB855">
        <v>490</v>
      </c>
      <c r="AD855" t="s">
        <v>238</v>
      </c>
      <c r="AE855">
        <v>2</v>
      </c>
      <c r="AF855">
        <v>5</v>
      </c>
      <c r="AI855">
        <v>40</v>
      </c>
      <c r="AJ855">
        <v>90</v>
      </c>
      <c r="AK855">
        <v>135</v>
      </c>
      <c r="AL855">
        <v>965</v>
      </c>
      <c r="AM855">
        <v>141</v>
      </c>
      <c r="AN855">
        <v>0</v>
      </c>
      <c r="AO855">
        <v>141</v>
      </c>
      <c r="AP855" t="s">
        <v>80</v>
      </c>
      <c r="AQ855" t="s">
        <v>190</v>
      </c>
      <c r="AR855" t="s">
        <v>86</v>
      </c>
      <c r="AS855" t="s">
        <v>86</v>
      </c>
      <c r="AT855" t="s">
        <v>86</v>
      </c>
      <c r="AU855" t="s">
        <v>86</v>
      </c>
      <c r="AV855" t="s">
        <v>2768</v>
      </c>
      <c r="AW855" t="s">
        <v>80</v>
      </c>
      <c r="AX855" t="s">
        <v>126</v>
      </c>
      <c r="AY855" t="s">
        <v>2769</v>
      </c>
      <c r="AZ855" t="s">
        <v>264</v>
      </c>
      <c r="BA855" t="s">
        <v>245</v>
      </c>
      <c r="BB855" t="s">
        <v>244</v>
      </c>
      <c r="BC855" t="s">
        <v>244</v>
      </c>
      <c r="BD855" t="s">
        <v>2776</v>
      </c>
      <c r="BE855" t="s">
        <v>2771</v>
      </c>
      <c r="BF855" t="s">
        <v>86</v>
      </c>
      <c r="BG855" t="s">
        <v>110</v>
      </c>
      <c r="BH855" t="str">
        <f>IF(COUNTIF(工作表1!A:A, $C855)&gt;0, "預購款", "非預購款")</f>
        <v>非預購款</v>
      </c>
    </row>
    <row r="856" spans="1:60" x14ac:dyDescent="0.25">
      <c r="A856" t="s">
        <v>2777</v>
      </c>
      <c r="B856" t="s">
        <v>315</v>
      </c>
      <c r="C856" t="s">
        <v>2778</v>
      </c>
      <c r="D856" t="s">
        <v>2779</v>
      </c>
      <c r="E856" t="s">
        <v>2780</v>
      </c>
      <c r="F856" t="s">
        <v>181</v>
      </c>
      <c r="G856" t="s">
        <v>2781</v>
      </c>
      <c r="H856" t="s">
        <v>119</v>
      </c>
      <c r="I856" t="s">
        <v>120</v>
      </c>
      <c r="J856" t="s">
        <v>121</v>
      </c>
      <c r="K856" t="s">
        <v>69</v>
      </c>
      <c r="L856" t="s">
        <v>2782</v>
      </c>
      <c r="M856" t="s">
        <v>71</v>
      </c>
      <c r="N856" t="s">
        <v>198</v>
      </c>
      <c r="O856" t="s">
        <v>2597</v>
      </c>
      <c r="P856" t="s">
        <v>2598</v>
      </c>
      <c r="R856" t="s">
        <v>2599</v>
      </c>
      <c r="S856" t="s">
        <v>176</v>
      </c>
      <c r="T856" t="s">
        <v>291</v>
      </c>
      <c r="U856" t="s">
        <v>104</v>
      </c>
      <c r="V856" t="s">
        <v>2783</v>
      </c>
      <c r="W856">
        <v>890</v>
      </c>
      <c r="X856">
        <v>39.99</v>
      </c>
      <c r="Y856">
        <v>115</v>
      </c>
      <c r="Z856">
        <v>639000</v>
      </c>
      <c r="AA856">
        <v>427200</v>
      </c>
      <c r="AB856">
        <v>360</v>
      </c>
      <c r="AD856" t="s">
        <v>238</v>
      </c>
      <c r="AE856">
        <v>2</v>
      </c>
      <c r="AF856">
        <v>0</v>
      </c>
      <c r="AI856">
        <v>0</v>
      </c>
      <c r="AJ856">
        <v>70</v>
      </c>
      <c r="AK856">
        <v>70</v>
      </c>
      <c r="AL856">
        <v>480</v>
      </c>
      <c r="AM856">
        <v>72</v>
      </c>
      <c r="AN856">
        <v>0</v>
      </c>
      <c r="AO856">
        <v>72</v>
      </c>
      <c r="AP856" t="s">
        <v>80</v>
      </c>
      <c r="AQ856" t="s">
        <v>190</v>
      </c>
      <c r="AT856" t="s">
        <v>86</v>
      </c>
      <c r="AU856" t="s">
        <v>86</v>
      </c>
      <c r="AV856" t="s">
        <v>2784</v>
      </c>
      <c r="AW856" t="s">
        <v>80</v>
      </c>
      <c r="AX856" t="s">
        <v>126</v>
      </c>
      <c r="AY856" t="s">
        <v>2785</v>
      </c>
      <c r="AZ856" t="s">
        <v>264</v>
      </c>
      <c r="BA856" t="s">
        <v>245</v>
      </c>
      <c r="BB856" t="s">
        <v>244</v>
      </c>
      <c r="BC856" t="s">
        <v>244</v>
      </c>
      <c r="BD856" t="s">
        <v>2786</v>
      </c>
      <c r="BE856" t="s">
        <v>2787</v>
      </c>
      <c r="BF856" t="s">
        <v>291</v>
      </c>
      <c r="BG856" t="s">
        <v>110</v>
      </c>
      <c r="BH856" t="str">
        <f>IF(COUNTIF(工作表1!A:A, $C856)&gt;0, "預購款", "非預購款")</f>
        <v>非預購款</v>
      </c>
    </row>
    <row r="857" spans="1:60" x14ac:dyDescent="0.25">
      <c r="A857" t="s">
        <v>2777</v>
      </c>
      <c r="B857" t="s">
        <v>315</v>
      </c>
      <c r="C857" t="s">
        <v>2778</v>
      </c>
      <c r="D857" t="s">
        <v>2779</v>
      </c>
      <c r="E857" t="s">
        <v>2780</v>
      </c>
      <c r="F857" t="s">
        <v>181</v>
      </c>
      <c r="G857" t="s">
        <v>2781</v>
      </c>
      <c r="H857" t="s">
        <v>130</v>
      </c>
      <c r="I857" t="s">
        <v>120</v>
      </c>
      <c r="J857" t="s">
        <v>121</v>
      </c>
      <c r="K857" t="s">
        <v>69</v>
      </c>
      <c r="L857" t="s">
        <v>2782</v>
      </c>
      <c r="M857" t="s">
        <v>71</v>
      </c>
      <c r="N857" t="s">
        <v>198</v>
      </c>
      <c r="O857" t="s">
        <v>2597</v>
      </c>
      <c r="P857" t="s">
        <v>2598</v>
      </c>
      <c r="R857" t="s">
        <v>2599</v>
      </c>
      <c r="S857" t="s">
        <v>176</v>
      </c>
      <c r="T857" t="s">
        <v>291</v>
      </c>
      <c r="U857" t="s">
        <v>104</v>
      </c>
      <c r="V857" t="s">
        <v>2783</v>
      </c>
      <c r="W857">
        <v>890</v>
      </c>
      <c r="X857">
        <v>39.99</v>
      </c>
      <c r="Y857">
        <v>115</v>
      </c>
      <c r="Z857">
        <v>639000</v>
      </c>
      <c r="AA857">
        <v>427200</v>
      </c>
      <c r="AB857">
        <v>360</v>
      </c>
      <c r="AD857" t="s">
        <v>238</v>
      </c>
      <c r="AE857">
        <v>2</v>
      </c>
      <c r="AF857">
        <v>0</v>
      </c>
      <c r="AI857">
        <v>0</v>
      </c>
      <c r="AJ857">
        <v>80</v>
      </c>
      <c r="AK857">
        <v>80</v>
      </c>
      <c r="AL857">
        <v>480</v>
      </c>
      <c r="AM857">
        <v>81</v>
      </c>
      <c r="AN857">
        <v>0</v>
      </c>
      <c r="AO857">
        <v>81</v>
      </c>
      <c r="AP857" t="s">
        <v>80</v>
      </c>
      <c r="AQ857" t="s">
        <v>190</v>
      </c>
      <c r="AT857" t="s">
        <v>86</v>
      </c>
      <c r="AU857" t="s">
        <v>86</v>
      </c>
      <c r="AV857" t="s">
        <v>2784</v>
      </c>
      <c r="AW857" t="s">
        <v>80</v>
      </c>
      <c r="AX857" t="s">
        <v>126</v>
      </c>
      <c r="AY857" t="s">
        <v>2785</v>
      </c>
      <c r="AZ857" t="s">
        <v>264</v>
      </c>
      <c r="BA857" t="s">
        <v>245</v>
      </c>
      <c r="BB857" t="s">
        <v>244</v>
      </c>
      <c r="BC857" t="s">
        <v>244</v>
      </c>
      <c r="BD857" t="s">
        <v>2788</v>
      </c>
      <c r="BE857" t="s">
        <v>2787</v>
      </c>
      <c r="BF857" t="s">
        <v>291</v>
      </c>
      <c r="BG857" t="s">
        <v>110</v>
      </c>
      <c r="BH857" t="str">
        <f>IF(COUNTIF(工作表1!A:A, $C857)&gt;0, "預購款", "非預購款")</f>
        <v>非預購款</v>
      </c>
    </row>
    <row r="858" spans="1:60" x14ac:dyDescent="0.25">
      <c r="A858" t="s">
        <v>2777</v>
      </c>
      <c r="B858" t="s">
        <v>315</v>
      </c>
      <c r="C858" t="s">
        <v>2778</v>
      </c>
      <c r="D858" t="s">
        <v>2779</v>
      </c>
      <c r="E858" t="s">
        <v>2780</v>
      </c>
      <c r="F858" t="s">
        <v>181</v>
      </c>
      <c r="G858" t="s">
        <v>2781</v>
      </c>
      <c r="H858" t="s">
        <v>132</v>
      </c>
      <c r="I858" t="s">
        <v>120</v>
      </c>
      <c r="J858" t="s">
        <v>121</v>
      </c>
      <c r="K858" t="s">
        <v>69</v>
      </c>
      <c r="L858" t="s">
        <v>2782</v>
      </c>
      <c r="M858" t="s">
        <v>71</v>
      </c>
      <c r="N858" t="s">
        <v>198</v>
      </c>
      <c r="O858" t="s">
        <v>2597</v>
      </c>
      <c r="P858" t="s">
        <v>2598</v>
      </c>
      <c r="R858" t="s">
        <v>2599</v>
      </c>
      <c r="S858" t="s">
        <v>176</v>
      </c>
      <c r="T858" t="s">
        <v>291</v>
      </c>
      <c r="U858" t="s">
        <v>104</v>
      </c>
      <c r="V858" t="s">
        <v>2783</v>
      </c>
      <c r="W858">
        <v>890</v>
      </c>
      <c r="X858">
        <v>39.99</v>
      </c>
      <c r="Y858">
        <v>115</v>
      </c>
      <c r="Z858">
        <v>639000</v>
      </c>
      <c r="AA858">
        <v>427200</v>
      </c>
      <c r="AB858">
        <v>360</v>
      </c>
      <c r="AD858" t="s">
        <v>238</v>
      </c>
      <c r="AE858">
        <v>2</v>
      </c>
      <c r="AF858">
        <v>0</v>
      </c>
      <c r="AI858">
        <v>0</v>
      </c>
      <c r="AJ858">
        <v>20</v>
      </c>
      <c r="AK858">
        <v>20</v>
      </c>
      <c r="AL858">
        <v>480</v>
      </c>
      <c r="AM858">
        <v>27</v>
      </c>
      <c r="AN858">
        <v>0</v>
      </c>
      <c r="AO858">
        <v>27</v>
      </c>
      <c r="AP858" t="s">
        <v>80</v>
      </c>
      <c r="AQ858" t="s">
        <v>190</v>
      </c>
      <c r="AT858" t="s">
        <v>86</v>
      </c>
      <c r="AU858" t="s">
        <v>86</v>
      </c>
      <c r="AV858" t="s">
        <v>2784</v>
      </c>
      <c r="AW858" t="s">
        <v>80</v>
      </c>
      <c r="AX858" t="s">
        <v>126</v>
      </c>
      <c r="AY858" t="s">
        <v>2785</v>
      </c>
      <c r="AZ858" t="s">
        <v>264</v>
      </c>
      <c r="BA858" t="s">
        <v>245</v>
      </c>
      <c r="BB858" t="s">
        <v>244</v>
      </c>
      <c r="BC858" t="s">
        <v>244</v>
      </c>
      <c r="BD858" t="s">
        <v>2789</v>
      </c>
      <c r="BE858" t="s">
        <v>2787</v>
      </c>
      <c r="BF858" t="s">
        <v>291</v>
      </c>
      <c r="BG858" t="s">
        <v>110</v>
      </c>
      <c r="BH858" t="str">
        <f>IF(COUNTIF(工作表1!A:A, $C858)&gt;0, "預購款", "非預購款")</f>
        <v>非預購款</v>
      </c>
    </row>
    <row r="859" spans="1:60" x14ac:dyDescent="0.25">
      <c r="A859" t="s">
        <v>2777</v>
      </c>
      <c r="B859" t="s">
        <v>315</v>
      </c>
      <c r="C859" t="s">
        <v>2778</v>
      </c>
      <c r="D859" t="s">
        <v>2779</v>
      </c>
      <c r="E859" t="s">
        <v>2780</v>
      </c>
      <c r="F859" t="s">
        <v>181</v>
      </c>
      <c r="G859" t="s">
        <v>2781</v>
      </c>
      <c r="H859" t="s">
        <v>119</v>
      </c>
      <c r="I859" t="s">
        <v>88</v>
      </c>
      <c r="J859" t="s">
        <v>89</v>
      </c>
      <c r="K859" t="s">
        <v>80</v>
      </c>
      <c r="L859" t="s">
        <v>2782</v>
      </c>
      <c r="M859" t="s">
        <v>71</v>
      </c>
      <c r="N859" t="s">
        <v>198</v>
      </c>
      <c r="O859" t="s">
        <v>2597</v>
      </c>
      <c r="P859" t="s">
        <v>2598</v>
      </c>
      <c r="R859" t="s">
        <v>2599</v>
      </c>
      <c r="S859" t="s">
        <v>176</v>
      </c>
      <c r="T859" t="s">
        <v>291</v>
      </c>
      <c r="U859" t="s">
        <v>104</v>
      </c>
      <c r="V859" t="s">
        <v>2783</v>
      </c>
      <c r="W859">
        <v>890</v>
      </c>
      <c r="X859">
        <v>39.99</v>
      </c>
      <c r="Y859">
        <v>115</v>
      </c>
      <c r="Z859">
        <v>639000</v>
      </c>
      <c r="AA859">
        <v>427200</v>
      </c>
      <c r="AB859">
        <v>360</v>
      </c>
      <c r="AD859" t="s">
        <v>238</v>
      </c>
      <c r="AE859">
        <v>2</v>
      </c>
      <c r="AF859">
        <v>0</v>
      </c>
      <c r="AI859">
        <v>30</v>
      </c>
      <c r="AJ859">
        <v>130</v>
      </c>
      <c r="AK859">
        <v>160</v>
      </c>
      <c r="AL859">
        <v>480</v>
      </c>
      <c r="AM859">
        <v>159</v>
      </c>
      <c r="AN859">
        <v>0</v>
      </c>
      <c r="AO859">
        <v>159</v>
      </c>
      <c r="AP859" t="s">
        <v>80</v>
      </c>
      <c r="AQ859" t="s">
        <v>190</v>
      </c>
      <c r="AT859" t="s">
        <v>86</v>
      </c>
      <c r="AU859" t="s">
        <v>86</v>
      </c>
      <c r="AV859" t="s">
        <v>2784</v>
      </c>
      <c r="AW859" t="s">
        <v>80</v>
      </c>
      <c r="AX859" t="s">
        <v>126</v>
      </c>
      <c r="AY859" t="s">
        <v>2785</v>
      </c>
      <c r="AZ859" t="s">
        <v>264</v>
      </c>
      <c r="BA859" t="s">
        <v>245</v>
      </c>
      <c r="BB859" t="s">
        <v>244</v>
      </c>
      <c r="BC859" t="s">
        <v>244</v>
      </c>
      <c r="BD859" t="s">
        <v>2790</v>
      </c>
      <c r="BE859" t="s">
        <v>2787</v>
      </c>
      <c r="BF859" t="s">
        <v>291</v>
      </c>
      <c r="BG859" t="s">
        <v>110</v>
      </c>
      <c r="BH859" t="str">
        <f>IF(COUNTIF(工作表1!A:A, $C859)&gt;0, "預購款", "非預購款")</f>
        <v>非預購款</v>
      </c>
    </row>
    <row r="860" spans="1:60" x14ac:dyDescent="0.25">
      <c r="A860" t="s">
        <v>2777</v>
      </c>
      <c r="B860" t="s">
        <v>315</v>
      </c>
      <c r="C860" t="s">
        <v>2778</v>
      </c>
      <c r="D860" t="s">
        <v>2779</v>
      </c>
      <c r="E860" t="s">
        <v>2780</v>
      </c>
      <c r="F860" t="s">
        <v>181</v>
      </c>
      <c r="G860" t="s">
        <v>2781</v>
      </c>
      <c r="H860" t="s">
        <v>130</v>
      </c>
      <c r="I860" t="s">
        <v>88</v>
      </c>
      <c r="J860" t="s">
        <v>89</v>
      </c>
      <c r="K860" t="s">
        <v>80</v>
      </c>
      <c r="L860" t="s">
        <v>2782</v>
      </c>
      <c r="M860" t="s">
        <v>71</v>
      </c>
      <c r="N860" t="s">
        <v>198</v>
      </c>
      <c r="O860" t="s">
        <v>2597</v>
      </c>
      <c r="P860" t="s">
        <v>2598</v>
      </c>
      <c r="R860" t="s">
        <v>2599</v>
      </c>
      <c r="S860" t="s">
        <v>176</v>
      </c>
      <c r="T860" t="s">
        <v>291</v>
      </c>
      <c r="U860" t="s">
        <v>104</v>
      </c>
      <c r="V860" t="s">
        <v>2783</v>
      </c>
      <c r="W860">
        <v>890</v>
      </c>
      <c r="X860">
        <v>39.99</v>
      </c>
      <c r="Y860">
        <v>115</v>
      </c>
      <c r="Z860">
        <v>639000</v>
      </c>
      <c r="AA860">
        <v>427200</v>
      </c>
      <c r="AB860">
        <v>360</v>
      </c>
      <c r="AD860" t="s">
        <v>238</v>
      </c>
      <c r="AE860">
        <v>2</v>
      </c>
      <c r="AF860">
        <v>0</v>
      </c>
      <c r="AI860">
        <v>15</v>
      </c>
      <c r="AJ860">
        <v>80</v>
      </c>
      <c r="AK860">
        <v>95</v>
      </c>
      <c r="AL860">
        <v>480</v>
      </c>
      <c r="AM860">
        <v>96</v>
      </c>
      <c r="AN860">
        <v>0</v>
      </c>
      <c r="AO860">
        <v>96</v>
      </c>
      <c r="AP860" t="s">
        <v>80</v>
      </c>
      <c r="AQ860" t="s">
        <v>190</v>
      </c>
      <c r="AT860" t="s">
        <v>86</v>
      </c>
      <c r="AU860" t="s">
        <v>86</v>
      </c>
      <c r="AV860" t="s">
        <v>2784</v>
      </c>
      <c r="AW860" t="s">
        <v>80</v>
      </c>
      <c r="AX860" t="s">
        <v>126</v>
      </c>
      <c r="AY860" t="s">
        <v>2785</v>
      </c>
      <c r="AZ860" t="s">
        <v>264</v>
      </c>
      <c r="BA860" t="s">
        <v>245</v>
      </c>
      <c r="BB860" t="s">
        <v>244</v>
      </c>
      <c r="BC860" t="s">
        <v>244</v>
      </c>
      <c r="BD860" t="s">
        <v>2791</v>
      </c>
      <c r="BE860" t="s">
        <v>2787</v>
      </c>
      <c r="BF860" t="s">
        <v>291</v>
      </c>
      <c r="BG860" t="s">
        <v>110</v>
      </c>
      <c r="BH860" t="str">
        <f>IF(COUNTIF(工作表1!A:A, $C860)&gt;0, "預購款", "非預購款")</f>
        <v>非預購款</v>
      </c>
    </row>
    <row r="861" spans="1:60" x14ac:dyDescent="0.25">
      <c r="A861" t="s">
        <v>2777</v>
      </c>
      <c r="B861" t="s">
        <v>315</v>
      </c>
      <c r="C861" t="s">
        <v>2778</v>
      </c>
      <c r="D861" t="s">
        <v>2779</v>
      </c>
      <c r="E861" t="s">
        <v>2780</v>
      </c>
      <c r="F861" t="s">
        <v>181</v>
      </c>
      <c r="G861" t="s">
        <v>2781</v>
      </c>
      <c r="H861" t="s">
        <v>132</v>
      </c>
      <c r="I861" t="s">
        <v>88</v>
      </c>
      <c r="J861" t="s">
        <v>89</v>
      </c>
      <c r="K861" t="s">
        <v>80</v>
      </c>
      <c r="L861" t="s">
        <v>2782</v>
      </c>
      <c r="M861" t="s">
        <v>71</v>
      </c>
      <c r="N861" t="s">
        <v>198</v>
      </c>
      <c r="O861" t="s">
        <v>2597</v>
      </c>
      <c r="P861" t="s">
        <v>2598</v>
      </c>
      <c r="R861" t="s">
        <v>2599</v>
      </c>
      <c r="S861" t="s">
        <v>176</v>
      </c>
      <c r="T861" t="s">
        <v>291</v>
      </c>
      <c r="U861" t="s">
        <v>104</v>
      </c>
      <c r="V861" t="s">
        <v>2783</v>
      </c>
      <c r="W861">
        <v>890</v>
      </c>
      <c r="X861">
        <v>39.99</v>
      </c>
      <c r="Y861">
        <v>115</v>
      </c>
      <c r="Z861">
        <v>639000</v>
      </c>
      <c r="AA861">
        <v>427200</v>
      </c>
      <c r="AB861">
        <v>360</v>
      </c>
      <c r="AD861" t="s">
        <v>238</v>
      </c>
      <c r="AE861">
        <v>2</v>
      </c>
      <c r="AF861">
        <v>0</v>
      </c>
      <c r="AI861">
        <v>15</v>
      </c>
      <c r="AJ861">
        <v>40</v>
      </c>
      <c r="AK861">
        <v>55</v>
      </c>
      <c r="AL861">
        <v>480</v>
      </c>
      <c r="AM861">
        <v>57</v>
      </c>
      <c r="AN861">
        <v>0</v>
      </c>
      <c r="AO861">
        <v>57</v>
      </c>
      <c r="AP861" t="s">
        <v>80</v>
      </c>
      <c r="AQ861" t="s">
        <v>190</v>
      </c>
      <c r="AT861" t="s">
        <v>86</v>
      </c>
      <c r="AU861" t="s">
        <v>86</v>
      </c>
      <c r="AV861" t="s">
        <v>2784</v>
      </c>
      <c r="AW861" t="s">
        <v>80</v>
      </c>
      <c r="AX861" t="s">
        <v>126</v>
      </c>
      <c r="AY861" t="s">
        <v>2785</v>
      </c>
      <c r="AZ861" t="s">
        <v>264</v>
      </c>
      <c r="BA861" t="s">
        <v>245</v>
      </c>
      <c r="BB861" t="s">
        <v>244</v>
      </c>
      <c r="BC861" t="s">
        <v>244</v>
      </c>
      <c r="BD861" t="s">
        <v>2792</v>
      </c>
      <c r="BE861" t="s">
        <v>2787</v>
      </c>
      <c r="BF861" t="s">
        <v>291</v>
      </c>
      <c r="BG861" t="s">
        <v>110</v>
      </c>
      <c r="BH861" t="str">
        <f>IF(COUNTIF(工作表1!A:A, $C861)&gt;0, "預購款", "非預購款")</f>
        <v>非預購款</v>
      </c>
    </row>
    <row r="862" spans="1:60" x14ac:dyDescent="0.25">
      <c r="A862" t="s">
        <v>2793</v>
      </c>
      <c r="B862" t="s">
        <v>315</v>
      </c>
      <c r="C862" t="s">
        <v>2794</v>
      </c>
      <c r="D862" t="s">
        <v>2795</v>
      </c>
      <c r="E862" t="s">
        <v>2796</v>
      </c>
      <c r="F862" t="s">
        <v>181</v>
      </c>
      <c r="G862" t="s">
        <v>2797</v>
      </c>
      <c r="H862" t="s">
        <v>273</v>
      </c>
      <c r="I862" t="s">
        <v>120</v>
      </c>
      <c r="J862" t="s">
        <v>121</v>
      </c>
      <c r="K862" t="s">
        <v>69</v>
      </c>
      <c r="L862" t="s">
        <v>2782</v>
      </c>
      <c r="M862" t="s">
        <v>71</v>
      </c>
      <c r="N862" t="s">
        <v>198</v>
      </c>
      <c r="O862" t="s">
        <v>2597</v>
      </c>
      <c r="P862" t="s">
        <v>2598</v>
      </c>
      <c r="R862" t="s">
        <v>2599</v>
      </c>
      <c r="S862" t="s">
        <v>176</v>
      </c>
      <c r="T862" t="s">
        <v>274</v>
      </c>
      <c r="U862" t="s">
        <v>104</v>
      </c>
      <c r="V862" t="s">
        <v>99</v>
      </c>
      <c r="W862">
        <v>990</v>
      </c>
      <c r="X862">
        <v>39.99</v>
      </c>
      <c r="Y862">
        <v>129</v>
      </c>
      <c r="Z862">
        <v>709000</v>
      </c>
      <c r="AA862">
        <v>433620</v>
      </c>
      <c r="AB862">
        <v>384</v>
      </c>
      <c r="AD862" t="s">
        <v>238</v>
      </c>
      <c r="AE862">
        <v>2</v>
      </c>
      <c r="AF862">
        <v>0</v>
      </c>
      <c r="AI862">
        <v>15</v>
      </c>
      <c r="AJ862">
        <v>50</v>
      </c>
      <c r="AK862">
        <v>65</v>
      </c>
      <c r="AL862">
        <v>438</v>
      </c>
      <c r="AM862">
        <v>69</v>
      </c>
      <c r="AN862">
        <v>0</v>
      </c>
      <c r="AO862">
        <v>69</v>
      </c>
      <c r="AP862" t="s">
        <v>80</v>
      </c>
      <c r="AQ862" t="s">
        <v>190</v>
      </c>
      <c r="AS862" t="s">
        <v>86</v>
      </c>
      <c r="AT862" t="s">
        <v>86</v>
      </c>
      <c r="AU862" t="s">
        <v>86</v>
      </c>
      <c r="AV862" t="s">
        <v>2798</v>
      </c>
      <c r="AW862" t="s">
        <v>80</v>
      </c>
      <c r="AX862" t="s">
        <v>126</v>
      </c>
      <c r="AY862" t="s">
        <v>2754</v>
      </c>
      <c r="AZ862" t="s">
        <v>264</v>
      </c>
      <c r="BA862" t="s">
        <v>243</v>
      </c>
      <c r="BB862" t="s">
        <v>244</v>
      </c>
      <c r="BC862" t="s">
        <v>244</v>
      </c>
      <c r="BD862" t="s">
        <v>2799</v>
      </c>
      <c r="BE862" t="s">
        <v>2800</v>
      </c>
      <c r="BF862" t="s">
        <v>279</v>
      </c>
      <c r="BG862" t="s">
        <v>110</v>
      </c>
      <c r="BH862" t="str">
        <f>IF(COUNTIF(工作表1!A:A, $C862)&gt;0, "預購款", "非預購款")</f>
        <v>非預購款</v>
      </c>
    </row>
    <row r="863" spans="1:60" x14ac:dyDescent="0.25">
      <c r="A863" t="s">
        <v>2793</v>
      </c>
      <c r="B863" t="s">
        <v>315</v>
      </c>
      <c r="C863" t="s">
        <v>2794</v>
      </c>
      <c r="D863" t="s">
        <v>2795</v>
      </c>
      <c r="E863" t="s">
        <v>2796</v>
      </c>
      <c r="F863" t="s">
        <v>181</v>
      </c>
      <c r="G863" t="s">
        <v>2797</v>
      </c>
      <c r="H863" t="s">
        <v>501</v>
      </c>
      <c r="I863" t="s">
        <v>120</v>
      </c>
      <c r="J863" t="s">
        <v>121</v>
      </c>
      <c r="K863" t="s">
        <v>69</v>
      </c>
      <c r="L863" t="s">
        <v>2782</v>
      </c>
      <c r="M863" t="s">
        <v>71</v>
      </c>
      <c r="N863" t="s">
        <v>198</v>
      </c>
      <c r="O863" t="s">
        <v>2597</v>
      </c>
      <c r="P863" t="s">
        <v>2598</v>
      </c>
      <c r="R863" t="s">
        <v>2599</v>
      </c>
      <c r="S863" t="s">
        <v>176</v>
      </c>
      <c r="T863" t="s">
        <v>274</v>
      </c>
      <c r="U863" t="s">
        <v>104</v>
      </c>
      <c r="V863" t="s">
        <v>99</v>
      </c>
      <c r="W863">
        <v>990</v>
      </c>
      <c r="X863">
        <v>39.99</v>
      </c>
      <c r="Y863">
        <v>129</v>
      </c>
      <c r="Z863">
        <v>709000</v>
      </c>
      <c r="AA863">
        <v>433620</v>
      </c>
      <c r="AB863">
        <v>384</v>
      </c>
      <c r="AD863" t="s">
        <v>238</v>
      </c>
      <c r="AE863">
        <v>2</v>
      </c>
      <c r="AF863">
        <v>0</v>
      </c>
      <c r="AI863">
        <v>15</v>
      </c>
      <c r="AJ863">
        <v>30</v>
      </c>
      <c r="AK863">
        <v>45</v>
      </c>
      <c r="AL863">
        <v>438</v>
      </c>
      <c r="AM863">
        <v>45</v>
      </c>
      <c r="AN863">
        <v>0</v>
      </c>
      <c r="AO863">
        <v>45</v>
      </c>
      <c r="AP863" t="s">
        <v>80</v>
      </c>
      <c r="AQ863" t="s">
        <v>190</v>
      </c>
      <c r="AS863" t="s">
        <v>86</v>
      </c>
      <c r="AT863" t="s">
        <v>86</v>
      </c>
      <c r="AU863" t="s">
        <v>86</v>
      </c>
      <c r="AV863" t="s">
        <v>2798</v>
      </c>
      <c r="AW863" t="s">
        <v>80</v>
      </c>
      <c r="AX863" t="s">
        <v>126</v>
      </c>
      <c r="AY863" t="s">
        <v>2754</v>
      </c>
      <c r="AZ863" t="s">
        <v>264</v>
      </c>
      <c r="BA863" t="s">
        <v>243</v>
      </c>
      <c r="BB863" t="s">
        <v>244</v>
      </c>
      <c r="BC863" t="s">
        <v>244</v>
      </c>
      <c r="BD863" t="s">
        <v>2801</v>
      </c>
      <c r="BE863" t="s">
        <v>2800</v>
      </c>
      <c r="BF863" t="s">
        <v>279</v>
      </c>
      <c r="BG863" t="s">
        <v>110</v>
      </c>
      <c r="BH863" t="str">
        <f>IF(COUNTIF(工作表1!A:A, $C863)&gt;0, "預購款", "非預購款")</f>
        <v>非預購款</v>
      </c>
    </row>
    <row r="864" spans="1:60" x14ac:dyDescent="0.25">
      <c r="A864" t="s">
        <v>2793</v>
      </c>
      <c r="B864" t="s">
        <v>315</v>
      </c>
      <c r="C864" t="s">
        <v>2794</v>
      </c>
      <c r="D864" t="s">
        <v>2795</v>
      </c>
      <c r="E864" t="s">
        <v>2796</v>
      </c>
      <c r="F864" t="s">
        <v>181</v>
      </c>
      <c r="G864" t="s">
        <v>2797</v>
      </c>
      <c r="H864" t="s">
        <v>280</v>
      </c>
      <c r="I864" t="s">
        <v>120</v>
      </c>
      <c r="J864" t="s">
        <v>121</v>
      </c>
      <c r="K864" t="s">
        <v>69</v>
      </c>
      <c r="L864" t="s">
        <v>2782</v>
      </c>
      <c r="M864" t="s">
        <v>71</v>
      </c>
      <c r="N864" t="s">
        <v>198</v>
      </c>
      <c r="O864" t="s">
        <v>2597</v>
      </c>
      <c r="P864" t="s">
        <v>2598</v>
      </c>
      <c r="R864" t="s">
        <v>2599</v>
      </c>
      <c r="S864" t="s">
        <v>176</v>
      </c>
      <c r="T864" t="s">
        <v>274</v>
      </c>
      <c r="U864" t="s">
        <v>104</v>
      </c>
      <c r="V864" t="s">
        <v>99</v>
      </c>
      <c r="W864">
        <v>990</v>
      </c>
      <c r="X864">
        <v>39.99</v>
      </c>
      <c r="Y864">
        <v>129</v>
      </c>
      <c r="Z864">
        <v>709000</v>
      </c>
      <c r="AA864">
        <v>433620</v>
      </c>
      <c r="AB864">
        <v>384</v>
      </c>
      <c r="AD864" t="s">
        <v>238</v>
      </c>
      <c r="AE864">
        <v>2</v>
      </c>
      <c r="AF864">
        <v>0</v>
      </c>
      <c r="AI864">
        <v>15</v>
      </c>
      <c r="AJ864">
        <v>50</v>
      </c>
      <c r="AK864">
        <v>65</v>
      </c>
      <c r="AL864">
        <v>438</v>
      </c>
      <c r="AM864">
        <v>65</v>
      </c>
      <c r="AN864">
        <v>0</v>
      </c>
      <c r="AO864">
        <v>65</v>
      </c>
      <c r="AP864" t="s">
        <v>80</v>
      </c>
      <c r="AQ864" t="s">
        <v>190</v>
      </c>
      <c r="AS864" t="s">
        <v>86</v>
      </c>
      <c r="AT864" t="s">
        <v>86</v>
      </c>
      <c r="AU864" t="s">
        <v>86</v>
      </c>
      <c r="AV864" t="s">
        <v>2798</v>
      </c>
      <c r="AW864" t="s">
        <v>80</v>
      </c>
      <c r="AX864" t="s">
        <v>126</v>
      </c>
      <c r="AY864" t="s">
        <v>2754</v>
      </c>
      <c r="AZ864" t="s">
        <v>264</v>
      </c>
      <c r="BA864" t="s">
        <v>243</v>
      </c>
      <c r="BB864" t="s">
        <v>244</v>
      </c>
      <c r="BC864" t="s">
        <v>244</v>
      </c>
      <c r="BD864" t="s">
        <v>2802</v>
      </c>
      <c r="BE864" t="s">
        <v>2800</v>
      </c>
      <c r="BF864" t="s">
        <v>279</v>
      </c>
      <c r="BG864" t="s">
        <v>110</v>
      </c>
      <c r="BH864" t="str">
        <f>IF(COUNTIF(工作表1!A:A, $C864)&gt;0, "預購款", "非預購款")</f>
        <v>非預購款</v>
      </c>
    </row>
    <row r="865" spans="1:60" x14ac:dyDescent="0.25">
      <c r="A865" t="s">
        <v>2793</v>
      </c>
      <c r="B865" t="s">
        <v>315</v>
      </c>
      <c r="C865" t="s">
        <v>2794</v>
      </c>
      <c r="D865" t="s">
        <v>2795</v>
      </c>
      <c r="E865" t="s">
        <v>2796</v>
      </c>
      <c r="F865" t="s">
        <v>181</v>
      </c>
      <c r="G865" t="s">
        <v>2797</v>
      </c>
      <c r="H865" t="s">
        <v>273</v>
      </c>
      <c r="I865" t="s">
        <v>88</v>
      </c>
      <c r="J865" t="s">
        <v>89</v>
      </c>
      <c r="K865" t="s">
        <v>69</v>
      </c>
      <c r="L865" t="s">
        <v>2782</v>
      </c>
      <c r="M865" t="s">
        <v>71</v>
      </c>
      <c r="N865" t="s">
        <v>198</v>
      </c>
      <c r="O865" t="s">
        <v>2597</v>
      </c>
      <c r="P865" t="s">
        <v>2598</v>
      </c>
      <c r="R865" t="s">
        <v>2599</v>
      </c>
      <c r="S865" t="s">
        <v>176</v>
      </c>
      <c r="T865" t="s">
        <v>274</v>
      </c>
      <c r="U865" t="s">
        <v>104</v>
      </c>
      <c r="V865" t="s">
        <v>99</v>
      </c>
      <c r="W865">
        <v>990</v>
      </c>
      <c r="X865">
        <v>39.99</v>
      </c>
      <c r="Y865">
        <v>129</v>
      </c>
      <c r="Z865">
        <v>709000</v>
      </c>
      <c r="AA865">
        <v>433620</v>
      </c>
      <c r="AB865">
        <v>384</v>
      </c>
      <c r="AD865" t="s">
        <v>238</v>
      </c>
      <c r="AE865">
        <v>2</v>
      </c>
      <c r="AF865">
        <v>3</v>
      </c>
      <c r="AI865">
        <v>15</v>
      </c>
      <c r="AJ865">
        <v>130</v>
      </c>
      <c r="AK865">
        <v>148</v>
      </c>
      <c r="AL865">
        <v>438</v>
      </c>
      <c r="AM865">
        <v>148</v>
      </c>
      <c r="AN865">
        <v>0</v>
      </c>
      <c r="AO865">
        <v>148</v>
      </c>
      <c r="AP865" t="s">
        <v>80</v>
      </c>
      <c r="AQ865" t="s">
        <v>190</v>
      </c>
      <c r="AS865" t="s">
        <v>86</v>
      </c>
      <c r="AT865" t="s">
        <v>86</v>
      </c>
      <c r="AU865" t="s">
        <v>86</v>
      </c>
      <c r="AV865" t="s">
        <v>2798</v>
      </c>
      <c r="AW865" t="s">
        <v>80</v>
      </c>
      <c r="AX865" t="s">
        <v>126</v>
      </c>
      <c r="AY865" t="s">
        <v>2754</v>
      </c>
      <c r="AZ865" t="s">
        <v>264</v>
      </c>
      <c r="BA865" t="s">
        <v>243</v>
      </c>
      <c r="BB865" t="s">
        <v>244</v>
      </c>
      <c r="BC865" t="s">
        <v>244</v>
      </c>
      <c r="BD865" t="s">
        <v>2803</v>
      </c>
      <c r="BE865" t="s">
        <v>2800</v>
      </c>
      <c r="BF865" t="s">
        <v>279</v>
      </c>
      <c r="BG865" t="s">
        <v>110</v>
      </c>
      <c r="BH865" t="str">
        <f>IF(COUNTIF(工作表1!A:A, $C865)&gt;0, "預購款", "非預購款")</f>
        <v>非預購款</v>
      </c>
    </row>
    <row r="866" spans="1:60" x14ac:dyDescent="0.25">
      <c r="A866" t="s">
        <v>2793</v>
      </c>
      <c r="B866" t="s">
        <v>315</v>
      </c>
      <c r="C866" t="s">
        <v>2794</v>
      </c>
      <c r="D866" t="s">
        <v>2795</v>
      </c>
      <c r="E866" t="s">
        <v>2796</v>
      </c>
      <c r="F866" t="s">
        <v>181</v>
      </c>
      <c r="G866" t="s">
        <v>2797</v>
      </c>
      <c r="H866" t="s">
        <v>501</v>
      </c>
      <c r="I866" t="s">
        <v>88</v>
      </c>
      <c r="J866" t="s">
        <v>89</v>
      </c>
      <c r="K866" t="s">
        <v>69</v>
      </c>
      <c r="L866" t="s">
        <v>2782</v>
      </c>
      <c r="M866" t="s">
        <v>71</v>
      </c>
      <c r="N866" t="s">
        <v>198</v>
      </c>
      <c r="O866" t="s">
        <v>2597</v>
      </c>
      <c r="P866" t="s">
        <v>2598</v>
      </c>
      <c r="R866" t="s">
        <v>2599</v>
      </c>
      <c r="S866" t="s">
        <v>176</v>
      </c>
      <c r="T866" t="s">
        <v>274</v>
      </c>
      <c r="U866" t="s">
        <v>104</v>
      </c>
      <c r="V866" t="s">
        <v>99</v>
      </c>
      <c r="W866">
        <v>990</v>
      </c>
      <c r="X866">
        <v>39.99</v>
      </c>
      <c r="Y866">
        <v>129</v>
      </c>
      <c r="Z866">
        <v>709000</v>
      </c>
      <c r="AA866">
        <v>433620</v>
      </c>
      <c r="AB866">
        <v>384</v>
      </c>
      <c r="AD866" t="s">
        <v>238</v>
      </c>
      <c r="AE866">
        <v>2</v>
      </c>
      <c r="AF866">
        <v>0</v>
      </c>
      <c r="AI866">
        <v>10</v>
      </c>
      <c r="AJ866">
        <v>30</v>
      </c>
      <c r="AK866">
        <v>40</v>
      </c>
      <c r="AL866">
        <v>438</v>
      </c>
      <c r="AM866">
        <v>41</v>
      </c>
      <c r="AN866">
        <v>0</v>
      </c>
      <c r="AO866">
        <v>41</v>
      </c>
      <c r="AP866" t="s">
        <v>80</v>
      </c>
      <c r="AQ866" t="s">
        <v>190</v>
      </c>
      <c r="AS866" t="s">
        <v>86</v>
      </c>
      <c r="AT866" t="s">
        <v>86</v>
      </c>
      <c r="AU866" t="s">
        <v>86</v>
      </c>
      <c r="AV866" t="s">
        <v>2798</v>
      </c>
      <c r="AW866" t="s">
        <v>80</v>
      </c>
      <c r="AX866" t="s">
        <v>126</v>
      </c>
      <c r="AY866" t="s">
        <v>2754</v>
      </c>
      <c r="AZ866" t="s">
        <v>264</v>
      </c>
      <c r="BA866" t="s">
        <v>243</v>
      </c>
      <c r="BB866" t="s">
        <v>244</v>
      </c>
      <c r="BC866" t="s">
        <v>244</v>
      </c>
      <c r="BD866" t="s">
        <v>2804</v>
      </c>
      <c r="BE866" t="s">
        <v>2800</v>
      </c>
      <c r="BF866" t="s">
        <v>279</v>
      </c>
      <c r="BG866" t="s">
        <v>110</v>
      </c>
      <c r="BH866" t="str">
        <f>IF(COUNTIF(工作表1!A:A, $C866)&gt;0, "預購款", "非預購款")</f>
        <v>非預購款</v>
      </c>
    </row>
    <row r="867" spans="1:60" x14ac:dyDescent="0.25">
      <c r="A867" t="s">
        <v>2793</v>
      </c>
      <c r="B867" t="s">
        <v>315</v>
      </c>
      <c r="C867" t="s">
        <v>2794</v>
      </c>
      <c r="D867" t="s">
        <v>2795</v>
      </c>
      <c r="E867" t="s">
        <v>2796</v>
      </c>
      <c r="F867" t="s">
        <v>181</v>
      </c>
      <c r="G867" t="s">
        <v>2797</v>
      </c>
      <c r="H867" t="s">
        <v>280</v>
      </c>
      <c r="I867" t="s">
        <v>88</v>
      </c>
      <c r="J867" t="s">
        <v>89</v>
      </c>
      <c r="K867" t="s">
        <v>69</v>
      </c>
      <c r="L867" t="s">
        <v>2782</v>
      </c>
      <c r="M867" t="s">
        <v>71</v>
      </c>
      <c r="N867" t="s">
        <v>198</v>
      </c>
      <c r="O867" t="s">
        <v>2597</v>
      </c>
      <c r="P867" t="s">
        <v>2598</v>
      </c>
      <c r="R867" t="s">
        <v>2599</v>
      </c>
      <c r="S867" t="s">
        <v>176</v>
      </c>
      <c r="T867" t="s">
        <v>274</v>
      </c>
      <c r="U867" t="s">
        <v>104</v>
      </c>
      <c r="V867" t="s">
        <v>99</v>
      </c>
      <c r="W867">
        <v>990</v>
      </c>
      <c r="X867">
        <v>39.99</v>
      </c>
      <c r="Y867">
        <v>129</v>
      </c>
      <c r="Z867">
        <v>709000</v>
      </c>
      <c r="AA867">
        <v>433620</v>
      </c>
      <c r="AB867">
        <v>384</v>
      </c>
      <c r="AD867" t="s">
        <v>238</v>
      </c>
      <c r="AE867">
        <v>2</v>
      </c>
      <c r="AF867">
        <v>0</v>
      </c>
      <c r="AI867">
        <v>15</v>
      </c>
      <c r="AJ867">
        <v>60</v>
      </c>
      <c r="AK867">
        <v>75</v>
      </c>
      <c r="AL867">
        <v>438</v>
      </c>
      <c r="AM867">
        <v>75</v>
      </c>
      <c r="AN867">
        <v>0</v>
      </c>
      <c r="AO867">
        <v>75</v>
      </c>
      <c r="AP867" t="s">
        <v>80</v>
      </c>
      <c r="AQ867" t="s">
        <v>190</v>
      </c>
      <c r="AS867" t="s">
        <v>86</v>
      </c>
      <c r="AT867" t="s">
        <v>86</v>
      </c>
      <c r="AU867" t="s">
        <v>86</v>
      </c>
      <c r="AV867" t="s">
        <v>2798</v>
      </c>
      <c r="AW867" t="s">
        <v>80</v>
      </c>
      <c r="AX867" t="s">
        <v>126</v>
      </c>
      <c r="AY867" t="s">
        <v>2754</v>
      </c>
      <c r="AZ867" t="s">
        <v>264</v>
      </c>
      <c r="BA867" t="s">
        <v>243</v>
      </c>
      <c r="BB867" t="s">
        <v>244</v>
      </c>
      <c r="BC867" t="s">
        <v>244</v>
      </c>
      <c r="BD867" t="s">
        <v>2805</v>
      </c>
      <c r="BE867" t="s">
        <v>2800</v>
      </c>
      <c r="BF867" t="s">
        <v>279</v>
      </c>
      <c r="BG867" t="s">
        <v>110</v>
      </c>
      <c r="BH867" t="str">
        <f>IF(COUNTIF(工作表1!A:A, $C867)&gt;0, "預購款", "非預購款")</f>
        <v>非預購款</v>
      </c>
    </row>
    <row r="868" spans="1:60" x14ac:dyDescent="0.25">
      <c r="A868" t="s">
        <v>2806</v>
      </c>
      <c r="B868" t="s">
        <v>315</v>
      </c>
      <c r="C868" t="s">
        <v>2807</v>
      </c>
      <c r="D868" t="s">
        <v>2808</v>
      </c>
      <c r="E868" t="s">
        <v>2809</v>
      </c>
      <c r="F868" t="s">
        <v>181</v>
      </c>
      <c r="G868" t="s">
        <v>2810</v>
      </c>
      <c r="H868" t="s">
        <v>379</v>
      </c>
      <c r="I868" t="s">
        <v>120</v>
      </c>
      <c r="J868" t="s">
        <v>121</v>
      </c>
      <c r="K868" t="s">
        <v>69</v>
      </c>
      <c r="L868" t="s">
        <v>2811</v>
      </c>
      <c r="M868" t="s">
        <v>71</v>
      </c>
      <c r="N868" t="s">
        <v>198</v>
      </c>
      <c r="O868" t="s">
        <v>2597</v>
      </c>
      <c r="P868" t="s">
        <v>2598</v>
      </c>
      <c r="R868" t="s">
        <v>2599</v>
      </c>
      <c r="S868" t="s">
        <v>176</v>
      </c>
      <c r="T868" t="s">
        <v>291</v>
      </c>
      <c r="U868" t="s">
        <v>383</v>
      </c>
      <c r="V868" t="s">
        <v>384</v>
      </c>
      <c r="W868">
        <v>1080</v>
      </c>
      <c r="X868">
        <v>44.99</v>
      </c>
      <c r="Y868">
        <v>139</v>
      </c>
      <c r="Z868">
        <v>779000</v>
      </c>
      <c r="AA868">
        <v>545400</v>
      </c>
      <c r="AB868">
        <v>440</v>
      </c>
      <c r="AD868" t="s">
        <v>238</v>
      </c>
      <c r="AE868">
        <v>2</v>
      </c>
      <c r="AF868">
        <v>0</v>
      </c>
      <c r="AI868">
        <v>10</v>
      </c>
      <c r="AJ868">
        <v>10</v>
      </c>
      <c r="AK868">
        <v>20</v>
      </c>
      <c r="AL868">
        <v>505</v>
      </c>
      <c r="AM868">
        <v>26</v>
      </c>
      <c r="AN868">
        <v>0</v>
      </c>
      <c r="AO868">
        <v>26</v>
      </c>
      <c r="AP868" t="s">
        <v>69</v>
      </c>
      <c r="AT868" t="s">
        <v>240</v>
      </c>
      <c r="AU868" t="s">
        <v>86</v>
      </c>
      <c r="AV868" t="s">
        <v>2812</v>
      </c>
      <c r="AW868" t="s">
        <v>80</v>
      </c>
      <c r="AX868" t="s">
        <v>126</v>
      </c>
      <c r="AY868" t="s">
        <v>2813</v>
      </c>
      <c r="AZ868" t="s">
        <v>264</v>
      </c>
      <c r="BA868" t="s">
        <v>244</v>
      </c>
      <c r="BB868" t="s">
        <v>244</v>
      </c>
      <c r="BC868" t="s">
        <v>244</v>
      </c>
      <c r="BD868" t="s">
        <v>2814</v>
      </c>
      <c r="BE868" t="s">
        <v>2815</v>
      </c>
      <c r="BF868" t="s">
        <v>291</v>
      </c>
      <c r="BG868" t="s">
        <v>110</v>
      </c>
      <c r="BH868" t="str">
        <f>IF(COUNTIF(工作表1!A:A, $C868)&gt;0, "預購款", "非預購款")</f>
        <v>非預購款</v>
      </c>
    </row>
    <row r="869" spans="1:60" x14ac:dyDescent="0.25">
      <c r="A869" t="s">
        <v>2806</v>
      </c>
      <c r="B869" t="s">
        <v>315</v>
      </c>
      <c r="C869" t="s">
        <v>2807</v>
      </c>
      <c r="D869" t="s">
        <v>2808</v>
      </c>
      <c r="E869" t="s">
        <v>2809</v>
      </c>
      <c r="F869" t="s">
        <v>181</v>
      </c>
      <c r="G869" t="s">
        <v>2810</v>
      </c>
      <c r="H869" t="s">
        <v>119</v>
      </c>
      <c r="I869" t="s">
        <v>120</v>
      </c>
      <c r="J869" t="s">
        <v>121</v>
      </c>
      <c r="K869" t="s">
        <v>69</v>
      </c>
      <c r="L869" t="s">
        <v>2811</v>
      </c>
      <c r="M869" t="s">
        <v>71</v>
      </c>
      <c r="N869" t="s">
        <v>198</v>
      </c>
      <c r="O869" t="s">
        <v>2597</v>
      </c>
      <c r="P869" t="s">
        <v>2598</v>
      </c>
      <c r="R869" t="s">
        <v>2599</v>
      </c>
      <c r="S869" t="s">
        <v>176</v>
      </c>
      <c r="T869" t="s">
        <v>291</v>
      </c>
      <c r="U869" t="s">
        <v>383</v>
      </c>
      <c r="V869" t="s">
        <v>384</v>
      </c>
      <c r="W869">
        <v>1080</v>
      </c>
      <c r="X869">
        <v>44.99</v>
      </c>
      <c r="Y869">
        <v>139</v>
      </c>
      <c r="Z869">
        <v>779000</v>
      </c>
      <c r="AA869">
        <v>545400</v>
      </c>
      <c r="AB869">
        <v>440</v>
      </c>
      <c r="AD869" t="s">
        <v>238</v>
      </c>
      <c r="AE869">
        <v>2</v>
      </c>
      <c r="AF869">
        <v>0</v>
      </c>
      <c r="AI869">
        <v>10</v>
      </c>
      <c r="AJ869">
        <v>50</v>
      </c>
      <c r="AK869">
        <v>60</v>
      </c>
      <c r="AL869">
        <v>505</v>
      </c>
      <c r="AM869">
        <v>66</v>
      </c>
      <c r="AN869">
        <v>0</v>
      </c>
      <c r="AO869">
        <v>66</v>
      </c>
      <c r="AP869" t="s">
        <v>69</v>
      </c>
      <c r="AT869" t="s">
        <v>240</v>
      </c>
      <c r="AU869" t="s">
        <v>86</v>
      </c>
      <c r="AV869" t="s">
        <v>2812</v>
      </c>
      <c r="AW869" t="s">
        <v>80</v>
      </c>
      <c r="AX869" t="s">
        <v>126</v>
      </c>
      <c r="AY869" t="s">
        <v>2813</v>
      </c>
      <c r="AZ869" t="s">
        <v>264</v>
      </c>
      <c r="BA869" t="s">
        <v>244</v>
      </c>
      <c r="BB869" t="s">
        <v>244</v>
      </c>
      <c r="BC869" t="s">
        <v>244</v>
      </c>
      <c r="BD869" t="s">
        <v>2816</v>
      </c>
      <c r="BE869" t="s">
        <v>2815</v>
      </c>
      <c r="BF869" t="s">
        <v>291</v>
      </c>
      <c r="BG869" t="s">
        <v>110</v>
      </c>
      <c r="BH869" t="str">
        <f>IF(COUNTIF(工作表1!A:A, $C869)&gt;0, "預購款", "非預購款")</f>
        <v>非預購款</v>
      </c>
    </row>
    <row r="870" spans="1:60" x14ac:dyDescent="0.25">
      <c r="A870" t="s">
        <v>2806</v>
      </c>
      <c r="B870" t="s">
        <v>315</v>
      </c>
      <c r="C870" t="s">
        <v>2807</v>
      </c>
      <c r="D870" t="s">
        <v>2808</v>
      </c>
      <c r="E870" t="s">
        <v>2809</v>
      </c>
      <c r="F870" t="s">
        <v>181</v>
      </c>
      <c r="G870" t="s">
        <v>2810</v>
      </c>
      <c r="H870" t="s">
        <v>392</v>
      </c>
      <c r="I870" t="s">
        <v>120</v>
      </c>
      <c r="J870" t="s">
        <v>121</v>
      </c>
      <c r="K870" t="s">
        <v>69</v>
      </c>
      <c r="L870" t="s">
        <v>2811</v>
      </c>
      <c r="M870" t="s">
        <v>71</v>
      </c>
      <c r="N870" t="s">
        <v>198</v>
      </c>
      <c r="O870" t="s">
        <v>2597</v>
      </c>
      <c r="P870" t="s">
        <v>2598</v>
      </c>
      <c r="R870" t="s">
        <v>2599</v>
      </c>
      <c r="S870" t="s">
        <v>176</v>
      </c>
      <c r="T870" t="s">
        <v>291</v>
      </c>
      <c r="U870" t="s">
        <v>383</v>
      </c>
      <c r="V870" t="s">
        <v>384</v>
      </c>
      <c r="W870">
        <v>1080</v>
      </c>
      <c r="X870">
        <v>44.99</v>
      </c>
      <c r="Y870">
        <v>139</v>
      </c>
      <c r="Z870">
        <v>779000</v>
      </c>
      <c r="AA870">
        <v>545400</v>
      </c>
      <c r="AB870">
        <v>440</v>
      </c>
      <c r="AD870" t="s">
        <v>238</v>
      </c>
      <c r="AE870">
        <v>2</v>
      </c>
      <c r="AF870">
        <v>0</v>
      </c>
      <c r="AI870">
        <v>10</v>
      </c>
      <c r="AJ870">
        <v>10</v>
      </c>
      <c r="AK870">
        <v>20</v>
      </c>
      <c r="AL870">
        <v>505</v>
      </c>
      <c r="AM870">
        <v>23</v>
      </c>
      <c r="AN870">
        <v>0</v>
      </c>
      <c r="AO870">
        <v>23</v>
      </c>
      <c r="AP870" t="s">
        <v>69</v>
      </c>
      <c r="AT870" t="s">
        <v>240</v>
      </c>
      <c r="AU870" t="s">
        <v>86</v>
      </c>
      <c r="AV870" t="s">
        <v>2812</v>
      </c>
      <c r="AW870" t="s">
        <v>80</v>
      </c>
      <c r="AX870" t="s">
        <v>126</v>
      </c>
      <c r="AY870" t="s">
        <v>2813</v>
      </c>
      <c r="AZ870" t="s">
        <v>264</v>
      </c>
      <c r="BA870" t="s">
        <v>244</v>
      </c>
      <c r="BB870" t="s">
        <v>244</v>
      </c>
      <c r="BC870" t="s">
        <v>244</v>
      </c>
      <c r="BD870" t="s">
        <v>2817</v>
      </c>
      <c r="BE870" t="s">
        <v>2815</v>
      </c>
      <c r="BF870" t="s">
        <v>291</v>
      </c>
      <c r="BG870" t="s">
        <v>110</v>
      </c>
      <c r="BH870" t="str">
        <f>IF(COUNTIF(工作表1!A:A, $C870)&gt;0, "預購款", "非預購款")</f>
        <v>非預購款</v>
      </c>
    </row>
    <row r="871" spans="1:60" x14ac:dyDescent="0.25">
      <c r="A871" t="s">
        <v>2806</v>
      </c>
      <c r="B871" t="s">
        <v>315</v>
      </c>
      <c r="C871" t="s">
        <v>2807</v>
      </c>
      <c r="D871" t="s">
        <v>2808</v>
      </c>
      <c r="E871" t="s">
        <v>2809</v>
      </c>
      <c r="F871" t="s">
        <v>181</v>
      </c>
      <c r="G871" t="s">
        <v>2810</v>
      </c>
      <c r="H871" t="s">
        <v>130</v>
      </c>
      <c r="I871" t="s">
        <v>120</v>
      </c>
      <c r="J871" t="s">
        <v>121</v>
      </c>
      <c r="K871" t="s">
        <v>69</v>
      </c>
      <c r="L871" t="s">
        <v>2811</v>
      </c>
      <c r="M871" t="s">
        <v>71</v>
      </c>
      <c r="N871" t="s">
        <v>198</v>
      </c>
      <c r="O871" t="s">
        <v>2597</v>
      </c>
      <c r="P871" t="s">
        <v>2598</v>
      </c>
      <c r="R871" t="s">
        <v>2599</v>
      </c>
      <c r="S871" t="s">
        <v>176</v>
      </c>
      <c r="T871" t="s">
        <v>291</v>
      </c>
      <c r="U871" t="s">
        <v>383</v>
      </c>
      <c r="V871" t="s">
        <v>384</v>
      </c>
      <c r="W871">
        <v>1080</v>
      </c>
      <c r="X871">
        <v>44.99</v>
      </c>
      <c r="Y871">
        <v>139</v>
      </c>
      <c r="Z871">
        <v>779000</v>
      </c>
      <c r="AA871">
        <v>545400</v>
      </c>
      <c r="AB871">
        <v>440</v>
      </c>
      <c r="AD871" t="s">
        <v>238</v>
      </c>
      <c r="AE871">
        <v>2</v>
      </c>
      <c r="AF871">
        <v>0</v>
      </c>
      <c r="AI871">
        <v>10</v>
      </c>
      <c r="AJ871">
        <v>25</v>
      </c>
      <c r="AK871">
        <v>35</v>
      </c>
      <c r="AL871">
        <v>505</v>
      </c>
      <c r="AM871">
        <v>39</v>
      </c>
      <c r="AN871">
        <v>0</v>
      </c>
      <c r="AO871">
        <v>39</v>
      </c>
      <c r="AP871" t="s">
        <v>69</v>
      </c>
      <c r="AT871" t="s">
        <v>240</v>
      </c>
      <c r="AU871" t="s">
        <v>86</v>
      </c>
      <c r="AV871" t="s">
        <v>2812</v>
      </c>
      <c r="AW871" t="s">
        <v>80</v>
      </c>
      <c r="AX871" t="s">
        <v>126</v>
      </c>
      <c r="AY871" t="s">
        <v>2813</v>
      </c>
      <c r="AZ871" t="s">
        <v>264</v>
      </c>
      <c r="BA871" t="s">
        <v>244</v>
      </c>
      <c r="BB871" t="s">
        <v>244</v>
      </c>
      <c r="BC871" t="s">
        <v>244</v>
      </c>
      <c r="BD871" t="s">
        <v>2818</v>
      </c>
      <c r="BE871" t="s">
        <v>2815</v>
      </c>
      <c r="BF871" t="s">
        <v>291</v>
      </c>
      <c r="BG871" t="s">
        <v>110</v>
      </c>
      <c r="BH871" t="str">
        <f>IF(COUNTIF(工作表1!A:A, $C871)&gt;0, "預購款", "非預購款")</f>
        <v>非預購款</v>
      </c>
    </row>
    <row r="872" spans="1:60" x14ac:dyDescent="0.25">
      <c r="A872" t="s">
        <v>2806</v>
      </c>
      <c r="B872" t="s">
        <v>315</v>
      </c>
      <c r="C872" t="s">
        <v>2807</v>
      </c>
      <c r="D872" t="s">
        <v>2808</v>
      </c>
      <c r="E872" t="s">
        <v>2809</v>
      </c>
      <c r="F872" t="s">
        <v>181</v>
      </c>
      <c r="G872" t="s">
        <v>2810</v>
      </c>
      <c r="H872" t="s">
        <v>132</v>
      </c>
      <c r="I872" t="s">
        <v>120</v>
      </c>
      <c r="J872" t="s">
        <v>121</v>
      </c>
      <c r="K872" t="s">
        <v>69</v>
      </c>
      <c r="L872" t="s">
        <v>2811</v>
      </c>
      <c r="M872" t="s">
        <v>71</v>
      </c>
      <c r="N872" t="s">
        <v>198</v>
      </c>
      <c r="O872" t="s">
        <v>2597</v>
      </c>
      <c r="P872" t="s">
        <v>2598</v>
      </c>
      <c r="R872" t="s">
        <v>2599</v>
      </c>
      <c r="S872" t="s">
        <v>176</v>
      </c>
      <c r="T872" t="s">
        <v>291</v>
      </c>
      <c r="U872" t="s">
        <v>383</v>
      </c>
      <c r="V872" t="s">
        <v>384</v>
      </c>
      <c r="W872">
        <v>1080</v>
      </c>
      <c r="X872">
        <v>44.99</v>
      </c>
      <c r="Y872">
        <v>139</v>
      </c>
      <c r="Z872">
        <v>779000</v>
      </c>
      <c r="AA872">
        <v>545400</v>
      </c>
      <c r="AB872">
        <v>440</v>
      </c>
      <c r="AD872" t="s">
        <v>238</v>
      </c>
      <c r="AE872">
        <v>2</v>
      </c>
      <c r="AF872">
        <v>0</v>
      </c>
      <c r="AI872">
        <v>10</v>
      </c>
      <c r="AJ872">
        <v>20</v>
      </c>
      <c r="AK872">
        <v>30</v>
      </c>
      <c r="AL872">
        <v>505</v>
      </c>
      <c r="AM872">
        <v>35</v>
      </c>
      <c r="AN872">
        <v>0</v>
      </c>
      <c r="AO872">
        <v>35</v>
      </c>
      <c r="AP872" t="s">
        <v>69</v>
      </c>
      <c r="AT872" t="s">
        <v>240</v>
      </c>
      <c r="AU872" t="s">
        <v>86</v>
      </c>
      <c r="AV872" t="s">
        <v>2812</v>
      </c>
      <c r="AW872" t="s">
        <v>80</v>
      </c>
      <c r="AX872" t="s">
        <v>126</v>
      </c>
      <c r="AY872" t="s">
        <v>2813</v>
      </c>
      <c r="AZ872" t="s">
        <v>264</v>
      </c>
      <c r="BA872" t="s">
        <v>244</v>
      </c>
      <c r="BB872" t="s">
        <v>244</v>
      </c>
      <c r="BC872" t="s">
        <v>244</v>
      </c>
      <c r="BD872" t="s">
        <v>2819</v>
      </c>
      <c r="BE872" t="s">
        <v>2815</v>
      </c>
      <c r="BF872" t="s">
        <v>291</v>
      </c>
      <c r="BG872" t="s">
        <v>110</v>
      </c>
      <c r="BH872" t="str">
        <f>IF(COUNTIF(工作表1!A:A, $C872)&gt;0, "預購款", "非預購款")</f>
        <v>非預購款</v>
      </c>
    </row>
    <row r="873" spans="1:60" x14ac:dyDescent="0.25">
      <c r="A873" t="s">
        <v>2806</v>
      </c>
      <c r="B873" t="s">
        <v>315</v>
      </c>
      <c r="C873" t="s">
        <v>2807</v>
      </c>
      <c r="D873" t="s">
        <v>2808</v>
      </c>
      <c r="E873" t="s">
        <v>2809</v>
      </c>
      <c r="F873" t="s">
        <v>181</v>
      </c>
      <c r="G873" t="s">
        <v>2810</v>
      </c>
      <c r="H873" t="s">
        <v>379</v>
      </c>
      <c r="I873" t="s">
        <v>88</v>
      </c>
      <c r="J873" t="s">
        <v>89</v>
      </c>
      <c r="K873" t="s">
        <v>80</v>
      </c>
      <c r="L873" t="s">
        <v>2811</v>
      </c>
      <c r="M873" t="s">
        <v>71</v>
      </c>
      <c r="N873" t="s">
        <v>198</v>
      </c>
      <c r="O873" t="s">
        <v>2597</v>
      </c>
      <c r="P873" t="s">
        <v>2598</v>
      </c>
      <c r="R873" t="s">
        <v>2599</v>
      </c>
      <c r="S873" t="s">
        <v>176</v>
      </c>
      <c r="T873" t="s">
        <v>291</v>
      </c>
      <c r="U873" t="s">
        <v>383</v>
      </c>
      <c r="V873" t="s">
        <v>384</v>
      </c>
      <c r="W873">
        <v>1080</v>
      </c>
      <c r="X873">
        <v>44.99</v>
      </c>
      <c r="Y873">
        <v>139</v>
      </c>
      <c r="Z873">
        <v>779000</v>
      </c>
      <c r="AA873">
        <v>545400</v>
      </c>
      <c r="AB873">
        <v>440</v>
      </c>
      <c r="AD873" t="s">
        <v>238</v>
      </c>
      <c r="AE873">
        <v>2</v>
      </c>
      <c r="AF873">
        <v>0</v>
      </c>
      <c r="AI873">
        <v>10</v>
      </c>
      <c r="AJ873">
        <v>20</v>
      </c>
      <c r="AK873">
        <v>30</v>
      </c>
      <c r="AL873">
        <v>505</v>
      </c>
      <c r="AM873">
        <v>30</v>
      </c>
      <c r="AN873">
        <v>0</v>
      </c>
      <c r="AO873">
        <v>30</v>
      </c>
      <c r="AP873" t="s">
        <v>69</v>
      </c>
      <c r="AT873" t="s">
        <v>240</v>
      </c>
      <c r="AU873" t="s">
        <v>86</v>
      </c>
      <c r="AV873" t="s">
        <v>2812</v>
      </c>
      <c r="AW873" t="s">
        <v>80</v>
      </c>
      <c r="AX873" t="s">
        <v>126</v>
      </c>
      <c r="AY873" t="s">
        <v>2813</v>
      </c>
      <c r="AZ873" t="s">
        <v>264</v>
      </c>
      <c r="BA873" t="s">
        <v>244</v>
      </c>
      <c r="BB873" t="s">
        <v>244</v>
      </c>
      <c r="BC873" t="s">
        <v>244</v>
      </c>
      <c r="BD873" t="s">
        <v>2820</v>
      </c>
      <c r="BE873" t="s">
        <v>2815</v>
      </c>
      <c r="BF873" t="s">
        <v>291</v>
      </c>
      <c r="BG873" t="s">
        <v>110</v>
      </c>
      <c r="BH873" t="str">
        <f>IF(COUNTIF(工作表1!A:A, $C873)&gt;0, "預購款", "非預購款")</f>
        <v>非預購款</v>
      </c>
    </row>
    <row r="874" spans="1:60" x14ac:dyDescent="0.25">
      <c r="A874" t="s">
        <v>2806</v>
      </c>
      <c r="B874" t="s">
        <v>315</v>
      </c>
      <c r="C874" t="s">
        <v>2807</v>
      </c>
      <c r="D874" t="s">
        <v>2808</v>
      </c>
      <c r="E874" t="s">
        <v>2809</v>
      </c>
      <c r="F874" t="s">
        <v>181</v>
      </c>
      <c r="G874" t="s">
        <v>2810</v>
      </c>
      <c r="H874" t="s">
        <v>119</v>
      </c>
      <c r="I874" t="s">
        <v>88</v>
      </c>
      <c r="J874" t="s">
        <v>89</v>
      </c>
      <c r="K874" t="s">
        <v>80</v>
      </c>
      <c r="L874" t="s">
        <v>2811</v>
      </c>
      <c r="M874" t="s">
        <v>71</v>
      </c>
      <c r="N874" t="s">
        <v>198</v>
      </c>
      <c r="O874" t="s">
        <v>2597</v>
      </c>
      <c r="P874" t="s">
        <v>2598</v>
      </c>
      <c r="R874" t="s">
        <v>2599</v>
      </c>
      <c r="S874" t="s">
        <v>176</v>
      </c>
      <c r="T874" t="s">
        <v>291</v>
      </c>
      <c r="U874" t="s">
        <v>383</v>
      </c>
      <c r="V874" t="s">
        <v>384</v>
      </c>
      <c r="W874">
        <v>1080</v>
      </c>
      <c r="X874">
        <v>44.99</v>
      </c>
      <c r="Y874">
        <v>139</v>
      </c>
      <c r="Z874">
        <v>779000</v>
      </c>
      <c r="AA874">
        <v>545400</v>
      </c>
      <c r="AB874">
        <v>440</v>
      </c>
      <c r="AD874" t="s">
        <v>238</v>
      </c>
      <c r="AE874">
        <v>2</v>
      </c>
      <c r="AF874">
        <v>0</v>
      </c>
      <c r="AI874">
        <v>15</v>
      </c>
      <c r="AJ874">
        <v>110</v>
      </c>
      <c r="AK874">
        <v>125</v>
      </c>
      <c r="AL874">
        <v>505</v>
      </c>
      <c r="AM874">
        <v>125</v>
      </c>
      <c r="AN874">
        <v>0</v>
      </c>
      <c r="AO874">
        <v>125</v>
      </c>
      <c r="AP874" t="s">
        <v>69</v>
      </c>
      <c r="AT874" t="s">
        <v>240</v>
      </c>
      <c r="AU874" t="s">
        <v>86</v>
      </c>
      <c r="AV874" t="s">
        <v>2812</v>
      </c>
      <c r="AW874" t="s">
        <v>80</v>
      </c>
      <c r="AX874" t="s">
        <v>126</v>
      </c>
      <c r="AY874" t="s">
        <v>2813</v>
      </c>
      <c r="AZ874" t="s">
        <v>264</v>
      </c>
      <c r="BA874" t="s">
        <v>244</v>
      </c>
      <c r="BB874" t="s">
        <v>244</v>
      </c>
      <c r="BC874" t="s">
        <v>244</v>
      </c>
      <c r="BD874" t="s">
        <v>2821</v>
      </c>
      <c r="BE874" t="s">
        <v>2815</v>
      </c>
      <c r="BF874" t="s">
        <v>291</v>
      </c>
      <c r="BG874" t="s">
        <v>110</v>
      </c>
      <c r="BH874" t="str">
        <f>IF(COUNTIF(工作表1!A:A, $C874)&gt;0, "預購款", "非預購款")</f>
        <v>非預購款</v>
      </c>
    </row>
    <row r="875" spans="1:60" x14ac:dyDescent="0.25">
      <c r="A875" t="s">
        <v>2806</v>
      </c>
      <c r="B875" t="s">
        <v>315</v>
      </c>
      <c r="C875" t="s">
        <v>2807</v>
      </c>
      <c r="D875" t="s">
        <v>2808</v>
      </c>
      <c r="E875" t="s">
        <v>2809</v>
      </c>
      <c r="F875" t="s">
        <v>181</v>
      </c>
      <c r="G875" t="s">
        <v>2810</v>
      </c>
      <c r="H875" t="s">
        <v>392</v>
      </c>
      <c r="I875" t="s">
        <v>88</v>
      </c>
      <c r="J875" t="s">
        <v>89</v>
      </c>
      <c r="K875" t="s">
        <v>80</v>
      </c>
      <c r="L875" t="s">
        <v>2811</v>
      </c>
      <c r="M875" t="s">
        <v>71</v>
      </c>
      <c r="N875" t="s">
        <v>198</v>
      </c>
      <c r="O875" t="s">
        <v>2597</v>
      </c>
      <c r="P875" t="s">
        <v>2598</v>
      </c>
      <c r="R875" t="s">
        <v>2599</v>
      </c>
      <c r="S875" t="s">
        <v>176</v>
      </c>
      <c r="T875" t="s">
        <v>291</v>
      </c>
      <c r="U875" t="s">
        <v>383</v>
      </c>
      <c r="V875" t="s">
        <v>384</v>
      </c>
      <c r="W875">
        <v>1080</v>
      </c>
      <c r="X875">
        <v>44.99</v>
      </c>
      <c r="Y875">
        <v>139</v>
      </c>
      <c r="Z875">
        <v>779000</v>
      </c>
      <c r="AA875">
        <v>545400</v>
      </c>
      <c r="AB875">
        <v>440</v>
      </c>
      <c r="AD875" t="s">
        <v>238</v>
      </c>
      <c r="AE875">
        <v>2</v>
      </c>
      <c r="AF875">
        <v>0</v>
      </c>
      <c r="AI875">
        <v>10</v>
      </c>
      <c r="AJ875">
        <v>25</v>
      </c>
      <c r="AK875">
        <v>35</v>
      </c>
      <c r="AL875">
        <v>505</v>
      </c>
      <c r="AM875">
        <v>40</v>
      </c>
      <c r="AN875">
        <v>0</v>
      </c>
      <c r="AO875">
        <v>40</v>
      </c>
      <c r="AP875" t="s">
        <v>69</v>
      </c>
      <c r="AT875" t="s">
        <v>240</v>
      </c>
      <c r="AU875" t="s">
        <v>86</v>
      </c>
      <c r="AV875" t="s">
        <v>2812</v>
      </c>
      <c r="AW875" t="s">
        <v>80</v>
      </c>
      <c r="AX875" t="s">
        <v>126</v>
      </c>
      <c r="AY875" t="s">
        <v>2813</v>
      </c>
      <c r="AZ875" t="s">
        <v>264</v>
      </c>
      <c r="BA875" t="s">
        <v>244</v>
      </c>
      <c r="BB875" t="s">
        <v>244</v>
      </c>
      <c r="BC875" t="s">
        <v>244</v>
      </c>
      <c r="BD875" t="s">
        <v>2822</v>
      </c>
      <c r="BE875" t="s">
        <v>2815</v>
      </c>
      <c r="BF875" t="s">
        <v>291</v>
      </c>
      <c r="BG875" t="s">
        <v>110</v>
      </c>
      <c r="BH875" t="str">
        <f>IF(COUNTIF(工作表1!A:A, $C875)&gt;0, "預購款", "非預購款")</f>
        <v>非預購款</v>
      </c>
    </row>
    <row r="876" spans="1:60" x14ac:dyDescent="0.25">
      <c r="A876" t="s">
        <v>2806</v>
      </c>
      <c r="B876" t="s">
        <v>315</v>
      </c>
      <c r="C876" t="s">
        <v>2807</v>
      </c>
      <c r="D876" t="s">
        <v>2808</v>
      </c>
      <c r="E876" t="s">
        <v>2809</v>
      </c>
      <c r="F876" t="s">
        <v>181</v>
      </c>
      <c r="G876" t="s">
        <v>2810</v>
      </c>
      <c r="H876" t="s">
        <v>130</v>
      </c>
      <c r="I876" t="s">
        <v>88</v>
      </c>
      <c r="J876" t="s">
        <v>89</v>
      </c>
      <c r="K876" t="s">
        <v>80</v>
      </c>
      <c r="L876" t="s">
        <v>2811</v>
      </c>
      <c r="M876" t="s">
        <v>71</v>
      </c>
      <c r="N876" t="s">
        <v>198</v>
      </c>
      <c r="O876" t="s">
        <v>2597</v>
      </c>
      <c r="P876" t="s">
        <v>2598</v>
      </c>
      <c r="R876" t="s">
        <v>2599</v>
      </c>
      <c r="S876" t="s">
        <v>176</v>
      </c>
      <c r="T876" t="s">
        <v>291</v>
      </c>
      <c r="U876" t="s">
        <v>383</v>
      </c>
      <c r="V876" t="s">
        <v>384</v>
      </c>
      <c r="W876">
        <v>1080</v>
      </c>
      <c r="X876">
        <v>44.99</v>
      </c>
      <c r="Y876">
        <v>139</v>
      </c>
      <c r="Z876">
        <v>779000</v>
      </c>
      <c r="AA876">
        <v>545400</v>
      </c>
      <c r="AB876">
        <v>440</v>
      </c>
      <c r="AD876" t="s">
        <v>238</v>
      </c>
      <c r="AE876">
        <v>2</v>
      </c>
      <c r="AF876">
        <v>0</v>
      </c>
      <c r="AI876">
        <v>20</v>
      </c>
      <c r="AJ876">
        <v>95</v>
      </c>
      <c r="AK876">
        <v>115</v>
      </c>
      <c r="AL876">
        <v>505</v>
      </c>
      <c r="AM876">
        <v>120</v>
      </c>
      <c r="AN876">
        <v>0</v>
      </c>
      <c r="AO876">
        <v>120</v>
      </c>
      <c r="AP876" t="s">
        <v>69</v>
      </c>
      <c r="AT876" t="s">
        <v>240</v>
      </c>
      <c r="AU876" t="s">
        <v>86</v>
      </c>
      <c r="AV876" t="s">
        <v>2812</v>
      </c>
      <c r="AW876" t="s">
        <v>80</v>
      </c>
      <c r="AX876" t="s">
        <v>126</v>
      </c>
      <c r="AY876" t="s">
        <v>2813</v>
      </c>
      <c r="AZ876" t="s">
        <v>264</v>
      </c>
      <c r="BA876" t="s">
        <v>244</v>
      </c>
      <c r="BB876" t="s">
        <v>244</v>
      </c>
      <c r="BC876" t="s">
        <v>244</v>
      </c>
      <c r="BD876" t="s">
        <v>2823</v>
      </c>
      <c r="BE876" t="s">
        <v>2815</v>
      </c>
      <c r="BF876" t="s">
        <v>291</v>
      </c>
      <c r="BG876" t="s">
        <v>110</v>
      </c>
      <c r="BH876" t="str">
        <f>IF(COUNTIF(工作表1!A:A, $C876)&gt;0, "預購款", "非預購款")</f>
        <v>非預購款</v>
      </c>
    </row>
    <row r="877" spans="1:60" x14ac:dyDescent="0.25">
      <c r="A877" t="s">
        <v>2806</v>
      </c>
      <c r="B877" t="s">
        <v>315</v>
      </c>
      <c r="C877" t="s">
        <v>2807</v>
      </c>
      <c r="D877" t="s">
        <v>2808</v>
      </c>
      <c r="E877" t="s">
        <v>2809</v>
      </c>
      <c r="F877" t="s">
        <v>181</v>
      </c>
      <c r="G877" t="s">
        <v>2810</v>
      </c>
      <c r="H877" t="s">
        <v>132</v>
      </c>
      <c r="I877" t="s">
        <v>88</v>
      </c>
      <c r="J877" t="s">
        <v>89</v>
      </c>
      <c r="K877" t="s">
        <v>80</v>
      </c>
      <c r="L877" t="s">
        <v>2811</v>
      </c>
      <c r="M877" t="s">
        <v>71</v>
      </c>
      <c r="N877" t="s">
        <v>198</v>
      </c>
      <c r="O877" t="s">
        <v>2597</v>
      </c>
      <c r="P877" t="s">
        <v>2598</v>
      </c>
      <c r="R877" t="s">
        <v>2599</v>
      </c>
      <c r="S877" t="s">
        <v>176</v>
      </c>
      <c r="T877" t="s">
        <v>291</v>
      </c>
      <c r="U877" t="s">
        <v>383</v>
      </c>
      <c r="V877" t="s">
        <v>384</v>
      </c>
      <c r="W877">
        <v>1080</v>
      </c>
      <c r="X877">
        <v>44.99</v>
      </c>
      <c r="Y877">
        <v>139</v>
      </c>
      <c r="Z877">
        <v>779000</v>
      </c>
      <c r="AA877">
        <v>545400</v>
      </c>
      <c r="AB877">
        <v>440</v>
      </c>
      <c r="AD877" t="s">
        <v>238</v>
      </c>
      <c r="AE877">
        <v>2</v>
      </c>
      <c r="AF877">
        <v>0</v>
      </c>
      <c r="AI877">
        <v>10</v>
      </c>
      <c r="AJ877">
        <v>25</v>
      </c>
      <c r="AK877">
        <v>35</v>
      </c>
      <c r="AL877">
        <v>505</v>
      </c>
      <c r="AM877">
        <v>42</v>
      </c>
      <c r="AN877">
        <v>0</v>
      </c>
      <c r="AO877">
        <v>42</v>
      </c>
      <c r="AP877" t="s">
        <v>69</v>
      </c>
      <c r="AT877" t="s">
        <v>240</v>
      </c>
      <c r="AU877" t="s">
        <v>86</v>
      </c>
      <c r="AV877" t="s">
        <v>2812</v>
      </c>
      <c r="AW877" t="s">
        <v>80</v>
      </c>
      <c r="AX877" t="s">
        <v>126</v>
      </c>
      <c r="AY877" t="s">
        <v>2813</v>
      </c>
      <c r="AZ877" t="s">
        <v>264</v>
      </c>
      <c r="BA877" t="s">
        <v>244</v>
      </c>
      <c r="BB877" t="s">
        <v>244</v>
      </c>
      <c r="BC877" t="s">
        <v>244</v>
      </c>
      <c r="BD877" t="s">
        <v>2824</v>
      </c>
      <c r="BE877" t="s">
        <v>2815</v>
      </c>
      <c r="BF877" t="s">
        <v>291</v>
      </c>
      <c r="BG877" t="s">
        <v>110</v>
      </c>
      <c r="BH877" t="str">
        <f>IF(COUNTIF(工作表1!A:A, $C877)&gt;0, "預購款", "非預購款")</f>
        <v>非預購款</v>
      </c>
    </row>
    <row r="878" spans="1:60" x14ac:dyDescent="0.25">
      <c r="A878" t="s">
        <v>2825</v>
      </c>
      <c r="B878" t="s">
        <v>315</v>
      </c>
      <c r="C878" t="s">
        <v>2826</v>
      </c>
      <c r="D878" t="s">
        <v>2827</v>
      </c>
      <c r="E878" t="s">
        <v>2828</v>
      </c>
      <c r="F878" t="s">
        <v>181</v>
      </c>
      <c r="G878" t="s">
        <v>2829</v>
      </c>
      <c r="H878" t="s">
        <v>379</v>
      </c>
      <c r="I878" t="s">
        <v>120</v>
      </c>
      <c r="J878" t="s">
        <v>121</v>
      </c>
      <c r="K878" t="s">
        <v>69</v>
      </c>
      <c r="L878" t="s">
        <v>2830</v>
      </c>
      <c r="M878" t="s">
        <v>71</v>
      </c>
      <c r="N878" t="s">
        <v>198</v>
      </c>
      <c r="O878" t="s">
        <v>2597</v>
      </c>
      <c r="P878" t="s">
        <v>2598</v>
      </c>
      <c r="R878" t="s">
        <v>2599</v>
      </c>
      <c r="S878" t="s">
        <v>176</v>
      </c>
      <c r="T878" t="s">
        <v>291</v>
      </c>
      <c r="U878" t="s">
        <v>146</v>
      </c>
      <c r="V878" t="s">
        <v>144</v>
      </c>
      <c r="W878">
        <v>990</v>
      </c>
      <c r="X878">
        <v>39.99</v>
      </c>
      <c r="Y878">
        <v>129</v>
      </c>
      <c r="Z878">
        <v>709000</v>
      </c>
      <c r="AA878">
        <v>485100</v>
      </c>
      <c r="AB878">
        <v>480</v>
      </c>
      <c r="AD878" t="s">
        <v>238</v>
      </c>
      <c r="AE878">
        <v>2</v>
      </c>
      <c r="AF878">
        <v>0</v>
      </c>
      <c r="AI878">
        <v>10</v>
      </c>
      <c r="AJ878">
        <v>10</v>
      </c>
      <c r="AK878">
        <v>20</v>
      </c>
      <c r="AL878">
        <v>490</v>
      </c>
      <c r="AM878">
        <v>29</v>
      </c>
      <c r="AN878">
        <v>0</v>
      </c>
      <c r="AO878">
        <v>29</v>
      </c>
      <c r="AP878" t="s">
        <v>80</v>
      </c>
      <c r="AQ878" t="s">
        <v>190</v>
      </c>
      <c r="AT878" t="s">
        <v>240</v>
      </c>
      <c r="AU878" t="s">
        <v>240</v>
      </c>
      <c r="AV878" t="s">
        <v>2831</v>
      </c>
      <c r="AW878" t="s">
        <v>80</v>
      </c>
      <c r="AX878" t="s">
        <v>126</v>
      </c>
      <c r="AY878" t="s">
        <v>2813</v>
      </c>
      <c r="AZ878" t="s">
        <v>264</v>
      </c>
      <c r="BA878" t="s">
        <v>245</v>
      </c>
      <c r="BB878" t="s">
        <v>244</v>
      </c>
      <c r="BC878" t="s">
        <v>244</v>
      </c>
      <c r="BD878" t="s">
        <v>2832</v>
      </c>
      <c r="BE878" t="s">
        <v>2833</v>
      </c>
      <c r="BF878" t="s">
        <v>291</v>
      </c>
      <c r="BG878" t="s">
        <v>110</v>
      </c>
      <c r="BH878" t="str">
        <f>IF(COUNTIF(工作表1!A:A, $C878)&gt;0, "預購款", "非預購款")</f>
        <v>非預購款</v>
      </c>
    </row>
    <row r="879" spans="1:60" x14ac:dyDescent="0.25">
      <c r="A879" t="s">
        <v>2825</v>
      </c>
      <c r="B879" t="s">
        <v>315</v>
      </c>
      <c r="C879" t="s">
        <v>2826</v>
      </c>
      <c r="D879" t="s">
        <v>2827</v>
      </c>
      <c r="E879" t="s">
        <v>2828</v>
      </c>
      <c r="F879" t="s">
        <v>181</v>
      </c>
      <c r="G879" t="s">
        <v>2829</v>
      </c>
      <c r="H879" t="s">
        <v>119</v>
      </c>
      <c r="I879" t="s">
        <v>120</v>
      </c>
      <c r="J879" t="s">
        <v>121</v>
      </c>
      <c r="K879" t="s">
        <v>69</v>
      </c>
      <c r="L879" t="s">
        <v>2830</v>
      </c>
      <c r="M879" t="s">
        <v>71</v>
      </c>
      <c r="N879" t="s">
        <v>198</v>
      </c>
      <c r="O879" t="s">
        <v>2597</v>
      </c>
      <c r="P879" t="s">
        <v>2598</v>
      </c>
      <c r="R879" t="s">
        <v>2599</v>
      </c>
      <c r="S879" t="s">
        <v>176</v>
      </c>
      <c r="T879" t="s">
        <v>291</v>
      </c>
      <c r="U879" t="s">
        <v>146</v>
      </c>
      <c r="V879" t="s">
        <v>144</v>
      </c>
      <c r="W879">
        <v>990</v>
      </c>
      <c r="X879">
        <v>39.99</v>
      </c>
      <c r="Y879">
        <v>129</v>
      </c>
      <c r="Z879">
        <v>709000</v>
      </c>
      <c r="AA879">
        <v>485100</v>
      </c>
      <c r="AB879">
        <v>480</v>
      </c>
      <c r="AD879" t="s">
        <v>238</v>
      </c>
      <c r="AE879">
        <v>2</v>
      </c>
      <c r="AF879">
        <v>0</v>
      </c>
      <c r="AI879">
        <v>15</v>
      </c>
      <c r="AJ879">
        <v>30</v>
      </c>
      <c r="AK879">
        <v>45</v>
      </c>
      <c r="AL879">
        <v>490</v>
      </c>
      <c r="AM879">
        <v>52</v>
      </c>
      <c r="AN879">
        <v>0</v>
      </c>
      <c r="AO879">
        <v>52</v>
      </c>
      <c r="AP879" t="s">
        <v>80</v>
      </c>
      <c r="AQ879" t="s">
        <v>190</v>
      </c>
      <c r="AT879" t="s">
        <v>240</v>
      </c>
      <c r="AU879" t="s">
        <v>240</v>
      </c>
      <c r="AV879" t="s">
        <v>2831</v>
      </c>
      <c r="AW879" t="s">
        <v>80</v>
      </c>
      <c r="AX879" t="s">
        <v>126</v>
      </c>
      <c r="AY879" t="s">
        <v>2813</v>
      </c>
      <c r="AZ879" t="s">
        <v>264</v>
      </c>
      <c r="BA879" t="s">
        <v>245</v>
      </c>
      <c r="BB879" t="s">
        <v>244</v>
      </c>
      <c r="BC879" t="s">
        <v>244</v>
      </c>
      <c r="BD879" t="s">
        <v>2834</v>
      </c>
      <c r="BE879" t="s">
        <v>2833</v>
      </c>
      <c r="BF879" t="s">
        <v>291</v>
      </c>
      <c r="BG879" t="s">
        <v>110</v>
      </c>
      <c r="BH879" t="str">
        <f>IF(COUNTIF(工作表1!A:A, $C879)&gt;0, "預購款", "非預購款")</f>
        <v>非預購款</v>
      </c>
    </row>
    <row r="880" spans="1:60" x14ac:dyDescent="0.25">
      <c r="A880" t="s">
        <v>2825</v>
      </c>
      <c r="B880" t="s">
        <v>315</v>
      </c>
      <c r="C880" t="s">
        <v>2826</v>
      </c>
      <c r="D880" t="s">
        <v>2827</v>
      </c>
      <c r="E880" t="s">
        <v>2828</v>
      </c>
      <c r="F880" t="s">
        <v>181</v>
      </c>
      <c r="G880" t="s">
        <v>2829</v>
      </c>
      <c r="H880" t="s">
        <v>392</v>
      </c>
      <c r="I880" t="s">
        <v>120</v>
      </c>
      <c r="J880" t="s">
        <v>121</v>
      </c>
      <c r="K880" t="s">
        <v>69</v>
      </c>
      <c r="L880" t="s">
        <v>2830</v>
      </c>
      <c r="M880" t="s">
        <v>71</v>
      </c>
      <c r="N880" t="s">
        <v>198</v>
      </c>
      <c r="O880" t="s">
        <v>2597</v>
      </c>
      <c r="P880" t="s">
        <v>2598</v>
      </c>
      <c r="R880" t="s">
        <v>2599</v>
      </c>
      <c r="S880" t="s">
        <v>176</v>
      </c>
      <c r="T880" t="s">
        <v>291</v>
      </c>
      <c r="U880" t="s">
        <v>146</v>
      </c>
      <c r="V880" t="s">
        <v>144</v>
      </c>
      <c r="W880">
        <v>990</v>
      </c>
      <c r="X880">
        <v>39.99</v>
      </c>
      <c r="Y880">
        <v>129</v>
      </c>
      <c r="Z880">
        <v>709000</v>
      </c>
      <c r="AA880">
        <v>485100</v>
      </c>
      <c r="AB880">
        <v>480</v>
      </c>
      <c r="AD880" t="s">
        <v>238</v>
      </c>
      <c r="AE880">
        <v>2</v>
      </c>
      <c r="AF880">
        <v>0</v>
      </c>
      <c r="AI880">
        <v>10</v>
      </c>
      <c r="AJ880">
        <v>25</v>
      </c>
      <c r="AK880">
        <v>35</v>
      </c>
      <c r="AL880">
        <v>490</v>
      </c>
      <c r="AM880">
        <v>43</v>
      </c>
      <c r="AN880">
        <v>0</v>
      </c>
      <c r="AO880">
        <v>43</v>
      </c>
      <c r="AP880" t="s">
        <v>80</v>
      </c>
      <c r="AQ880" t="s">
        <v>190</v>
      </c>
      <c r="AT880" t="s">
        <v>240</v>
      </c>
      <c r="AU880" t="s">
        <v>240</v>
      </c>
      <c r="AV880" t="s">
        <v>2831</v>
      </c>
      <c r="AW880" t="s">
        <v>80</v>
      </c>
      <c r="AX880" t="s">
        <v>126</v>
      </c>
      <c r="AY880" t="s">
        <v>2813</v>
      </c>
      <c r="AZ880" t="s">
        <v>264</v>
      </c>
      <c r="BA880" t="s">
        <v>245</v>
      </c>
      <c r="BB880" t="s">
        <v>244</v>
      </c>
      <c r="BC880" t="s">
        <v>244</v>
      </c>
      <c r="BD880" t="s">
        <v>2835</v>
      </c>
      <c r="BE880" t="s">
        <v>2833</v>
      </c>
      <c r="BF880" t="s">
        <v>291</v>
      </c>
      <c r="BG880" t="s">
        <v>110</v>
      </c>
      <c r="BH880" t="str">
        <f>IF(COUNTIF(工作表1!A:A, $C880)&gt;0, "預購款", "非預購款")</f>
        <v>非預購款</v>
      </c>
    </row>
    <row r="881" spans="1:60" x14ac:dyDescent="0.25">
      <c r="A881" t="s">
        <v>2825</v>
      </c>
      <c r="B881" t="s">
        <v>315</v>
      </c>
      <c r="C881" t="s">
        <v>2826</v>
      </c>
      <c r="D881" t="s">
        <v>2827</v>
      </c>
      <c r="E881" t="s">
        <v>2828</v>
      </c>
      <c r="F881" t="s">
        <v>181</v>
      </c>
      <c r="G881" t="s">
        <v>2829</v>
      </c>
      <c r="H881" t="s">
        <v>130</v>
      </c>
      <c r="I881" t="s">
        <v>120</v>
      </c>
      <c r="J881" t="s">
        <v>121</v>
      </c>
      <c r="K881" t="s">
        <v>69</v>
      </c>
      <c r="L881" t="s">
        <v>2830</v>
      </c>
      <c r="M881" t="s">
        <v>71</v>
      </c>
      <c r="N881" t="s">
        <v>198</v>
      </c>
      <c r="O881" t="s">
        <v>2597</v>
      </c>
      <c r="P881" t="s">
        <v>2598</v>
      </c>
      <c r="R881" t="s">
        <v>2599</v>
      </c>
      <c r="S881" t="s">
        <v>176</v>
      </c>
      <c r="T881" t="s">
        <v>291</v>
      </c>
      <c r="U881" t="s">
        <v>146</v>
      </c>
      <c r="V881" t="s">
        <v>144</v>
      </c>
      <c r="W881">
        <v>990</v>
      </c>
      <c r="X881">
        <v>39.99</v>
      </c>
      <c r="Y881">
        <v>129</v>
      </c>
      <c r="Z881">
        <v>709000</v>
      </c>
      <c r="AA881">
        <v>485100</v>
      </c>
      <c r="AB881">
        <v>480</v>
      </c>
      <c r="AD881" t="s">
        <v>238</v>
      </c>
      <c r="AE881">
        <v>2</v>
      </c>
      <c r="AF881">
        <v>0</v>
      </c>
      <c r="AI881">
        <v>15</v>
      </c>
      <c r="AJ881">
        <v>70</v>
      </c>
      <c r="AK881">
        <v>85</v>
      </c>
      <c r="AL881">
        <v>490</v>
      </c>
      <c r="AM881">
        <v>87</v>
      </c>
      <c r="AN881">
        <v>0</v>
      </c>
      <c r="AO881">
        <v>87</v>
      </c>
      <c r="AP881" t="s">
        <v>80</v>
      </c>
      <c r="AQ881" t="s">
        <v>190</v>
      </c>
      <c r="AT881" t="s">
        <v>240</v>
      </c>
      <c r="AU881" t="s">
        <v>240</v>
      </c>
      <c r="AV881" t="s">
        <v>2831</v>
      </c>
      <c r="AW881" t="s">
        <v>80</v>
      </c>
      <c r="AX881" t="s">
        <v>126</v>
      </c>
      <c r="AY881" t="s">
        <v>2813</v>
      </c>
      <c r="AZ881" t="s">
        <v>264</v>
      </c>
      <c r="BA881" t="s">
        <v>245</v>
      </c>
      <c r="BB881" t="s">
        <v>244</v>
      </c>
      <c r="BC881" t="s">
        <v>244</v>
      </c>
      <c r="BD881" t="s">
        <v>2836</v>
      </c>
      <c r="BE881" t="s">
        <v>2833</v>
      </c>
      <c r="BF881" t="s">
        <v>291</v>
      </c>
      <c r="BG881" t="s">
        <v>110</v>
      </c>
      <c r="BH881" t="str">
        <f>IF(COUNTIF(工作表1!A:A, $C881)&gt;0, "預購款", "非預購款")</f>
        <v>非預購款</v>
      </c>
    </row>
    <row r="882" spans="1:60" x14ac:dyDescent="0.25">
      <c r="A882" t="s">
        <v>2825</v>
      </c>
      <c r="B882" t="s">
        <v>315</v>
      </c>
      <c r="C882" t="s">
        <v>2826</v>
      </c>
      <c r="D882" t="s">
        <v>2827</v>
      </c>
      <c r="E882" t="s">
        <v>2828</v>
      </c>
      <c r="F882" t="s">
        <v>181</v>
      </c>
      <c r="G882" t="s">
        <v>2829</v>
      </c>
      <c r="H882" t="s">
        <v>132</v>
      </c>
      <c r="I882" t="s">
        <v>120</v>
      </c>
      <c r="J882" t="s">
        <v>121</v>
      </c>
      <c r="K882" t="s">
        <v>69</v>
      </c>
      <c r="L882" t="s">
        <v>2830</v>
      </c>
      <c r="M882" t="s">
        <v>71</v>
      </c>
      <c r="N882" t="s">
        <v>198</v>
      </c>
      <c r="O882" t="s">
        <v>2597</v>
      </c>
      <c r="P882" t="s">
        <v>2598</v>
      </c>
      <c r="R882" t="s">
        <v>2599</v>
      </c>
      <c r="S882" t="s">
        <v>176</v>
      </c>
      <c r="T882" t="s">
        <v>291</v>
      </c>
      <c r="U882" t="s">
        <v>146</v>
      </c>
      <c r="V882" t="s">
        <v>144</v>
      </c>
      <c r="W882">
        <v>990</v>
      </c>
      <c r="X882">
        <v>39.99</v>
      </c>
      <c r="Y882">
        <v>129</v>
      </c>
      <c r="Z882">
        <v>709000</v>
      </c>
      <c r="AA882">
        <v>485100</v>
      </c>
      <c r="AB882">
        <v>480</v>
      </c>
      <c r="AD882" t="s">
        <v>238</v>
      </c>
      <c r="AE882">
        <v>2</v>
      </c>
      <c r="AF882">
        <v>0</v>
      </c>
      <c r="AI882">
        <v>15</v>
      </c>
      <c r="AJ882">
        <v>55</v>
      </c>
      <c r="AK882">
        <v>70</v>
      </c>
      <c r="AL882">
        <v>490</v>
      </c>
      <c r="AM882">
        <v>72</v>
      </c>
      <c r="AN882">
        <v>0</v>
      </c>
      <c r="AO882">
        <v>72</v>
      </c>
      <c r="AP882" t="s">
        <v>80</v>
      </c>
      <c r="AQ882" t="s">
        <v>190</v>
      </c>
      <c r="AT882" t="s">
        <v>240</v>
      </c>
      <c r="AU882" t="s">
        <v>240</v>
      </c>
      <c r="AV882" t="s">
        <v>2831</v>
      </c>
      <c r="AW882" t="s">
        <v>80</v>
      </c>
      <c r="AX882" t="s">
        <v>126</v>
      </c>
      <c r="AY882" t="s">
        <v>2813</v>
      </c>
      <c r="AZ882" t="s">
        <v>264</v>
      </c>
      <c r="BA882" t="s">
        <v>245</v>
      </c>
      <c r="BB882" t="s">
        <v>244</v>
      </c>
      <c r="BC882" t="s">
        <v>244</v>
      </c>
      <c r="BD882" t="s">
        <v>2837</v>
      </c>
      <c r="BE882" t="s">
        <v>2833</v>
      </c>
      <c r="BF882" t="s">
        <v>291</v>
      </c>
      <c r="BG882" t="s">
        <v>110</v>
      </c>
      <c r="BH882" t="str">
        <f>IF(COUNTIF(工作表1!A:A, $C882)&gt;0, "預購款", "非預購款")</f>
        <v>非預購款</v>
      </c>
    </row>
    <row r="883" spans="1:60" x14ac:dyDescent="0.25">
      <c r="A883" t="s">
        <v>2825</v>
      </c>
      <c r="B883" t="s">
        <v>315</v>
      </c>
      <c r="C883" t="s">
        <v>2826</v>
      </c>
      <c r="D883" t="s">
        <v>2827</v>
      </c>
      <c r="E883" t="s">
        <v>2828</v>
      </c>
      <c r="F883" t="s">
        <v>181</v>
      </c>
      <c r="G883" t="s">
        <v>2829</v>
      </c>
      <c r="H883" t="s">
        <v>379</v>
      </c>
      <c r="I883" t="s">
        <v>88</v>
      </c>
      <c r="J883" t="s">
        <v>89</v>
      </c>
      <c r="K883" t="s">
        <v>69</v>
      </c>
      <c r="L883" t="s">
        <v>2830</v>
      </c>
      <c r="M883" t="s">
        <v>71</v>
      </c>
      <c r="N883" t="s">
        <v>198</v>
      </c>
      <c r="O883" t="s">
        <v>2597</v>
      </c>
      <c r="P883" t="s">
        <v>2598</v>
      </c>
      <c r="R883" t="s">
        <v>2599</v>
      </c>
      <c r="S883" t="s">
        <v>176</v>
      </c>
      <c r="T883" t="s">
        <v>291</v>
      </c>
      <c r="U883" t="s">
        <v>146</v>
      </c>
      <c r="V883" t="s">
        <v>144</v>
      </c>
      <c r="W883">
        <v>990</v>
      </c>
      <c r="X883">
        <v>39.99</v>
      </c>
      <c r="Y883">
        <v>129</v>
      </c>
      <c r="Z883">
        <v>709000</v>
      </c>
      <c r="AA883">
        <v>485100</v>
      </c>
      <c r="AB883">
        <v>480</v>
      </c>
      <c r="AD883" t="s">
        <v>238</v>
      </c>
      <c r="AE883">
        <v>2</v>
      </c>
      <c r="AF883">
        <v>0</v>
      </c>
      <c r="AI883">
        <v>10</v>
      </c>
      <c r="AJ883">
        <v>10</v>
      </c>
      <c r="AK883">
        <v>20</v>
      </c>
      <c r="AL883">
        <v>490</v>
      </c>
      <c r="AM883">
        <v>25</v>
      </c>
      <c r="AN883">
        <v>0</v>
      </c>
      <c r="AO883">
        <v>25</v>
      </c>
      <c r="AP883" t="s">
        <v>80</v>
      </c>
      <c r="AQ883" t="s">
        <v>190</v>
      </c>
      <c r="AT883" t="s">
        <v>240</v>
      </c>
      <c r="AU883" t="s">
        <v>240</v>
      </c>
      <c r="AV883" t="s">
        <v>2831</v>
      </c>
      <c r="AW883" t="s">
        <v>80</v>
      </c>
      <c r="AX883" t="s">
        <v>126</v>
      </c>
      <c r="AY883" t="s">
        <v>2813</v>
      </c>
      <c r="AZ883" t="s">
        <v>264</v>
      </c>
      <c r="BA883" t="s">
        <v>245</v>
      </c>
      <c r="BB883" t="s">
        <v>244</v>
      </c>
      <c r="BC883" t="s">
        <v>244</v>
      </c>
      <c r="BD883" t="s">
        <v>2838</v>
      </c>
      <c r="BE883" t="s">
        <v>2833</v>
      </c>
      <c r="BF883" t="s">
        <v>291</v>
      </c>
      <c r="BG883" t="s">
        <v>110</v>
      </c>
      <c r="BH883" t="str">
        <f>IF(COUNTIF(工作表1!A:A, $C883)&gt;0, "預購款", "非預購款")</f>
        <v>非預購款</v>
      </c>
    </row>
    <row r="884" spans="1:60" x14ac:dyDescent="0.25">
      <c r="A884" t="s">
        <v>2825</v>
      </c>
      <c r="B884" t="s">
        <v>315</v>
      </c>
      <c r="C884" t="s">
        <v>2826</v>
      </c>
      <c r="D884" t="s">
        <v>2827</v>
      </c>
      <c r="E884" t="s">
        <v>2828</v>
      </c>
      <c r="F884" t="s">
        <v>181</v>
      </c>
      <c r="G884" t="s">
        <v>2829</v>
      </c>
      <c r="H884" t="s">
        <v>119</v>
      </c>
      <c r="I884" t="s">
        <v>88</v>
      </c>
      <c r="J884" t="s">
        <v>89</v>
      </c>
      <c r="K884" t="s">
        <v>69</v>
      </c>
      <c r="L884" t="s">
        <v>2830</v>
      </c>
      <c r="M884" t="s">
        <v>71</v>
      </c>
      <c r="N884" t="s">
        <v>198</v>
      </c>
      <c r="O884" t="s">
        <v>2597</v>
      </c>
      <c r="P884" t="s">
        <v>2598</v>
      </c>
      <c r="R884" t="s">
        <v>2599</v>
      </c>
      <c r="S884" t="s">
        <v>176</v>
      </c>
      <c r="T884" t="s">
        <v>291</v>
      </c>
      <c r="U884" t="s">
        <v>146</v>
      </c>
      <c r="V884" t="s">
        <v>144</v>
      </c>
      <c r="W884">
        <v>990</v>
      </c>
      <c r="X884">
        <v>39.99</v>
      </c>
      <c r="Y884">
        <v>129</v>
      </c>
      <c r="Z884">
        <v>709000</v>
      </c>
      <c r="AA884">
        <v>485100</v>
      </c>
      <c r="AB884">
        <v>480</v>
      </c>
      <c r="AD884" t="s">
        <v>238</v>
      </c>
      <c r="AE884">
        <v>2</v>
      </c>
      <c r="AF884">
        <v>0</v>
      </c>
      <c r="AI884">
        <v>15</v>
      </c>
      <c r="AJ884">
        <v>35</v>
      </c>
      <c r="AK884">
        <v>50</v>
      </c>
      <c r="AL884">
        <v>490</v>
      </c>
      <c r="AM884">
        <v>52</v>
      </c>
      <c r="AN884">
        <v>0</v>
      </c>
      <c r="AO884">
        <v>52</v>
      </c>
      <c r="AP884" t="s">
        <v>80</v>
      </c>
      <c r="AQ884" t="s">
        <v>190</v>
      </c>
      <c r="AT884" t="s">
        <v>240</v>
      </c>
      <c r="AU884" t="s">
        <v>240</v>
      </c>
      <c r="AV884" t="s">
        <v>2831</v>
      </c>
      <c r="AW884" t="s">
        <v>80</v>
      </c>
      <c r="AX884" t="s">
        <v>126</v>
      </c>
      <c r="AY884" t="s">
        <v>2813</v>
      </c>
      <c r="AZ884" t="s">
        <v>264</v>
      </c>
      <c r="BA884" t="s">
        <v>245</v>
      </c>
      <c r="BB884" t="s">
        <v>244</v>
      </c>
      <c r="BC884" t="s">
        <v>244</v>
      </c>
      <c r="BD884" t="s">
        <v>2839</v>
      </c>
      <c r="BE884" t="s">
        <v>2833</v>
      </c>
      <c r="BF884" t="s">
        <v>291</v>
      </c>
      <c r="BG884" t="s">
        <v>110</v>
      </c>
      <c r="BH884" t="str">
        <f>IF(COUNTIF(工作表1!A:A, $C884)&gt;0, "預購款", "非預購款")</f>
        <v>非預購款</v>
      </c>
    </row>
    <row r="885" spans="1:60" x14ac:dyDescent="0.25">
      <c r="A885" t="s">
        <v>2825</v>
      </c>
      <c r="B885" t="s">
        <v>315</v>
      </c>
      <c r="C885" t="s">
        <v>2826</v>
      </c>
      <c r="D885" t="s">
        <v>2827</v>
      </c>
      <c r="E885" t="s">
        <v>2828</v>
      </c>
      <c r="F885" t="s">
        <v>181</v>
      </c>
      <c r="G885" t="s">
        <v>2829</v>
      </c>
      <c r="H885" t="s">
        <v>392</v>
      </c>
      <c r="I885" t="s">
        <v>88</v>
      </c>
      <c r="J885" t="s">
        <v>89</v>
      </c>
      <c r="K885" t="s">
        <v>69</v>
      </c>
      <c r="L885" t="s">
        <v>2830</v>
      </c>
      <c r="M885" t="s">
        <v>71</v>
      </c>
      <c r="N885" t="s">
        <v>198</v>
      </c>
      <c r="O885" t="s">
        <v>2597</v>
      </c>
      <c r="P885" t="s">
        <v>2598</v>
      </c>
      <c r="R885" t="s">
        <v>2599</v>
      </c>
      <c r="S885" t="s">
        <v>176</v>
      </c>
      <c r="T885" t="s">
        <v>291</v>
      </c>
      <c r="U885" t="s">
        <v>146</v>
      </c>
      <c r="V885" t="s">
        <v>144</v>
      </c>
      <c r="W885">
        <v>990</v>
      </c>
      <c r="X885">
        <v>39.99</v>
      </c>
      <c r="Y885">
        <v>129</v>
      </c>
      <c r="Z885">
        <v>709000</v>
      </c>
      <c r="AA885">
        <v>485100</v>
      </c>
      <c r="AB885">
        <v>480</v>
      </c>
      <c r="AD885" t="s">
        <v>238</v>
      </c>
      <c r="AE885">
        <v>2</v>
      </c>
      <c r="AF885">
        <v>0</v>
      </c>
      <c r="AI885">
        <v>10</v>
      </c>
      <c r="AJ885">
        <v>10</v>
      </c>
      <c r="AK885">
        <v>20</v>
      </c>
      <c r="AL885">
        <v>490</v>
      </c>
      <c r="AM885">
        <v>29</v>
      </c>
      <c r="AN885">
        <v>0</v>
      </c>
      <c r="AO885">
        <v>29</v>
      </c>
      <c r="AP885" t="s">
        <v>80</v>
      </c>
      <c r="AQ885" t="s">
        <v>190</v>
      </c>
      <c r="AT885" t="s">
        <v>240</v>
      </c>
      <c r="AU885" t="s">
        <v>240</v>
      </c>
      <c r="AV885" t="s">
        <v>2831</v>
      </c>
      <c r="AW885" t="s">
        <v>80</v>
      </c>
      <c r="AX885" t="s">
        <v>126</v>
      </c>
      <c r="AY885" t="s">
        <v>2813</v>
      </c>
      <c r="AZ885" t="s">
        <v>264</v>
      </c>
      <c r="BA885" t="s">
        <v>245</v>
      </c>
      <c r="BB885" t="s">
        <v>244</v>
      </c>
      <c r="BC885" t="s">
        <v>244</v>
      </c>
      <c r="BD885" t="s">
        <v>2840</v>
      </c>
      <c r="BE885" t="s">
        <v>2833</v>
      </c>
      <c r="BF885" t="s">
        <v>291</v>
      </c>
      <c r="BG885" t="s">
        <v>110</v>
      </c>
      <c r="BH885" t="str">
        <f>IF(COUNTIF(工作表1!A:A, $C885)&gt;0, "預購款", "非預購款")</f>
        <v>非預購款</v>
      </c>
    </row>
    <row r="886" spans="1:60" x14ac:dyDescent="0.25">
      <c r="A886" t="s">
        <v>2825</v>
      </c>
      <c r="B886" t="s">
        <v>315</v>
      </c>
      <c r="C886" t="s">
        <v>2826</v>
      </c>
      <c r="D886" t="s">
        <v>2827</v>
      </c>
      <c r="E886" t="s">
        <v>2828</v>
      </c>
      <c r="F886" t="s">
        <v>181</v>
      </c>
      <c r="G886" t="s">
        <v>2829</v>
      </c>
      <c r="H886" t="s">
        <v>130</v>
      </c>
      <c r="I886" t="s">
        <v>88</v>
      </c>
      <c r="J886" t="s">
        <v>89</v>
      </c>
      <c r="K886" t="s">
        <v>69</v>
      </c>
      <c r="L886" t="s">
        <v>2830</v>
      </c>
      <c r="M886" t="s">
        <v>71</v>
      </c>
      <c r="N886" t="s">
        <v>198</v>
      </c>
      <c r="O886" t="s">
        <v>2597</v>
      </c>
      <c r="P886" t="s">
        <v>2598</v>
      </c>
      <c r="R886" t="s">
        <v>2599</v>
      </c>
      <c r="S886" t="s">
        <v>176</v>
      </c>
      <c r="T886" t="s">
        <v>291</v>
      </c>
      <c r="U886" t="s">
        <v>146</v>
      </c>
      <c r="V886" t="s">
        <v>144</v>
      </c>
      <c r="W886">
        <v>990</v>
      </c>
      <c r="X886">
        <v>39.99</v>
      </c>
      <c r="Y886">
        <v>129</v>
      </c>
      <c r="Z886">
        <v>709000</v>
      </c>
      <c r="AA886">
        <v>485100</v>
      </c>
      <c r="AB886">
        <v>480</v>
      </c>
      <c r="AD886" t="s">
        <v>238</v>
      </c>
      <c r="AE886">
        <v>2</v>
      </c>
      <c r="AF886">
        <v>0</v>
      </c>
      <c r="AI886">
        <v>15</v>
      </c>
      <c r="AJ886">
        <v>75</v>
      </c>
      <c r="AK886">
        <v>90</v>
      </c>
      <c r="AL886">
        <v>490</v>
      </c>
      <c r="AM886">
        <v>90</v>
      </c>
      <c r="AN886">
        <v>0</v>
      </c>
      <c r="AO886">
        <v>90</v>
      </c>
      <c r="AP886" t="s">
        <v>80</v>
      </c>
      <c r="AQ886" t="s">
        <v>190</v>
      </c>
      <c r="AT886" t="s">
        <v>240</v>
      </c>
      <c r="AU886" t="s">
        <v>240</v>
      </c>
      <c r="AV886" t="s">
        <v>2831</v>
      </c>
      <c r="AW886" t="s">
        <v>80</v>
      </c>
      <c r="AX886" t="s">
        <v>126</v>
      </c>
      <c r="AY886" t="s">
        <v>2813</v>
      </c>
      <c r="AZ886" t="s">
        <v>264</v>
      </c>
      <c r="BA886" t="s">
        <v>245</v>
      </c>
      <c r="BB886" t="s">
        <v>244</v>
      </c>
      <c r="BC886" t="s">
        <v>244</v>
      </c>
      <c r="BD886" t="s">
        <v>2841</v>
      </c>
      <c r="BE886" t="s">
        <v>2833</v>
      </c>
      <c r="BF886" t="s">
        <v>291</v>
      </c>
      <c r="BG886" t="s">
        <v>110</v>
      </c>
      <c r="BH886" t="str">
        <f>IF(COUNTIF(工作表1!A:A, $C886)&gt;0, "預購款", "非預購款")</f>
        <v>非預購款</v>
      </c>
    </row>
    <row r="887" spans="1:60" x14ac:dyDescent="0.25">
      <c r="A887" t="s">
        <v>2825</v>
      </c>
      <c r="B887" t="s">
        <v>315</v>
      </c>
      <c r="C887" t="s">
        <v>2826</v>
      </c>
      <c r="D887" t="s">
        <v>2827</v>
      </c>
      <c r="E887" t="s">
        <v>2828</v>
      </c>
      <c r="F887" t="s">
        <v>181</v>
      </c>
      <c r="G887" t="s">
        <v>2829</v>
      </c>
      <c r="H887" t="s">
        <v>132</v>
      </c>
      <c r="I887" t="s">
        <v>88</v>
      </c>
      <c r="J887" t="s">
        <v>89</v>
      </c>
      <c r="K887" t="s">
        <v>69</v>
      </c>
      <c r="L887" t="s">
        <v>2830</v>
      </c>
      <c r="M887" t="s">
        <v>71</v>
      </c>
      <c r="N887" t="s">
        <v>198</v>
      </c>
      <c r="O887" t="s">
        <v>2597</v>
      </c>
      <c r="P887" t="s">
        <v>2598</v>
      </c>
      <c r="R887" t="s">
        <v>2599</v>
      </c>
      <c r="S887" t="s">
        <v>176</v>
      </c>
      <c r="T887" t="s">
        <v>291</v>
      </c>
      <c r="U887" t="s">
        <v>146</v>
      </c>
      <c r="V887" t="s">
        <v>144</v>
      </c>
      <c r="W887">
        <v>990</v>
      </c>
      <c r="X887">
        <v>39.99</v>
      </c>
      <c r="Y887">
        <v>129</v>
      </c>
      <c r="Z887">
        <v>709000</v>
      </c>
      <c r="AA887">
        <v>485100</v>
      </c>
      <c r="AB887">
        <v>480</v>
      </c>
      <c r="AD887" t="s">
        <v>238</v>
      </c>
      <c r="AE887">
        <v>2</v>
      </c>
      <c r="AF887">
        <v>0</v>
      </c>
      <c r="AI887">
        <v>10</v>
      </c>
      <c r="AJ887">
        <v>45</v>
      </c>
      <c r="AK887">
        <v>55</v>
      </c>
      <c r="AL887">
        <v>490</v>
      </c>
      <c r="AM887">
        <v>57</v>
      </c>
      <c r="AN887">
        <v>0</v>
      </c>
      <c r="AO887">
        <v>57</v>
      </c>
      <c r="AP887" t="s">
        <v>80</v>
      </c>
      <c r="AQ887" t="s">
        <v>190</v>
      </c>
      <c r="AT887" t="s">
        <v>240</v>
      </c>
      <c r="AU887" t="s">
        <v>240</v>
      </c>
      <c r="AV887" t="s">
        <v>2831</v>
      </c>
      <c r="AW887" t="s">
        <v>80</v>
      </c>
      <c r="AX887" t="s">
        <v>126</v>
      </c>
      <c r="AY887" t="s">
        <v>2813</v>
      </c>
      <c r="AZ887" t="s">
        <v>264</v>
      </c>
      <c r="BA887" t="s">
        <v>245</v>
      </c>
      <c r="BB887" t="s">
        <v>244</v>
      </c>
      <c r="BC887" t="s">
        <v>244</v>
      </c>
      <c r="BD887" t="s">
        <v>2842</v>
      </c>
      <c r="BE887" t="s">
        <v>2833</v>
      </c>
      <c r="BF887" t="s">
        <v>291</v>
      </c>
      <c r="BG887" t="s">
        <v>110</v>
      </c>
      <c r="BH887" t="str">
        <f>IF(COUNTIF(工作表1!A:A, $C887)&gt;0, "預購款", "非預購款")</f>
        <v>非預購款</v>
      </c>
    </row>
    <row r="888" spans="1:60" x14ac:dyDescent="0.25">
      <c r="A888" t="s">
        <v>2845</v>
      </c>
      <c r="B888" t="s">
        <v>1875</v>
      </c>
      <c r="C888" t="s">
        <v>2846</v>
      </c>
      <c r="D888" t="s">
        <v>2847</v>
      </c>
      <c r="E888" t="s">
        <v>2848</v>
      </c>
      <c r="F888" t="s">
        <v>181</v>
      </c>
      <c r="G888" t="s">
        <v>2847</v>
      </c>
      <c r="H888" t="s">
        <v>273</v>
      </c>
      <c r="I888" t="s">
        <v>120</v>
      </c>
      <c r="J888" t="s">
        <v>121</v>
      </c>
      <c r="K888" t="s">
        <v>69</v>
      </c>
      <c r="L888" t="s">
        <v>2849</v>
      </c>
      <c r="M888" t="s">
        <v>71</v>
      </c>
      <c r="N888" t="s">
        <v>198</v>
      </c>
      <c r="O888" t="s">
        <v>1648</v>
      </c>
      <c r="P888" t="s">
        <v>1649</v>
      </c>
      <c r="R888" t="s">
        <v>1650</v>
      </c>
      <c r="S888" t="s">
        <v>176</v>
      </c>
      <c r="T888" t="s">
        <v>258</v>
      </c>
      <c r="U888" t="s">
        <v>1876</v>
      </c>
      <c r="V888" t="s">
        <v>2850</v>
      </c>
      <c r="W888">
        <v>2980</v>
      </c>
      <c r="X888">
        <v>109.99</v>
      </c>
      <c r="Y888">
        <v>379</v>
      </c>
      <c r="Z888">
        <v>2069000</v>
      </c>
      <c r="AA888">
        <v>1698600</v>
      </c>
      <c r="AB888">
        <v>1000</v>
      </c>
      <c r="AD888" t="s">
        <v>238</v>
      </c>
      <c r="AE888">
        <v>3</v>
      </c>
      <c r="AF888">
        <v>2</v>
      </c>
      <c r="AI888">
        <v>28</v>
      </c>
      <c r="AJ888">
        <v>30</v>
      </c>
      <c r="AK888">
        <v>60</v>
      </c>
      <c r="AL888">
        <v>570</v>
      </c>
      <c r="AM888">
        <v>60</v>
      </c>
      <c r="AN888">
        <v>0</v>
      </c>
      <c r="AO888">
        <v>60</v>
      </c>
      <c r="AP888" t="s">
        <v>80</v>
      </c>
      <c r="AQ888" t="s">
        <v>2257</v>
      </c>
      <c r="AS888" t="s">
        <v>86</v>
      </c>
      <c r="AT888" t="s">
        <v>86</v>
      </c>
      <c r="AU888" t="s">
        <v>240</v>
      </c>
      <c r="AW888" t="s">
        <v>69</v>
      </c>
      <c r="AX888" t="s">
        <v>2851</v>
      </c>
      <c r="AY888" t="s">
        <v>2852</v>
      </c>
      <c r="BD888" t="s">
        <v>2853</v>
      </c>
      <c r="BE888" t="s">
        <v>2854</v>
      </c>
      <c r="BH888" t="str">
        <f>IF(COUNTIF(工作表1!A:A, $C888)&gt;0, "預購款", "非預購款")</f>
        <v>非預購款</v>
      </c>
    </row>
    <row r="889" spans="1:60" x14ac:dyDescent="0.25">
      <c r="A889" t="s">
        <v>2845</v>
      </c>
      <c r="B889" t="s">
        <v>1875</v>
      </c>
      <c r="C889" t="s">
        <v>2846</v>
      </c>
      <c r="D889" t="s">
        <v>2847</v>
      </c>
      <c r="E889" t="s">
        <v>2848</v>
      </c>
      <c r="F889" t="s">
        <v>181</v>
      </c>
      <c r="G889" t="s">
        <v>2847</v>
      </c>
      <c r="H889" t="s">
        <v>119</v>
      </c>
      <c r="I889" t="s">
        <v>120</v>
      </c>
      <c r="J889" t="s">
        <v>121</v>
      </c>
      <c r="K889" t="s">
        <v>69</v>
      </c>
      <c r="L889" t="s">
        <v>2849</v>
      </c>
      <c r="M889" t="s">
        <v>71</v>
      </c>
      <c r="N889" t="s">
        <v>198</v>
      </c>
      <c r="O889" t="s">
        <v>1648</v>
      </c>
      <c r="P889" t="s">
        <v>1649</v>
      </c>
      <c r="R889" t="s">
        <v>1650</v>
      </c>
      <c r="S889" t="s">
        <v>176</v>
      </c>
      <c r="T889" t="s">
        <v>258</v>
      </c>
      <c r="U889" t="s">
        <v>1876</v>
      </c>
      <c r="V889" t="s">
        <v>2850</v>
      </c>
      <c r="W889">
        <v>2980</v>
      </c>
      <c r="X889">
        <v>109.99</v>
      </c>
      <c r="Y889">
        <v>379</v>
      </c>
      <c r="Z889">
        <v>2069000</v>
      </c>
      <c r="AA889">
        <v>1698600</v>
      </c>
      <c r="AB889">
        <v>1000</v>
      </c>
      <c r="AD889" t="s">
        <v>238</v>
      </c>
      <c r="AE889">
        <v>3</v>
      </c>
      <c r="AF889">
        <v>0</v>
      </c>
      <c r="AI889">
        <v>30</v>
      </c>
      <c r="AJ889">
        <v>30</v>
      </c>
      <c r="AK889">
        <v>60</v>
      </c>
      <c r="AL889">
        <v>570</v>
      </c>
      <c r="AM889">
        <v>60</v>
      </c>
      <c r="AN889">
        <v>0</v>
      </c>
      <c r="AO889">
        <v>60</v>
      </c>
      <c r="AP889" t="s">
        <v>80</v>
      </c>
      <c r="AQ889" t="s">
        <v>2257</v>
      </c>
      <c r="AS889" t="s">
        <v>86</v>
      </c>
      <c r="AT889" t="s">
        <v>86</v>
      </c>
      <c r="AU889" t="s">
        <v>240</v>
      </c>
      <c r="AW889" t="s">
        <v>69</v>
      </c>
      <c r="AX889" t="s">
        <v>2851</v>
      </c>
      <c r="AY889" t="s">
        <v>2852</v>
      </c>
      <c r="BD889" t="s">
        <v>2855</v>
      </c>
      <c r="BE889" t="s">
        <v>2854</v>
      </c>
      <c r="BH889" t="str">
        <f>IF(COUNTIF(工作表1!A:A, $C889)&gt;0, "預購款", "非預購款")</f>
        <v>非預購款</v>
      </c>
    </row>
    <row r="890" spans="1:60" x14ac:dyDescent="0.25">
      <c r="A890" t="s">
        <v>2845</v>
      </c>
      <c r="B890" t="s">
        <v>1875</v>
      </c>
      <c r="C890" t="s">
        <v>2846</v>
      </c>
      <c r="D890" t="s">
        <v>2847</v>
      </c>
      <c r="E890" t="s">
        <v>2848</v>
      </c>
      <c r="F890" t="s">
        <v>181</v>
      </c>
      <c r="G890" t="s">
        <v>2847</v>
      </c>
      <c r="H890" t="s">
        <v>130</v>
      </c>
      <c r="I890" t="s">
        <v>120</v>
      </c>
      <c r="J890" t="s">
        <v>121</v>
      </c>
      <c r="K890" t="s">
        <v>69</v>
      </c>
      <c r="L890" t="s">
        <v>2849</v>
      </c>
      <c r="M890" t="s">
        <v>71</v>
      </c>
      <c r="N890" t="s">
        <v>198</v>
      </c>
      <c r="O890" t="s">
        <v>1648</v>
      </c>
      <c r="P890" t="s">
        <v>1649</v>
      </c>
      <c r="R890" t="s">
        <v>1650</v>
      </c>
      <c r="S890" t="s">
        <v>176</v>
      </c>
      <c r="T890" t="s">
        <v>258</v>
      </c>
      <c r="U890" t="s">
        <v>1876</v>
      </c>
      <c r="V890" t="s">
        <v>2850</v>
      </c>
      <c r="W890">
        <v>2980</v>
      </c>
      <c r="X890">
        <v>109.99</v>
      </c>
      <c r="Y890">
        <v>379</v>
      </c>
      <c r="Z890">
        <v>2069000</v>
      </c>
      <c r="AA890">
        <v>1698600</v>
      </c>
      <c r="AB890">
        <v>1000</v>
      </c>
      <c r="AD890" t="s">
        <v>238</v>
      </c>
      <c r="AE890">
        <v>3</v>
      </c>
      <c r="AF890">
        <v>0</v>
      </c>
      <c r="AI890">
        <v>30</v>
      </c>
      <c r="AJ890">
        <v>30</v>
      </c>
      <c r="AK890">
        <v>60</v>
      </c>
      <c r="AL890">
        <v>570</v>
      </c>
      <c r="AM890">
        <v>60</v>
      </c>
      <c r="AN890">
        <v>0</v>
      </c>
      <c r="AO890">
        <v>60</v>
      </c>
      <c r="AP890" t="s">
        <v>80</v>
      </c>
      <c r="AQ890" t="s">
        <v>2257</v>
      </c>
      <c r="AS890" t="s">
        <v>86</v>
      </c>
      <c r="AT890" t="s">
        <v>86</v>
      </c>
      <c r="AU890" t="s">
        <v>240</v>
      </c>
      <c r="AW890" t="s">
        <v>69</v>
      </c>
      <c r="AX890" t="s">
        <v>2851</v>
      </c>
      <c r="AY890" t="s">
        <v>2852</v>
      </c>
      <c r="BD890" t="s">
        <v>2856</v>
      </c>
      <c r="BE890" t="s">
        <v>2854</v>
      </c>
      <c r="BH890" t="str">
        <f>IF(COUNTIF(工作表1!A:A, $C890)&gt;0, "預購款", "非預購款")</f>
        <v>非預購款</v>
      </c>
    </row>
    <row r="891" spans="1:60" x14ac:dyDescent="0.25">
      <c r="A891" t="s">
        <v>2845</v>
      </c>
      <c r="B891" t="s">
        <v>1875</v>
      </c>
      <c r="C891" t="s">
        <v>2846</v>
      </c>
      <c r="D891" t="s">
        <v>2847</v>
      </c>
      <c r="E891" t="s">
        <v>2848</v>
      </c>
      <c r="F891" t="s">
        <v>181</v>
      </c>
      <c r="G891" t="s">
        <v>2847</v>
      </c>
      <c r="H891" t="s">
        <v>132</v>
      </c>
      <c r="I891" t="s">
        <v>120</v>
      </c>
      <c r="J891" t="s">
        <v>121</v>
      </c>
      <c r="K891" t="s">
        <v>69</v>
      </c>
      <c r="L891" t="s">
        <v>2849</v>
      </c>
      <c r="M891" t="s">
        <v>71</v>
      </c>
      <c r="N891" t="s">
        <v>198</v>
      </c>
      <c r="O891" t="s">
        <v>1648</v>
      </c>
      <c r="P891" t="s">
        <v>1649</v>
      </c>
      <c r="R891" t="s">
        <v>1650</v>
      </c>
      <c r="S891" t="s">
        <v>176</v>
      </c>
      <c r="T891" t="s">
        <v>258</v>
      </c>
      <c r="U891" t="s">
        <v>1876</v>
      </c>
      <c r="V891" t="s">
        <v>2850</v>
      </c>
      <c r="W891">
        <v>2980</v>
      </c>
      <c r="X891">
        <v>109.99</v>
      </c>
      <c r="Y891">
        <v>379</v>
      </c>
      <c r="Z891">
        <v>2069000</v>
      </c>
      <c r="AA891">
        <v>1698600</v>
      </c>
      <c r="AB891">
        <v>1000</v>
      </c>
      <c r="AD891" t="s">
        <v>238</v>
      </c>
      <c r="AE891">
        <v>3</v>
      </c>
      <c r="AF891">
        <v>0</v>
      </c>
      <c r="AI891">
        <v>30</v>
      </c>
      <c r="AJ891">
        <v>60</v>
      </c>
      <c r="AK891">
        <v>90</v>
      </c>
      <c r="AL891">
        <v>570</v>
      </c>
      <c r="AM891">
        <v>90</v>
      </c>
      <c r="AN891">
        <v>0</v>
      </c>
      <c r="AO891">
        <v>90</v>
      </c>
      <c r="AP891" t="s">
        <v>80</v>
      </c>
      <c r="AQ891" t="s">
        <v>2257</v>
      </c>
      <c r="AS891" t="s">
        <v>86</v>
      </c>
      <c r="AT891" t="s">
        <v>86</v>
      </c>
      <c r="AU891" t="s">
        <v>240</v>
      </c>
      <c r="AW891" t="s">
        <v>69</v>
      </c>
      <c r="AX891" t="s">
        <v>2851</v>
      </c>
      <c r="AY891" t="s">
        <v>2852</v>
      </c>
      <c r="BD891" t="s">
        <v>2857</v>
      </c>
      <c r="BE891" t="s">
        <v>2854</v>
      </c>
      <c r="BH891" t="str">
        <f>IF(COUNTIF(工作表1!A:A, $C891)&gt;0, "預購款", "非預購款")</f>
        <v>非預購款</v>
      </c>
    </row>
    <row r="892" spans="1:60" x14ac:dyDescent="0.25">
      <c r="A892" t="s">
        <v>2845</v>
      </c>
      <c r="B892" t="s">
        <v>1875</v>
      </c>
      <c r="C892" t="s">
        <v>2846</v>
      </c>
      <c r="D892" t="s">
        <v>2847</v>
      </c>
      <c r="E892" t="s">
        <v>2848</v>
      </c>
      <c r="F892" t="s">
        <v>181</v>
      </c>
      <c r="G892" t="s">
        <v>2847</v>
      </c>
      <c r="H892" t="s">
        <v>2858</v>
      </c>
      <c r="I892" t="s">
        <v>120</v>
      </c>
      <c r="J892" t="s">
        <v>121</v>
      </c>
      <c r="K892" t="s">
        <v>69</v>
      </c>
      <c r="L892" t="s">
        <v>2849</v>
      </c>
      <c r="M892" t="s">
        <v>71</v>
      </c>
      <c r="N892" t="s">
        <v>198</v>
      </c>
      <c r="O892" t="s">
        <v>1648</v>
      </c>
      <c r="P892" t="s">
        <v>1649</v>
      </c>
      <c r="R892" t="s">
        <v>1650</v>
      </c>
      <c r="S892" t="s">
        <v>176</v>
      </c>
      <c r="T892" t="s">
        <v>258</v>
      </c>
      <c r="U892" t="s">
        <v>1876</v>
      </c>
      <c r="V892" t="s">
        <v>2850</v>
      </c>
      <c r="W892">
        <v>2980</v>
      </c>
      <c r="X892">
        <v>109.99</v>
      </c>
      <c r="Y892">
        <v>379</v>
      </c>
      <c r="Z892">
        <v>2069000</v>
      </c>
      <c r="AA892">
        <v>1698600</v>
      </c>
      <c r="AB892">
        <v>1000</v>
      </c>
      <c r="AD892" t="s">
        <v>238</v>
      </c>
      <c r="AE892">
        <v>3</v>
      </c>
      <c r="AF892">
        <v>0</v>
      </c>
      <c r="AI892">
        <v>0</v>
      </c>
      <c r="AJ892">
        <v>30</v>
      </c>
      <c r="AK892">
        <v>30</v>
      </c>
      <c r="AL892">
        <v>570</v>
      </c>
      <c r="AM892">
        <v>30</v>
      </c>
      <c r="AN892">
        <v>0</v>
      </c>
      <c r="AO892">
        <v>30</v>
      </c>
      <c r="AP892" t="s">
        <v>80</v>
      </c>
      <c r="AQ892" t="s">
        <v>2257</v>
      </c>
      <c r="AS892" t="s">
        <v>86</v>
      </c>
      <c r="AT892" t="s">
        <v>86</v>
      </c>
      <c r="AU892" t="s">
        <v>240</v>
      </c>
      <c r="AW892" t="s">
        <v>69</v>
      </c>
      <c r="AX892" t="s">
        <v>2851</v>
      </c>
      <c r="AY892" t="s">
        <v>2852</v>
      </c>
      <c r="BD892" t="s">
        <v>2859</v>
      </c>
      <c r="BE892" t="s">
        <v>2854</v>
      </c>
      <c r="BH892" t="str">
        <f>IF(COUNTIF(工作表1!A:A, $C892)&gt;0, "預購款", "非預購款")</f>
        <v>非預購款</v>
      </c>
    </row>
    <row r="893" spans="1:60" x14ac:dyDescent="0.25">
      <c r="A893" t="s">
        <v>2845</v>
      </c>
      <c r="B893" t="s">
        <v>1875</v>
      </c>
      <c r="C893" t="s">
        <v>2846</v>
      </c>
      <c r="D893" t="s">
        <v>2847</v>
      </c>
      <c r="E893" t="s">
        <v>2848</v>
      </c>
      <c r="F893" t="s">
        <v>181</v>
      </c>
      <c r="G893" t="s">
        <v>2847</v>
      </c>
      <c r="H893" t="s">
        <v>2860</v>
      </c>
      <c r="I893" t="s">
        <v>120</v>
      </c>
      <c r="J893" t="s">
        <v>121</v>
      </c>
      <c r="K893" t="s">
        <v>69</v>
      </c>
      <c r="L893" t="s">
        <v>2849</v>
      </c>
      <c r="M893" t="s">
        <v>71</v>
      </c>
      <c r="N893" t="s">
        <v>198</v>
      </c>
      <c r="O893" t="s">
        <v>1648</v>
      </c>
      <c r="P893" t="s">
        <v>1649</v>
      </c>
      <c r="R893" t="s">
        <v>1650</v>
      </c>
      <c r="S893" t="s">
        <v>176</v>
      </c>
      <c r="T893" t="s">
        <v>258</v>
      </c>
      <c r="U893" t="s">
        <v>1876</v>
      </c>
      <c r="V893" t="s">
        <v>2850</v>
      </c>
      <c r="W893">
        <v>2980</v>
      </c>
      <c r="X893">
        <v>109.99</v>
      </c>
      <c r="Y893">
        <v>379</v>
      </c>
      <c r="Z893">
        <v>2069000</v>
      </c>
      <c r="AA893">
        <v>1698600</v>
      </c>
      <c r="AB893">
        <v>1000</v>
      </c>
      <c r="AD893" t="s">
        <v>238</v>
      </c>
      <c r="AE893">
        <v>3</v>
      </c>
      <c r="AF893">
        <v>2</v>
      </c>
      <c r="AI893">
        <v>28</v>
      </c>
      <c r="AJ893">
        <v>30</v>
      </c>
      <c r="AK893">
        <v>60</v>
      </c>
      <c r="AL893">
        <v>570</v>
      </c>
      <c r="AM893">
        <v>60</v>
      </c>
      <c r="AN893">
        <v>0</v>
      </c>
      <c r="AO893">
        <v>60</v>
      </c>
      <c r="AP893" t="s">
        <v>80</v>
      </c>
      <c r="AQ893" t="s">
        <v>2257</v>
      </c>
      <c r="AS893" t="s">
        <v>86</v>
      </c>
      <c r="AT893" t="s">
        <v>86</v>
      </c>
      <c r="AU893" t="s">
        <v>240</v>
      </c>
      <c r="AW893" t="s">
        <v>69</v>
      </c>
      <c r="AX893" t="s">
        <v>2851</v>
      </c>
      <c r="AY893" t="s">
        <v>2852</v>
      </c>
      <c r="BD893" t="s">
        <v>2861</v>
      </c>
      <c r="BE893" t="s">
        <v>2854</v>
      </c>
      <c r="BH893" t="str">
        <f>IF(COUNTIF(工作表1!A:A, $C893)&gt;0, "預購款", "非預購款")</f>
        <v>非預購款</v>
      </c>
    </row>
    <row r="894" spans="1:60" x14ac:dyDescent="0.25">
      <c r="A894" t="s">
        <v>2863</v>
      </c>
      <c r="B894" t="s">
        <v>1875</v>
      </c>
      <c r="C894" t="s">
        <v>2864</v>
      </c>
      <c r="D894" t="s">
        <v>2865</v>
      </c>
      <c r="E894" t="s">
        <v>2866</v>
      </c>
      <c r="F894" t="s">
        <v>181</v>
      </c>
      <c r="G894" t="s">
        <v>2865</v>
      </c>
      <c r="H894" t="s">
        <v>119</v>
      </c>
      <c r="I894" t="s">
        <v>2867</v>
      </c>
      <c r="J894" t="s">
        <v>2868</v>
      </c>
      <c r="K894" t="s">
        <v>69</v>
      </c>
      <c r="L894" t="s">
        <v>2869</v>
      </c>
      <c r="M894" t="s">
        <v>71</v>
      </c>
      <c r="N894" t="s">
        <v>198</v>
      </c>
      <c r="O894" t="s">
        <v>1648</v>
      </c>
      <c r="P894" t="s">
        <v>1649</v>
      </c>
      <c r="R894" t="s">
        <v>1650</v>
      </c>
      <c r="S894" t="s">
        <v>176</v>
      </c>
      <c r="T894" t="s">
        <v>258</v>
      </c>
      <c r="U894" t="s">
        <v>1876</v>
      </c>
      <c r="V894" t="s">
        <v>1877</v>
      </c>
      <c r="W894">
        <v>1480</v>
      </c>
      <c r="X894">
        <v>59.99</v>
      </c>
      <c r="Y894">
        <v>189</v>
      </c>
      <c r="Z894">
        <v>1069000</v>
      </c>
      <c r="AA894">
        <v>444000</v>
      </c>
      <c r="AB894">
        <v>1000</v>
      </c>
      <c r="AD894" t="s">
        <v>238</v>
      </c>
      <c r="AE894">
        <v>1</v>
      </c>
      <c r="AF894">
        <v>0</v>
      </c>
      <c r="AI894">
        <v>30</v>
      </c>
      <c r="AJ894">
        <v>60</v>
      </c>
      <c r="AK894">
        <v>90</v>
      </c>
      <c r="AL894">
        <v>300</v>
      </c>
      <c r="AM894">
        <v>0</v>
      </c>
      <c r="AN894">
        <v>0</v>
      </c>
      <c r="AO894">
        <v>0</v>
      </c>
      <c r="AP894" t="s">
        <v>69</v>
      </c>
      <c r="AT894" t="s">
        <v>86</v>
      </c>
      <c r="AU894" t="s">
        <v>86</v>
      </c>
      <c r="AW894" t="s">
        <v>69</v>
      </c>
      <c r="AX894" t="s">
        <v>2870</v>
      </c>
      <c r="AY894" t="s">
        <v>2871</v>
      </c>
      <c r="BD894" t="s">
        <v>2872</v>
      </c>
      <c r="BE894" t="s">
        <v>2873</v>
      </c>
      <c r="BH894" t="str">
        <f>IF(COUNTIF(工作表1!A:A, $C894)&gt;0, "預購款", "非預購款")</f>
        <v>非預購款</v>
      </c>
    </row>
    <row r="895" spans="1:60" x14ac:dyDescent="0.25">
      <c r="A895" t="s">
        <v>2863</v>
      </c>
      <c r="B895" t="s">
        <v>1875</v>
      </c>
      <c r="C895" t="s">
        <v>2864</v>
      </c>
      <c r="D895" t="s">
        <v>2865</v>
      </c>
      <c r="E895" t="s">
        <v>2866</v>
      </c>
      <c r="F895" t="s">
        <v>181</v>
      </c>
      <c r="G895" t="s">
        <v>2865</v>
      </c>
      <c r="H895" t="s">
        <v>130</v>
      </c>
      <c r="I895" t="s">
        <v>2867</v>
      </c>
      <c r="J895" t="s">
        <v>2868</v>
      </c>
      <c r="K895" t="s">
        <v>69</v>
      </c>
      <c r="L895" t="s">
        <v>2869</v>
      </c>
      <c r="M895" t="s">
        <v>71</v>
      </c>
      <c r="N895" t="s">
        <v>198</v>
      </c>
      <c r="O895" t="s">
        <v>1648</v>
      </c>
      <c r="P895" t="s">
        <v>1649</v>
      </c>
      <c r="R895" t="s">
        <v>1650</v>
      </c>
      <c r="S895" t="s">
        <v>176</v>
      </c>
      <c r="T895" t="s">
        <v>258</v>
      </c>
      <c r="U895" t="s">
        <v>1876</v>
      </c>
      <c r="V895" t="s">
        <v>1877</v>
      </c>
      <c r="W895">
        <v>1480</v>
      </c>
      <c r="X895">
        <v>59.99</v>
      </c>
      <c r="Y895">
        <v>189</v>
      </c>
      <c r="Z895">
        <v>1069000</v>
      </c>
      <c r="AA895">
        <v>444000</v>
      </c>
      <c r="AB895">
        <v>1000</v>
      </c>
      <c r="AD895" t="s">
        <v>238</v>
      </c>
      <c r="AE895">
        <v>1</v>
      </c>
      <c r="AF895">
        <v>0</v>
      </c>
      <c r="AI895">
        <v>30</v>
      </c>
      <c r="AJ895">
        <v>120</v>
      </c>
      <c r="AK895">
        <v>150</v>
      </c>
      <c r="AL895">
        <v>300</v>
      </c>
      <c r="AM895">
        <v>0</v>
      </c>
      <c r="AN895">
        <v>0</v>
      </c>
      <c r="AO895">
        <v>0</v>
      </c>
      <c r="AP895" t="s">
        <v>69</v>
      </c>
      <c r="AT895" t="s">
        <v>86</v>
      </c>
      <c r="AU895" t="s">
        <v>86</v>
      </c>
      <c r="AW895" t="s">
        <v>69</v>
      </c>
      <c r="AX895" t="s">
        <v>2870</v>
      </c>
      <c r="AY895" t="s">
        <v>2871</v>
      </c>
      <c r="BD895" t="s">
        <v>2874</v>
      </c>
      <c r="BE895" t="s">
        <v>2873</v>
      </c>
      <c r="BH895" t="str">
        <f>IF(COUNTIF(工作表1!A:A, $C895)&gt;0, "預購款", "非預購款")</f>
        <v>非預購款</v>
      </c>
    </row>
    <row r="896" spans="1:60" x14ac:dyDescent="0.25">
      <c r="A896" t="s">
        <v>2863</v>
      </c>
      <c r="B896" t="s">
        <v>1875</v>
      </c>
      <c r="C896" t="s">
        <v>2864</v>
      </c>
      <c r="D896" t="s">
        <v>2865</v>
      </c>
      <c r="E896" t="s">
        <v>2866</v>
      </c>
      <c r="F896" t="s">
        <v>181</v>
      </c>
      <c r="G896" t="s">
        <v>2865</v>
      </c>
      <c r="H896" t="s">
        <v>132</v>
      </c>
      <c r="I896" t="s">
        <v>2867</v>
      </c>
      <c r="J896" t="s">
        <v>2868</v>
      </c>
      <c r="K896" t="s">
        <v>69</v>
      </c>
      <c r="L896" t="s">
        <v>2869</v>
      </c>
      <c r="M896" t="s">
        <v>71</v>
      </c>
      <c r="N896" t="s">
        <v>198</v>
      </c>
      <c r="O896" t="s">
        <v>1648</v>
      </c>
      <c r="P896" t="s">
        <v>1649</v>
      </c>
      <c r="R896" t="s">
        <v>1650</v>
      </c>
      <c r="S896" t="s">
        <v>176</v>
      </c>
      <c r="T896" t="s">
        <v>258</v>
      </c>
      <c r="U896" t="s">
        <v>1876</v>
      </c>
      <c r="V896" t="s">
        <v>1877</v>
      </c>
      <c r="W896">
        <v>1480</v>
      </c>
      <c r="X896">
        <v>59.99</v>
      </c>
      <c r="Y896">
        <v>189</v>
      </c>
      <c r="Z896">
        <v>1069000</v>
      </c>
      <c r="AA896">
        <v>444000</v>
      </c>
      <c r="AB896">
        <v>1000</v>
      </c>
      <c r="AD896" t="s">
        <v>238</v>
      </c>
      <c r="AE896">
        <v>1</v>
      </c>
      <c r="AF896">
        <v>0</v>
      </c>
      <c r="AI896">
        <v>10</v>
      </c>
      <c r="AJ896">
        <v>50</v>
      </c>
      <c r="AK896">
        <v>60</v>
      </c>
      <c r="AL896">
        <v>300</v>
      </c>
      <c r="AM896">
        <v>0</v>
      </c>
      <c r="AN896">
        <v>0</v>
      </c>
      <c r="AO896">
        <v>0</v>
      </c>
      <c r="AP896" t="s">
        <v>69</v>
      </c>
      <c r="AT896" t="s">
        <v>86</v>
      </c>
      <c r="AU896" t="s">
        <v>86</v>
      </c>
      <c r="AW896" t="s">
        <v>69</v>
      </c>
      <c r="AX896" t="s">
        <v>2870</v>
      </c>
      <c r="AY896" t="s">
        <v>2871</v>
      </c>
      <c r="BD896" t="s">
        <v>2875</v>
      </c>
      <c r="BE896" t="s">
        <v>2873</v>
      </c>
      <c r="BH896" t="str">
        <f>IF(COUNTIF(工作表1!A:A, $C896)&gt;0, "預購款", "非預購款")</f>
        <v>非預購款</v>
      </c>
    </row>
    <row r="897" spans="1:60" x14ac:dyDescent="0.25">
      <c r="A897" t="s">
        <v>1589</v>
      </c>
      <c r="B897" t="s">
        <v>1590</v>
      </c>
      <c r="C897" t="s">
        <v>1591</v>
      </c>
      <c r="D897" t="s">
        <v>1592</v>
      </c>
      <c r="E897" t="s">
        <v>1593</v>
      </c>
      <c r="F897" t="s">
        <v>145</v>
      </c>
      <c r="G897" t="s">
        <v>1594</v>
      </c>
      <c r="H897" t="s">
        <v>66</v>
      </c>
      <c r="I897" t="s">
        <v>97</v>
      </c>
      <c r="J897" t="s">
        <v>98</v>
      </c>
      <c r="K897" t="s">
        <v>69</v>
      </c>
      <c r="L897" t="s">
        <v>1595</v>
      </c>
      <c r="M897" t="s">
        <v>71</v>
      </c>
      <c r="N897" t="s">
        <v>100</v>
      </c>
      <c r="O897" t="s">
        <v>1391</v>
      </c>
      <c r="P897" t="s">
        <v>1392</v>
      </c>
      <c r="R897" t="s">
        <v>1588</v>
      </c>
      <c r="S897" t="s">
        <v>167</v>
      </c>
      <c r="T897" t="s">
        <v>76</v>
      </c>
      <c r="U897" t="s">
        <v>527</v>
      </c>
      <c r="V897" t="s">
        <v>1596</v>
      </c>
      <c r="W897">
        <v>390</v>
      </c>
      <c r="X897">
        <v>16.989999999999998</v>
      </c>
      <c r="Y897">
        <v>49</v>
      </c>
      <c r="Z897">
        <v>279000</v>
      </c>
      <c r="AA897">
        <v>159900</v>
      </c>
      <c r="AB897">
        <v>102</v>
      </c>
      <c r="AD897" t="s">
        <v>238</v>
      </c>
      <c r="AE897">
        <v>2</v>
      </c>
      <c r="AF897">
        <v>30</v>
      </c>
      <c r="AI897">
        <v>0</v>
      </c>
      <c r="AJ897">
        <v>250</v>
      </c>
      <c r="AK897">
        <v>280</v>
      </c>
      <c r="AL897">
        <v>410</v>
      </c>
      <c r="AM897">
        <v>280</v>
      </c>
      <c r="AN897">
        <v>0</v>
      </c>
      <c r="AO897">
        <v>280</v>
      </c>
      <c r="AP897" t="s">
        <v>80</v>
      </c>
      <c r="AQ897" t="s">
        <v>2352</v>
      </c>
      <c r="AV897" t="s">
        <v>1598</v>
      </c>
      <c r="AW897" t="s">
        <v>69</v>
      </c>
      <c r="AX897" t="s">
        <v>1599</v>
      </c>
      <c r="AY897" t="s">
        <v>1600</v>
      </c>
      <c r="BD897" t="s">
        <v>1601</v>
      </c>
      <c r="BE897" t="s">
        <v>2877</v>
      </c>
      <c r="BH897" t="str">
        <f>IF(COUNTIF(工作表1!A:A, $C897)&gt;0, "預購款", "非預購款")</f>
        <v>非預購款</v>
      </c>
    </row>
    <row r="898" spans="1:60" x14ac:dyDescent="0.25">
      <c r="A898" t="s">
        <v>1589</v>
      </c>
      <c r="B898" t="s">
        <v>1590</v>
      </c>
      <c r="C898" t="s">
        <v>1591</v>
      </c>
      <c r="D898" t="s">
        <v>1592</v>
      </c>
      <c r="E898" t="s">
        <v>1593</v>
      </c>
      <c r="F898" t="s">
        <v>145</v>
      </c>
      <c r="G898" t="s">
        <v>1594</v>
      </c>
      <c r="H898" t="s">
        <v>66</v>
      </c>
      <c r="I898" t="s">
        <v>171</v>
      </c>
      <c r="J898" t="s">
        <v>172</v>
      </c>
      <c r="K898" t="s">
        <v>69</v>
      </c>
      <c r="L898" t="s">
        <v>1595</v>
      </c>
      <c r="M898" t="s">
        <v>71</v>
      </c>
      <c r="N898" t="s">
        <v>100</v>
      </c>
      <c r="O898" t="s">
        <v>1391</v>
      </c>
      <c r="P898" t="s">
        <v>1392</v>
      </c>
      <c r="R898" t="s">
        <v>1588</v>
      </c>
      <c r="S898" t="s">
        <v>167</v>
      </c>
      <c r="T898" t="s">
        <v>76</v>
      </c>
      <c r="U898" t="s">
        <v>527</v>
      </c>
      <c r="V898" t="s">
        <v>1596</v>
      </c>
      <c r="W898">
        <v>390</v>
      </c>
      <c r="X898">
        <v>16.989999999999998</v>
      </c>
      <c r="Y898">
        <v>49</v>
      </c>
      <c r="Z898">
        <v>279000</v>
      </c>
      <c r="AA898">
        <v>159900</v>
      </c>
      <c r="AB898">
        <v>102</v>
      </c>
      <c r="AD898" t="s">
        <v>238</v>
      </c>
      <c r="AE898">
        <v>2</v>
      </c>
      <c r="AF898">
        <v>30</v>
      </c>
      <c r="AI898">
        <v>0</v>
      </c>
      <c r="AJ898">
        <v>100</v>
      </c>
      <c r="AK898">
        <v>130</v>
      </c>
      <c r="AL898">
        <v>410</v>
      </c>
      <c r="AM898">
        <v>130</v>
      </c>
      <c r="AN898">
        <v>0</v>
      </c>
      <c r="AO898">
        <v>130</v>
      </c>
      <c r="AP898" t="s">
        <v>80</v>
      </c>
      <c r="AQ898" t="s">
        <v>2352</v>
      </c>
      <c r="AV898" t="s">
        <v>1598</v>
      </c>
      <c r="AW898" t="s">
        <v>69</v>
      </c>
      <c r="AX898" t="s">
        <v>1599</v>
      </c>
      <c r="AY898" t="s">
        <v>1600</v>
      </c>
      <c r="BD898" t="s">
        <v>1602</v>
      </c>
      <c r="BE898" t="s">
        <v>2877</v>
      </c>
      <c r="BH898" t="str">
        <f>IF(COUNTIF(工作表1!A:A, $C898)&gt;0, "預購款", "非預購款")</f>
        <v>非預購款</v>
      </c>
    </row>
    <row r="899" spans="1:60" x14ac:dyDescent="0.25">
      <c r="A899" t="s">
        <v>1894</v>
      </c>
      <c r="B899" t="s">
        <v>488</v>
      </c>
      <c r="C899" t="s">
        <v>1895</v>
      </c>
      <c r="D899" t="s">
        <v>1896</v>
      </c>
      <c r="E899" t="s">
        <v>1897</v>
      </c>
      <c r="F899" t="s">
        <v>1631</v>
      </c>
      <c r="G899" t="s">
        <v>1898</v>
      </c>
      <c r="H899" t="s">
        <v>119</v>
      </c>
      <c r="I899" t="s">
        <v>214</v>
      </c>
      <c r="J899" t="s">
        <v>215</v>
      </c>
      <c r="K899" t="s">
        <v>69</v>
      </c>
      <c r="L899" t="s">
        <v>1899</v>
      </c>
      <c r="M899" t="s">
        <v>71</v>
      </c>
      <c r="N899" t="s">
        <v>100</v>
      </c>
      <c r="O899" t="s">
        <v>1900</v>
      </c>
      <c r="P899" t="s">
        <v>1901</v>
      </c>
      <c r="R899" t="s">
        <v>1902</v>
      </c>
      <c r="S899" t="s">
        <v>1893</v>
      </c>
      <c r="T899" t="s">
        <v>258</v>
      </c>
      <c r="U899" t="s">
        <v>146</v>
      </c>
      <c r="V899" t="s">
        <v>144</v>
      </c>
      <c r="W899">
        <v>890</v>
      </c>
      <c r="X899">
        <v>39.99</v>
      </c>
      <c r="Y899">
        <v>115</v>
      </c>
      <c r="Z899">
        <v>639000</v>
      </c>
      <c r="AA899">
        <v>342650</v>
      </c>
      <c r="AB899">
        <v>430</v>
      </c>
      <c r="AD899" t="s">
        <v>238</v>
      </c>
      <c r="AE899">
        <v>1</v>
      </c>
      <c r="AF899">
        <v>12</v>
      </c>
      <c r="AI899">
        <v>0</v>
      </c>
      <c r="AJ899">
        <v>125</v>
      </c>
      <c r="AK899">
        <v>137</v>
      </c>
      <c r="AL899">
        <v>385</v>
      </c>
      <c r="AM899">
        <v>134</v>
      </c>
      <c r="AN899">
        <v>1</v>
      </c>
      <c r="AO899">
        <v>135</v>
      </c>
      <c r="AP899" t="s">
        <v>80</v>
      </c>
      <c r="AQ899" t="s">
        <v>187</v>
      </c>
      <c r="AR899" t="s">
        <v>86</v>
      </c>
      <c r="AS899" t="s">
        <v>86</v>
      </c>
      <c r="AT899" t="s">
        <v>86</v>
      </c>
      <c r="AU899" t="s">
        <v>86</v>
      </c>
      <c r="AV899" t="s">
        <v>1903</v>
      </c>
      <c r="AW899" t="s">
        <v>69</v>
      </c>
      <c r="AX899" t="s">
        <v>262</v>
      </c>
      <c r="AY899" t="s">
        <v>1904</v>
      </c>
      <c r="AZ899" t="s">
        <v>243</v>
      </c>
      <c r="BA899" t="s">
        <v>245</v>
      </c>
      <c r="BB899" t="s">
        <v>244</v>
      </c>
      <c r="BC899" t="s">
        <v>245</v>
      </c>
      <c r="BD899" t="s">
        <v>2290</v>
      </c>
      <c r="BE899" t="s">
        <v>2878</v>
      </c>
      <c r="BF899" t="s">
        <v>240</v>
      </c>
      <c r="BG899" t="s">
        <v>150</v>
      </c>
      <c r="BH899" t="str">
        <f>IF(COUNTIF(工作表1!A:A, $C899)&gt;0, "預購款", "非預購款")</f>
        <v>非預購款</v>
      </c>
    </row>
    <row r="900" spans="1:60" x14ac:dyDescent="0.25">
      <c r="A900" t="s">
        <v>1894</v>
      </c>
      <c r="B900" t="s">
        <v>488</v>
      </c>
      <c r="C900" t="s">
        <v>1895</v>
      </c>
      <c r="D900" t="s">
        <v>1896</v>
      </c>
      <c r="E900" t="s">
        <v>1897</v>
      </c>
      <c r="F900" t="s">
        <v>1631</v>
      </c>
      <c r="G900" t="s">
        <v>1898</v>
      </c>
      <c r="H900" t="s">
        <v>130</v>
      </c>
      <c r="I900" t="s">
        <v>214</v>
      </c>
      <c r="J900" t="s">
        <v>215</v>
      </c>
      <c r="K900" t="s">
        <v>69</v>
      </c>
      <c r="L900" t="s">
        <v>1899</v>
      </c>
      <c r="M900" t="s">
        <v>71</v>
      </c>
      <c r="N900" t="s">
        <v>100</v>
      </c>
      <c r="O900" t="s">
        <v>1900</v>
      </c>
      <c r="P900" t="s">
        <v>1901</v>
      </c>
      <c r="R900" t="s">
        <v>1902</v>
      </c>
      <c r="S900" t="s">
        <v>1893</v>
      </c>
      <c r="T900" t="s">
        <v>258</v>
      </c>
      <c r="U900" t="s">
        <v>146</v>
      </c>
      <c r="V900" t="s">
        <v>144</v>
      </c>
      <c r="W900">
        <v>890</v>
      </c>
      <c r="X900">
        <v>39.99</v>
      </c>
      <c r="Y900">
        <v>115</v>
      </c>
      <c r="Z900">
        <v>639000</v>
      </c>
      <c r="AA900">
        <v>342650</v>
      </c>
      <c r="AB900">
        <v>430</v>
      </c>
      <c r="AD900" t="s">
        <v>238</v>
      </c>
      <c r="AE900">
        <v>1</v>
      </c>
      <c r="AF900">
        <v>8</v>
      </c>
      <c r="AI900">
        <v>0</v>
      </c>
      <c r="AJ900">
        <v>150</v>
      </c>
      <c r="AK900">
        <v>158</v>
      </c>
      <c r="AL900">
        <v>385</v>
      </c>
      <c r="AM900">
        <v>143</v>
      </c>
      <c r="AN900">
        <v>5</v>
      </c>
      <c r="AO900">
        <v>148</v>
      </c>
      <c r="AP900" t="s">
        <v>80</v>
      </c>
      <c r="AQ900" t="s">
        <v>187</v>
      </c>
      <c r="AR900" t="s">
        <v>86</v>
      </c>
      <c r="AS900" t="s">
        <v>86</v>
      </c>
      <c r="AT900" t="s">
        <v>86</v>
      </c>
      <c r="AU900" t="s">
        <v>86</v>
      </c>
      <c r="AV900" t="s">
        <v>1903</v>
      </c>
      <c r="AW900" t="s">
        <v>69</v>
      </c>
      <c r="AX900" t="s">
        <v>262</v>
      </c>
      <c r="AY900" t="s">
        <v>1904</v>
      </c>
      <c r="AZ900" t="s">
        <v>243</v>
      </c>
      <c r="BA900" t="s">
        <v>245</v>
      </c>
      <c r="BB900" t="s">
        <v>244</v>
      </c>
      <c r="BC900" t="s">
        <v>245</v>
      </c>
      <c r="BD900" t="s">
        <v>2291</v>
      </c>
      <c r="BE900" t="s">
        <v>2878</v>
      </c>
      <c r="BF900" t="s">
        <v>240</v>
      </c>
      <c r="BG900" t="s">
        <v>150</v>
      </c>
      <c r="BH900" t="str">
        <f>IF(COUNTIF(工作表1!A:A, $C900)&gt;0, "預購款", "非預購款")</f>
        <v>非預購款</v>
      </c>
    </row>
    <row r="901" spans="1:60" x14ac:dyDescent="0.25">
      <c r="A901" t="s">
        <v>1894</v>
      </c>
      <c r="B901" t="s">
        <v>488</v>
      </c>
      <c r="C901" t="s">
        <v>1895</v>
      </c>
      <c r="D901" t="s">
        <v>1896</v>
      </c>
      <c r="E901" t="s">
        <v>1897</v>
      </c>
      <c r="F901" t="s">
        <v>1631</v>
      </c>
      <c r="G901" t="s">
        <v>1898</v>
      </c>
      <c r="H901" t="s">
        <v>132</v>
      </c>
      <c r="I901" t="s">
        <v>214</v>
      </c>
      <c r="J901" t="s">
        <v>215</v>
      </c>
      <c r="K901" t="s">
        <v>69</v>
      </c>
      <c r="L901" t="s">
        <v>1899</v>
      </c>
      <c r="M901" t="s">
        <v>71</v>
      </c>
      <c r="N901" t="s">
        <v>100</v>
      </c>
      <c r="O901" t="s">
        <v>1900</v>
      </c>
      <c r="P901" t="s">
        <v>1901</v>
      </c>
      <c r="R901" t="s">
        <v>1902</v>
      </c>
      <c r="S901" t="s">
        <v>1893</v>
      </c>
      <c r="T901" t="s">
        <v>258</v>
      </c>
      <c r="U901" t="s">
        <v>146</v>
      </c>
      <c r="V901" t="s">
        <v>144</v>
      </c>
      <c r="W901">
        <v>890</v>
      </c>
      <c r="X901">
        <v>39.99</v>
      </c>
      <c r="Y901">
        <v>115</v>
      </c>
      <c r="Z901">
        <v>639000</v>
      </c>
      <c r="AA901">
        <v>342650</v>
      </c>
      <c r="AB901">
        <v>430</v>
      </c>
      <c r="AD901" t="s">
        <v>238</v>
      </c>
      <c r="AE901">
        <v>1</v>
      </c>
      <c r="AF901">
        <v>0</v>
      </c>
      <c r="AI901">
        <v>0</v>
      </c>
      <c r="AJ901">
        <v>90</v>
      </c>
      <c r="AK901">
        <v>90</v>
      </c>
      <c r="AL901">
        <v>385</v>
      </c>
      <c r="AM901">
        <v>93</v>
      </c>
      <c r="AN901">
        <v>1</v>
      </c>
      <c r="AO901">
        <v>94</v>
      </c>
      <c r="AP901" t="s">
        <v>80</v>
      </c>
      <c r="AQ901" t="s">
        <v>187</v>
      </c>
      <c r="AR901" t="s">
        <v>86</v>
      </c>
      <c r="AS901" t="s">
        <v>86</v>
      </c>
      <c r="AT901" t="s">
        <v>86</v>
      </c>
      <c r="AU901" t="s">
        <v>86</v>
      </c>
      <c r="AV901" t="s">
        <v>1903</v>
      </c>
      <c r="AW901" t="s">
        <v>69</v>
      </c>
      <c r="AX901" t="s">
        <v>262</v>
      </c>
      <c r="AY901" t="s">
        <v>1904</v>
      </c>
      <c r="AZ901" t="s">
        <v>243</v>
      </c>
      <c r="BA901" t="s">
        <v>245</v>
      </c>
      <c r="BB901" t="s">
        <v>244</v>
      </c>
      <c r="BC901" t="s">
        <v>245</v>
      </c>
      <c r="BD901" t="s">
        <v>2879</v>
      </c>
      <c r="BE901" t="s">
        <v>2878</v>
      </c>
      <c r="BF901" t="s">
        <v>240</v>
      </c>
      <c r="BG901" t="s">
        <v>150</v>
      </c>
      <c r="BH901" t="str">
        <f>IF(COUNTIF(工作表1!A:A, $C901)&gt;0, "預購款", "非預購款")</f>
        <v>非預購款</v>
      </c>
    </row>
    <row r="902" spans="1:60" x14ac:dyDescent="0.25">
      <c r="A902" t="s">
        <v>1909</v>
      </c>
      <c r="B902" t="s">
        <v>488</v>
      </c>
      <c r="C902" t="s">
        <v>1910</v>
      </c>
      <c r="D902" t="s">
        <v>1911</v>
      </c>
      <c r="E902" t="s">
        <v>1912</v>
      </c>
      <c r="F902" t="s">
        <v>1631</v>
      </c>
      <c r="G902" t="s">
        <v>1913</v>
      </c>
      <c r="H902" t="s">
        <v>119</v>
      </c>
      <c r="I902" t="s">
        <v>214</v>
      </c>
      <c r="J902" t="s">
        <v>215</v>
      </c>
      <c r="K902" t="s">
        <v>69</v>
      </c>
      <c r="L902" t="s">
        <v>1914</v>
      </c>
      <c r="M902" t="s">
        <v>71</v>
      </c>
      <c r="N902" t="s">
        <v>100</v>
      </c>
      <c r="O902" t="s">
        <v>1900</v>
      </c>
      <c r="P902" t="s">
        <v>1901</v>
      </c>
      <c r="R902" t="s">
        <v>1902</v>
      </c>
      <c r="S902" t="s">
        <v>1893</v>
      </c>
      <c r="T902" t="s">
        <v>258</v>
      </c>
      <c r="U902" t="s">
        <v>104</v>
      </c>
      <c r="V902" t="s">
        <v>965</v>
      </c>
      <c r="W902">
        <v>690</v>
      </c>
      <c r="X902">
        <v>29.99</v>
      </c>
      <c r="Y902">
        <v>89</v>
      </c>
      <c r="Z902">
        <v>499000</v>
      </c>
      <c r="AA902">
        <v>293250</v>
      </c>
      <c r="AB902">
        <v>215</v>
      </c>
      <c r="AD902" t="s">
        <v>238</v>
      </c>
      <c r="AE902">
        <v>1</v>
      </c>
      <c r="AF902">
        <v>12</v>
      </c>
      <c r="AI902">
        <v>20</v>
      </c>
      <c r="AJ902">
        <v>210</v>
      </c>
      <c r="AK902">
        <v>242</v>
      </c>
      <c r="AL902">
        <v>425</v>
      </c>
      <c r="AM902">
        <v>247</v>
      </c>
      <c r="AN902">
        <v>0</v>
      </c>
      <c r="AO902">
        <v>247</v>
      </c>
      <c r="AP902" t="s">
        <v>80</v>
      </c>
      <c r="AQ902" t="s">
        <v>187</v>
      </c>
      <c r="AR902" t="s">
        <v>86</v>
      </c>
      <c r="AS902" t="s">
        <v>86</v>
      </c>
      <c r="AT902" t="s">
        <v>240</v>
      </c>
      <c r="AU902" t="s">
        <v>86</v>
      </c>
      <c r="AV902" t="s">
        <v>1915</v>
      </c>
      <c r="AW902" t="s">
        <v>69</v>
      </c>
      <c r="AX902" t="s">
        <v>737</v>
      </c>
      <c r="AY902" t="s">
        <v>1916</v>
      </c>
      <c r="AZ902" t="s">
        <v>243</v>
      </c>
      <c r="BA902" t="s">
        <v>245</v>
      </c>
      <c r="BB902" t="s">
        <v>244</v>
      </c>
      <c r="BC902" t="s">
        <v>245</v>
      </c>
      <c r="BD902" t="s">
        <v>2292</v>
      </c>
      <c r="BE902" t="s">
        <v>2880</v>
      </c>
      <c r="BF902" t="s">
        <v>240</v>
      </c>
      <c r="BG902" t="s">
        <v>150</v>
      </c>
      <c r="BH902" t="str">
        <f>IF(COUNTIF(工作表1!A:A, $C902)&gt;0, "預購款", "非預購款")</f>
        <v>非預購款</v>
      </c>
    </row>
    <row r="903" spans="1:60" x14ac:dyDescent="0.25">
      <c r="A903" t="s">
        <v>1909</v>
      </c>
      <c r="B903" t="s">
        <v>488</v>
      </c>
      <c r="C903" t="s">
        <v>1910</v>
      </c>
      <c r="D903" t="s">
        <v>1911</v>
      </c>
      <c r="E903" t="s">
        <v>1912</v>
      </c>
      <c r="F903" t="s">
        <v>1631</v>
      </c>
      <c r="G903" t="s">
        <v>1913</v>
      </c>
      <c r="H903" t="s">
        <v>130</v>
      </c>
      <c r="I903" t="s">
        <v>214</v>
      </c>
      <c r="J903" t="s">
        <v>215</v>
      </c>
      <c r="K903" t="s">
        <v>69</v>
      </c>
      <c r="L903" t="s">
        <v>1914</v>
      </c>
      <c r="M903" t="s">
        <v>71</v>
      </c>
      <c r="N903" t="s">
        <v>100</v>
      </c>
      <c r="O903" t="s">
        <v>1900</v>
      </c>
      <c r="P903" t="s">
        <v>1901</v>
      </c>
      <c r="R903" t="s">
        <v>1902</v>
      </c>
      <c r="S903" t="s">
        <v>1893</v>
      </c>
      <c r="T903" t="s">
        <v>258</v>
      </c>
      <c r="U903" t="s">
        <v>104</v>
      </c>
      <c r="V903" t="s">
        <v>965</v>
      </c>
      <c r="W903">
        <v>690</v>
      </c>
      <c r="X903">
        <v>29.99</v>
      </c>
      <c r="Y903">
        <v>89</v>
      </c>
      <c r="Z903">
        <v>499000</v>
      </c>
      <c r="AA903">
        <v>293250</v>
      </c>
      <c r="AB903">
        <v>215</v>
      </c>
      <c r="AD903" t="s">
        <v>238</v>
      </c>
      <c r="AE903">
        <v>1</v>
      </c>
      <c r="AF903">
        <v>8</v>
      </c>
      <c r="AI903">
        <v>0</v>
      </c>
      <c r="AJ903">
        <v>130</v>
      </c>
      <c r="AK903">
        <v>138</v>
      </c>
      <c r="AL903">
        <v>425</v>
      </c>
      <c r="AM903">
        <v>139</v>
      </c>
      <c r="AN903">
        <v>0</v>
      </c>
      <c r="AO903">
        <v>139</v>
      </c>
      <c r="AP903" t="s">
        <v>80</v>
      </c>
      <c r="AQ903" t="s">
        <v>187</v>
      </c>
      <c r="AR903" t="s">
        <v>86</v>
      </c>
      <c r="AS903" t="s">
        <v>86</v>
      </c>
      <c r="AT903" t="s">
        <v>240</v>
      </c>
      <c r="AU903" t="s">
        <v>86</v>
      </c>
      <c r="AV903" t="s">
        <v>1915</v>
      </c>
      <c r="AW903" t="s">
        <v>69</v>
      </c>
      <c r="AX903" t="s">
        <v>737</v>
      </c>
      <c r="AY903" t="s">
        <v>1916</v>
      </c>
      <c r="AZ903" t="s">
        <v>243</v>
      </c>
      <c r="BA903" t="s">
        <v>245</v>
      </c>
      <c r="BB903" t="s">
        <v>244</v>
      </c>
      <c r="BC903" t="s">
        <v>245</v>
      </c>
      <c r="BD903" t="s">
        <v>2293</v>
      </c>
      <c r="BE903" t="s">
        <v>2880</v>
      </c>
      <c r="BF903" t="s">
        <v>240</v>
      </c>
      <c r="BG903" t="s">
        <v>150</v>
      </c>
      <c r="BH903" t="str">
        <f>IF(COUNTIF(工作表1!A:A, $C903)&gt;0, "預購款", "非預購款")</f>
        <v>非預購款</v>
      </c>
    </row>
    <row r="904" spans="1:60" x14ac:dyDescent="0.25">
      <c r="A904" t="s">
        <v>1909</v>
      </c>
      <c r="B904" t="s">
        <v>488</v>
      </c>
      <c r="C904" t="s">
        <v>1910</v>
      </c>
      <c r="D904" t="s">
        <v>1911</v>
      </c>
      <c r="E904" t="s">
        <v>1912</v>
      </c>
      <c r="F904" t="s">
        <v>1631</v>
      </c>
      <c r="G904" t="s">
        <v>1913</v>
      </c>
      <c r="H904" t="s">
        <v>132</v>
      </c>
      <c r="I904" t="s">
        <v>214</v>
      </c>
      <c r="J904" t="s">
        <v>215</v>
      </c>
      <c r="K904" t="s">
        <v>69</v>
      </c>
      <c r="L904" t="s">
        <v>1914</v>
      </c>
      <c r="M904" t="s">
        <v>71</v>
      </c>
      <c r="N904" t="s">
        <v>100</v>
      </c>
      <c r="O904" t="s">
        <v>1900</v>
      </c>
      <c r="P904" t="s">
        <v>1901</v>
      </c>
      <c r="R904" t="s">
        <v>1902</v>
      </c>
      <c r="S904" t="s">
        <v>1893</v>
      </c>
      <c r="T904" t="s">
        <v>258</v>
      </c>
      <c r="U904" t="s">
        <v>104</v>
      </c>
      <c r="V904" t="s">
        <v>965</v>
      </c>
      <c r="W904">
        <v>690</v>
      </c>
      <c r="X904">
        <v>29.99</v>
      </c>
      <c r="Y904">
        <v>89</v>
      </c>
      <c r="Z904">
        <v>499000</v>
      </c>
      <c r="AA904">
        <v>293250</v>
      </c>
      <c r="AB904">
        <v>215</v>
      </c>
      <c r="AD904" t="s">
        <v>238</v>
      </c>
      <c r="AE904">
        <v>1</v>
      </c>
      <c r="AF904">
        <v>0</v>
      </c>
      <c r="AI904">
        <v>0</v>
      </c>
      <c r="AJ904">
        <v>45</v>
      </c>
      <c r="AK904">
        <v>45</v>
      </c>
      <c r="AL904">
        <v>425</v>
      </c>
      <c r="AM904">
        <v>44</v>
      </c>
      <c r="AN904">
        <v>0</v>
      </c>
      <c r="AO904">
        <v>44</v>
      </c>
      <c r="AP904" t="s">
        <v>80</v>
      </c>
      <c r="AQ904" t="s">
        <v>187</v>
      </c>
      <c r="AR904" t="s">
        <v>86</v>
      </c>
      <c r="AS904" t="s">
        <v>86</v>
      </c>
      <c r="AT904" t="s">
        <v>240</v>
      </c>
      <c r="AU904" t="s">
        <v>86</v>
      </c>
      <c r="AV904" t="s">
        <v>1915</v>
      </c>
      <c r="AW904" t="s">
        <v>69</v>
      </c>
      <c r="AX904" t="s">
        <v>737</v>
      </c>
      <c r="AY904" t="s">
        <v>1916</v>
      </c>
      <c r="AZ904" t="s">
        <v>243</v>
      </c>
      <c r="BA904" t="s">
        <v>245</v>
      </c>
      <c r="BB904" t="s">
        <v>244</v>
      </c>
      <c r="BC904" t="s">
        <v>245</v>
      </c>
      <c r="BD904" t="s">
        <v>2294</v>
      </c>
      <c r="BE904" t="s">
        <v>2880</v>
      </c>
      <c r="BF904" t="s">
        <v>240</v>
      </c>
      <c r="BG904" t="s">
        <v>150</v>
      </c>
      <c r="BH904" t="str">
        <f>IF(COUNTIF(工作表1!A:A, $C904)&gt;0, "預購款", "非預購款")</f>
        <v>非預購款</v>
      </c>
    </row>
    <row r="905" spans="1:60" x14ac:dyDescent="0.25">
      <c r="A905" t="s">
        <v>1089</v>
      </c>
      <c r="B905" t="s">
        <v>535</v>
      </c>
      <c r="C905" t="s">
        <v>1090</v>
      </c>
      <c r="D905" t="s">
        <v>1091</v>
      </c>
      <c r="E905" t="s">
        <v>1092</v>
      </c>
      <c r="F905" t="s">
        <v>142</v>
      </c>
      <c r="G905" t="s">
        <v>1093</v>
      </c>
      <c r="H905" t="s">
        <v>119</v>
      </c>
      <c r="I905" t="s">
        <v>162</v>
      </c>
      <c r="J905" t="s">
        <v>163</v>
      </c>
      <c r="K905" t="s">
        <v>69</v>
      </c>
      <c r="L905" t="s">
        <v>1094</v>
      </c>
      <c r="M905" t="s">
        <v>71</v>
      </c>
      <c r="N905" t="s">
        <v>100</v>
      </c>
      <c r="O905" t="s">
        <v>980</v>
      </c>
      <c r="P905" t="s">
        <v>981</v>
      </c>
      <c r="R905" t="s">
        <v>1095</v>
      </c>
      <c r="S905" t="s">
        <v>145</v>
      </c>
      <c r="T905" t="s">
        <v>76</v>
      </c>
      <c r="U905" t="s">
        <v>104</v>
      </c>
      <c r="V905" t="s">
        <v>965</v>
      </c>
      <c r="W905">
        <v>390</v>
      </c>
      <c r="X905">
        <v>16.989999999999998</v>
      </c>
      <c r="Y905">
        <v>49</v>
      </c>
      <c r="Z905">
        <v>279000</v>
      </c>
      <c r="AA905">
        <v>29640</v>
      </c>
      <c r="AB905">
        <v>192</v>
      </c>
      <c r="AD905" t="s">
        <v>238</v>
      </c>
      <c r="AE905">
        <v>2</v>
      </c>
      <c r="AF905">
        <v>0</v>
      </c>
      <c r="AI905">
        <v>0</v>
      </c>
      <c r="AJ905">
        <v>5</v>
      </c>
      <c r="AK905">
        <v>5</v>
      </c>
      <c r="AL905">
        <v>76</v>
      </c>
      <c r="AM905">
        <v>5</v>
      </c>
      <c r="AN905">
        <v>0</v>
      </c>
      <c r="AO905">
        <v>5</v>
      </c>
      <c r="AP905" t="s">
        <v>80</v>
      </c>
      <c r="AQ905" t="s">
        <v>179</v>
      </c>
      <c r="AR905" t="s">
        <v>86</v>
      </c>
      <c r="AS905" t="s">
        <v>86</v>
      </c>
      <c r="AT905" t="s">
        <v>264</v>
      </c>
      <c r="AU905" t="s">
        <v>264</v>
      </c>
      <c r="AV905" t="s">
        <v>1096</v>
      </c>
      <c r="AW905" t="s">
        <v>69</v>
      </c>
      <c r="AX905" t="s">
        <v>1097</v>
      </c>
      <c r="AY905" t="s">
        <v>1098</v>
      </c>
      <c r="AZ905" t="s">
        <v>243</v>
      </c>
      <c r="BA905" t="s">
        <v>264</v>
      </c>
      <c r="BB905" t="s">
        <v>244</v>
      </c>
      <c r="BC905" t="s">
        <v>244</v>
      </c>
      <c r="BD905" t="s">
        <v>1099</v>
      </c>
      <c r="BE905" t="s">
        <v>2881</v>
      </c>
      <c r="BF905" t="s">
        <v>86</v>
      </c>
      <c r="BG905" t="s">
        <v>150</v>
      </c>
      <c r="BH905" t="str">
        <f>IF(COUNTIF(工作表1!A:A, $C905)&gt;0, "預購款", "非預購款")</f>
        <v>非預購款</v>
      </c>
    </row>
    <row r="906" spans="1:60" x14ac:dyDescent="0.25">
      <c r="A906" t="s">
        <v>1089</v>
      </c>
      <c r="B906" t="s">
        <v>535</v>
      </c>
      <c r="C906" t="s">
        <v>1090</v>
      </c>
      <c r="D906" t="s">
        <v>1091</v>
      </c>
      <c r="E906" t="s">
        <v>1092</v>
      </c>
      <c r="F906" t="s">
        <v>142</v>
      </c>
      <c r="G906" t="s">
        <v>1093</v>
      </c>
      <c r="H906" t="s">
        <v>130</v>
      </c>
      <c r="I906" t="s">
        <v>162</v>
      </c>
      <c r="J906" t="s">
        <v>163</v>
      </c>
      <c r="K906" t="s">
        <v>69</v>
      </c>
      <c r="L906" t="s">
        <v>1094</v>
      </c>
      <c r="M906" t="s">
        <v>71</v>
      </c>
      <c r="N906" t="s">
        <v>100</v>
      </c>
      <c r="O906" t="s">
        <v>980</v>
      </c>
      <c r="P906" t="s">
        <v>981</v>
      </c>
      <c r="R906" t="s">
        <v>1095</v>
      </c>
      <c r="S906" t="s">
        <v>145</v>
      </c>
      <c r="T906" t="s">
        <v>76</v>
      </c>
      <c r="U906" t="s">
        <v>104</v>
      </c>
      <c r="V906" t="s">
        <v>965</v>
      </c>
      <c r="W906">
        <v>390</v>
      </c>
      <c r="X906">
        <v>16.989999999999998</v>
      </c>
      <c r="Y906">
        <v>49</v>
      </c>
      <c r="Z906">
        <v>279000</v>
      </c>
      <c r="AA906">
        <v>29640</v>
      </c>
      <c r="AB906">
        <v>192</v>
      </c>
      <c r="AD906" t="s">
        <v>238</v>
      </c>
      <c r="AE906">
        <v>2</v>
      </c>
      <c r="AF906">
        <v>0</v>
      </c>
      <c r="AI906">
        <v>0</v>
      </c>
      <c r="AJ906">
        <v>14</v>
      </c>
      <c r="AK906">
        <v>14</v>
      </c>
      <c r="AL906">
        <v>76</v>
      </c>
      <c r="AM906">
        <v>14</v>
      </c>
      <c r="AN906">
        <v>0</v>
      </c>
      <c r="AO906">
        <v>14</v>
      </c>
      <c r="AP906" t="s">
        <v>80</v>
      </c>
      <c r="AQ906" t="s">
        <v>179</v>
      </c>
      <c r="AR906" t="s">
        <v>86</v>
      </c>
      <c r="AS906" t="s">
        <v>86</v>
      </c>
      <c r="AT906" t="s">
        <v>264</v>
      </c>
      <c r="AU906" t="s">
        <v>264</v>
      </c>
      <c r="AV906" t="s">
        <v>1096</v>
      </c>
      <c r="AW906" t="s">
        <v>69</v>
      </c>
      <c r="AX906" t="s">
        <v>1097</v>
      </c>
      <c r="AY906" t="s">
        <v>1098</v>
      </c>
      <c r="AZ906" t="s">
        <v>243</v>
      </c>
      <c r="BA906" t="s">
        <v>264</v>
      </c>
      <c r="BB906" t="s">
        <v>244</v>
      </c>
      <c r="BC906" t="s">
        <v>244</v>
      </c>
      <c r="BD906" t="s">
        <v>1101</v>
      </c>
      <c r="BE906" t="s">
        <v>2881</v>
      </c>
      <c r="BF906" t="s">
        <v>86</v>
      </c>
      <c r="BG906" t="s">
        <v>150</v>
      </c>
      <c r="BH906" t="str">
        <f>IF(COUNTIF(工作表1!A:A, $C906)&gt;0, "預購款", "非預購款")</f>
        <v>非預購款</v>
      </c>
    </row>
    <row r="907" spans="1:60" x14ac:dyDescent="0.25">
      <c r="A907" t="s">
        <v>1089</v>
      </c>
      <c r="B907" t="s">
        <v>535</v>
      </c>
      <c r="C907" t="s">
        <v>1090</v>
      </c>
      <c r="D907" t="s">
        <v>1091</v>
      </c>
      <c r="E907" t="s">
        <v>1092</v>
      </c>
      <c r="F907" t="s">
        <v>142</v>
      </c>
      <c r="G907" t="s">
        <v>1093</v>
      </c>
      <c r="H907" t="s">
        <v>132</v>
      </c>
      <c r="I907" t="s">
        <v>162</v>
      </c>
      <c r="J907" t="s">
        <v>163</v>
      </c>
      <c r="K907" t="s">
        <v>69</v>
      </c>
      <c r="L907" t="s">
        <v>1094</v>
      </c>
      <c r="M907" t="s">
        <v>71</v>
      </c>
      <c r="N907" t="s">
        <v>100</v>
      </c>
      <c r="O907" t="s">
        <v>980</v>
      </c>
      <c r="P907" t="s">
        <v>981</v>
      </c>
      <c r="R907" t="s">
        <v>1095</v>
      </c>
      <c r="S907" t="s">
        <v>145</v>
      </c>
      <c r="T907" t="s">
        <v>76</v>
      </c>
      <c r="U907" t="s">
        <v>104</v>
      </c>
      <c r="V907" t="s">
        <v>965</v>
      </c>
      <c r="W907">
        <v>390</v>
      </c>
      <c r="X907">
        <v>16.989999999999998</v>
      </c>
      <c r="Y907">
        <v>49</v>
      </c>
      <c r="Z907">
        <v>279000</v>
      </c>
      <c r="AA907">
        <v>29640</v>
      </c>
      <c r="AB907">
        <v>192</v>
      </c>
      <c r="AD907" t="s">
        <v>238</v>
      </c>
      <c r="AE907">
        <v>2</v>
      </c>
      <c r="AF907">
        <v>0</v>
      </c>
      <c r="AI907">
        <v>0</v>
      </c>
      <c r="AJ907">
        <v>5</v>
      </c>
      <c r="AK907">
        <v>5</v>
      </c>
      <c r="AL907">
        <v>76</v>
      </c>
      <c r="AM907">
        <v>5</v>
      </c>
      <c r="AN907">
        <v>0</v>
      </c>
      <c r="AO907">
        <v>5</v>
      </c>
      <c r="AP907" t="s">
        <v>80</v>
      </c>
      <c r="AQ907" t="s">
        <v>179</v>
      </c>
      <c r="AR907" t="s">
        <v>86</v>
      </c>
      <c r="AS907" t="s">
        <v>86</v>
      </c>
      <c r="AT907" t="s">
        <v>264</v>
      </c>
      <c r="AU907" t="s">
        <v>264</v>
      </c>
      <c r="AV907" t="s">
        <v>1096</v>
      </c>
      <c r="AW907" t="s">
        <v>69</v>
      </c>
      <c r="AX907" t="s">
        <v>1097</v>
      </c>
      <c r="AY907" t="s">
        <v>1098</v>
      </c>
      <c r="AZ907" t="s">
        <v>243</v>
      </c>
      <c r="BA907" t="s">
        <v>264</v>
      </c>
      <c r="BB907" t="s">
        <v>244</v>
      </c>
      <c r="BC907" t="s">
        <v>244</v>
      </c>
      <c r="BD907" t="s">
        <v>1102</v>
      </c>
      <c r="BE907" t="s">
        <v>2881</v>
      </c>
      <c r="BF907" t="s">
        <v>86</v>
      </c>
      <c r="BG907" t="s">
        <v>150</v>
      </c>
      <c r="BH907" t="str">
        <f>IF(COUNTIF(工作表1!A:A, $C907)&gt;0, "預購款", "非預購款")</f>
        <v>非預購款</v>
      </c>
    </row>
    <row r="908" spans="1:60" x14ac:dyDescent="0.25">
      <c r="A908" t="s">
        <v>1089</v>
      </c>
      <c r="B908" t="s">
        <v>535</v>
      </c>
      <c r="C908" t="s">
        <v>1090</v>
      </c>
      <c r="D908" t="s">
        <v>1091</v>
      </c>
      <c r="E908" t="s">
        <v>1092</v>
      </c>
      <c r="F908" t="s">
        <v>142</v>
      </c>
      <c r="G908" t="s">
        <v>1093</v>
      </c>
      <c r="H908" t="s">
        <v>119</v>
      </c>
      <c r="I908" t="s">
        <v>171</v>
      </c>
      <c r="J908" t="s">
        <v>172</v>
      </c>
      <c r="K908" t="s">
        <v>69</v>
      </c>
      <c r="L908" t="s">
        <v>1094</v>
      </c>
      <c r="M908" t="s">
        <v>71</v>
      </c>
      <c r="N908" t="s">
        <v>100</v>
      </c>
      <c r="O908" t="s">
        <v>980</v>
      </c>
      <c r="P908" t="s">
        <v>981</v>
      </c>
      <c r="R908" t="s">
        <v>1095</v>
      </c>
      <c r="S908" t="s">
        <v>145</v>
      </c>
      <c r="T908" t="s">
        <v>76</v>
      </c>
      <c r="U908" t="s">
        <v>104</v>
      </c>
      <c r="V908" t="s">
        <v>965</v>
      </c>
      <c r="W908">
        <v>390</v>
      </c>
      <c r="X908">
        <v>16.989999999999998</v>
      </c>
      <c r="Y908">
        <v>49</v>
      </c>
      <c r="Z908">
        <v>279000</v>
      </c>
      <c r="AA908">
        <v>29640</v>
      </c>
      <c r="AB908">
        <v>192</v>
      </c>
      <c r="AD908" t="s">
        <v>238</v>
      </c>
      <c r="AE908">
        <v>2</v>
      </c>
      <c r="AF908">
        <v>0</v>
      </c>
      <c r="AI908">
        <v>0</v>
      </c>
      <c r="AJ908">
        <v>7</v>
      </c>
      <c r="AK908">
        <v>7</v>
      </c>
      <c r="AL908">
        <v>76</v>
      </c>
      <c r="AM908">
        <v>7</v>
      </c>
      <c r="AN908">
        <v>0</v>
      </c>
      <c r="AO908">
        <v>7</v>
      </c>
      <c r="AP908" t="s">
        <v>80</v>
      </c>
      <c r="AQ908" t="s">
        <v>179</v>
      </c>
      <c r="AR908" t="s">
        <v>86</v>
      </c>
      <c r="AS908" t="s">
        <v>86</v>
      </c>
      <c r="AT908" t="s">
        <v>264</v>
      </c>
      <c r="AU908" t="s">
        <v>264</v>
      </c>
      <c r="AV908" t="s">
        <v>1096</v>
      </c>
      <c r="AW908" t="s">
        <v>69</v>
      </c>
      <c r="AX908" t="s">
        <v>1097</v>
      </c>
      <c r="AY908" t="s">
        <v>1098</v>
      </c>
      <c r="AZ908" t="s">
        <v>243</v>
      </c>
      <c r="BA908" t="s">
        <v>264</v>
      </c>
      <c r="BB908" t="s">
        <v>244</v>
      </c>
      <c r="BC908" t="s">
        <v>244</v>
      </c>
      <c r="BD908" t="s">
        <v>1103</v>
      </c>
      <c r="BE908" t="s">
        <v>2881</v>
      </c>
      <c r="BF908" t="s">
        <v>86</v>
      </c>
      <c r="BG908" t="s">
        <v>150</v>
      </c>
      <c r="BH908" t="str">
        <f>IF(COUNTIF(工作表1!A:A, $C908)&gt;0, "預購款", "非預購款")</f>
        <v>非預購款</v>
      </c>
    </row>
    <row r="909" spans="1:60" x14ac:dyDescent="0.25">
      <c r="A909" t="s">
        <v>1089</v>
      </c>
      <c r="B909" t="s">
        <v>535</v>
      </c>
      <c r="C909" t="s">
        <v>1090</v>
      </c>
      <c r="D909" t="s">
        <v>1091</v>
      </c>
      <c r="E909" t="s">
        <v>1092</v>
      </c>
      <c r="F909" t="s">
        <v>142</v>
      </c>
      <c r="G909" t="s">
        <v>1093</v>
      </c>
      <c r="H909" t="s">
        <v>130</v>
      </c>
      <c r="I909" t="s">
        <v>171</v>
      </c>
      <c r="J909" t="s">
        <v>172</v>
      </c>
      <c r="K909" t="s">
        <v>69</v>
      </c>
      <c r="L909" t="s">
        <v>1094</v>
      </c>
      <c r="M909" t="s">
        <v>71</v>
      </c>
      <c r="N909" t="s">
        <v>100</v>
      </c>
      <c r="O909" t="s">
        <v>980</v>
      </c>
      <c r="P909" t="s">
        <v>981</v>
      </c>
      <c r="R909" t="s">
        <v>1095</v>
      </c>
      <c r="S909" t="s">
        <v>145</v>
      </c>
      <c r="T909" t="s">
        <v>76</v>
      </c>
      <c r="U909" t="s">
        <v>104</v>
      </c>
      <c r="V909" t="s">
        <v>965</v>
      </c>
      <c r="W909">
        <v>390</v>
      </c>
      <c r="X909">
        <v>16.989999999999998</v>
      </c>
      <c r="Y909">
        <v>49</v>
      </c>
      <c r="Z909">
        <v>279000</v>
      </c>
      <c r="AA909">
        <v>29640</v>
      </c>
      <c r="AB909">
        <v>192</v>
      </c>
      <c r="AD909" t="s">
        <v>238</v>
      </c>
      <c r="AE909">
        <v>2</v>
      </c>
      <c r="AF909">
        <v>0</v>
      </c>
      <c r="AI909">
        <v>0</v>
      </c>
      <c r="AJ909">
        <v>36</v>
      </c>
      <c r="AK909">
        <v>36</v>
      </c>
      <c r="AL909">
        <v>76</v>
      </c>
      <c r="AM909">
        <v>36</v>
      </c>
      <c r="AN909">
        <v>0</v>
      </c>
      <c r="AO909">
        <v>36</v>
      </c>
      <c r="AP909" t="s">
        <v>80</v>
      </c>
      <c r="AQ909" t="s">
        <v>179</v>
      </c>
      <c r="AR909" t="s">
        <v>86</v>
      </c>
      <c r="AS909" t="s">
        <v>86</v>
      </c>
      <c r="AT909" t="s">
        <v>264</v>
      </c>
      <c r="AU909" t="s">
        <v>264</v>
      </c>
      <c r="AV909" t="s">
        <v>1096</v>
      </c>
      <c r="AW909" t="s">
        <v>69</v>
      </c>
      <c r="AX909" t="s">
        <v>1097</v>
      </c>
      <c r="AY909" t="s">
        <v>1098</v>
      </c>
      <c r="AZ909" t="s">
        <v>243</v>
      </c>
      <c r="BA909" t="s">
        <v>264</v>
      </c>
      <c r="BB909" t="s">
        <v>244</v>
      </c>
      <c r="BC909" t="s">
        <v>244</v>
      </c>
      <c r="BD909" t="s">
        <v>1104</v>
      </c>
      <c r="BE909" t="s">
        <v>2881</v>
      </c>
      <c r="BF909" t="s">
        <v>86</v>
      </c>
      <c r="BG909" t="s">
        <v>150</v>
      </c>
      <c r="BH909" t="str">
        <f>IF(COUNTIF(工作表1!A:A, $C909)&gt;0, "預購款", "非預購款")</f>
        <v>非預購款</v>
      </c>
    </row>
    <row r="910" spans="1:60" x14ac:dyDescent="0.25">
      <c r="A910" t="s">
        <v>1089</v>
      </c>
      <c r="B910" t="s">
        <v>535</v>
      </c>
      <c r="C910" t="s">
        <v>1090</v>
      </c>
      <c r="D910" t="s">
        <v>1091</v>
      </c>
      <c r="E910" t="s">
        <v>1092</v>
      </c>
      <c r="F910" t="s">
        <v>142</v>
      </c>
      <c r="G910" t="s">
        <v>1093</v>
      </c>
      <c r="H910" t="s">
        <v>132</v>
      </c>
      <c r="I910" t="s">
        <v>171</v>
      </c>
      <c r="J910" t="s">
        <v>172</v>
      </c>
      <c r="K910" t="s">
        <v>69</v>
      </c>
      <c r="L910" t="s">
        <v>1094</v>
      </c>
      <c r="M910" t="s">
        <v>71</v>
      </c>
      <c r="N910" t="s">
        <v>100</v>
      </c>
      <c r="O910" t="s">
        <v>980</v>
      </c>
      <c r="P910" t="s">
        <v>981</v>
      </c>
      <c r="R910" t="s">
        <v>1095</v>
      </c>
      <c r="S910" t="s">
        <v>145</v>
      </c>
      <c r="T910" t="s">
        <v>76</v>
      </c>
      <c r="U910" t="s">
        <v>104</v>
      </c>
      <c r="V910" t="s">
        <v>965</v>
      </c>
      <c r="W910">
        <v>390</v>
      </c>
      <c r="X910">
        <v>16.989999999999998</v>
      </c>
      <c r="Y910">
        <v>49</v>
      </c>
      <c r="Z910">
        <v>279000</v>
      </c>
      <c r="AA910">
        <v>29640</v>
      </c>
      <c r="AB910">
        <v>192</v>
      </c>
      <c r="AD910" t="s">
        <v>238</v>
      </c>
      <c r="AE910">
        <v>2</v>
      </c>
      <c r="AF910">
        <v>0</v>
      </c>
      <c r="AI910">
        <v>0</v>
      </c>
      <c r="AJ910">
        <v>9</v>
      </c>
      <c r="AK910">
        <v>9</v>
      </c>
      <c r="AL910">
        <v>76</v>
      </c>
      <c r="AM910">
        <v>9</v>
      </c>
      <c r="AN910">
        <v>0</v>
      </c>
      <c r="AO910">
        <v>9</v>
      </c>
      <c r="AP910" t="s">
        <v>80</v>
      </c>
      <c r="AQ910" t="s">
        <v>179</v>
      </c>
      <c r="AR910" t="s">
        <v>86</v>
      </c>
      <c r="AS910" t="s">
        <v>86</v>
      </c>
      <c r="AT910" t="s">
        <v>264</v>
      </c>
      <c r="AU910" t="s">
        <v>264</v>
      </c>
      <c r="AV910" t="s">
        <v>1096</v>
      </c>
      <c r="AW910" t="s">
        <v>69</v>
      </c>
      <c r="AX910" t="s">
        <v>1097</v>
      </c>
      <c r="AY910" t="s">
        <v>1098</v>
      </c>
      <c r="AZ910" t="s">
        <v>243</v>
      </c>
      <c r="BA910" t="s">
        <v>264</v>
      </c>
      <c r="BB910" t="s">
        <v>244</v>
      </c>
      <c r="BC910" t="s">
        <v>244</v>
      </c>
      <c r="BD910" t="s">
        <v>1105</v>
      </c>
      <c r="BE910" t="s">
        <v>2881</v>
      </c>
      <c r="BF910" t="s">
        <v>86</v>
      </c>
      <c r="BG910" t="s">
        <v>150</v>
      </c>
      <c r="BH910" t="str">
        <f>IF(COUNTIF(工作表1!A:A, $C910)&gt;0, "預購款", "非預購款")</f>
        <v>非預購款</v>
      </c>
    </row>
    <row r="911" spans="1:60" x14ac:dyDescent="0.25">
      <c r="A911" t="s">
        <v>2263</v>
      </c>
      <c r="B911" t="s">
        <v>1875</v>
      </c>
      <c r="C911" t="s">
        <v>2264</v>
      </c>
      <c r="D911" t="s">
        <v>2265</v>
      </c>
      <c r="E911" t="s">
        <v>2266</v>
      </c>
      <c r="F911" t="s">
        <v>2882</v>
      </c>
      <c r="G911" t="s">
        <v>2265</v>
      </c>
      <c r="H911" t="s">
        <v>119</v>
      </c>
      <c r="I911" t="s">
        <v>2267</v>
      </c>
      <c r="J911" t="s">
        <v>2268</v>
      </c>
      <c r="K911" t="s">
        <v>69</v>
      </c>
      <c r="L911" t="s">
        <v>2269</v>
      </c>
      <c r="M911" t="s">
        <v>71</v>
      </c>
      <c r="N911" t="s">
        <v>198</v>
      </c>
      <c r="O911" t="s">
        <v>1648</v>
      </c>
      <c r="P911" t="s">
        <v>1649</v>
      </c>
      <c r="R911" t="s">
        <v>1650</v>
      </c>
      <c r="S911" t="s">
        <v>2883</v>
      </c>
      <c r="T911" t="s">
        <v>258</v>
      </c>
      <c r="U911" t="s">
        <v>1876</v>
      </c>
      <c r="V911" t="s">
        <v>1877</v>
      </c>
      <c r="W911">
        <v>1480</v>
      </c>
      <c r="X911">
        <v>59.99</v>
      </c>
      <c r="Y911">
        <v>189</v>
      </c>
      <c r="Z911">
        <v>1069000</v>
      </c>
      <c r="AA911">
        <v>399600</v>
      </c>
      <c r="AB911">
        <v>1000</v>
      </c>
      <c r="AD911" t="s">
        <v>238</v>
      </c>
      <c r="AE911">
        <v>1</v>
      </c>
      <c r="AF911">
        <v>0</v>
      </c>
      <c r="AI911">
        <v>30</v>
      </c>
      <c r="AJ911">
        <v>30</v>
      </c>
      <c r="AK911">
        <v>60</v>
      </c>
      <c r="AL911">
        <v>270</v>
      </c>
      <c r="AM911">
        <v>0</v>
      </c>
      <c r="AN911">
        <v>0</v>
      </c>
      <c r="AO911">
        <v>0</v>
      </c>
      <c r="AP911" t="s">
        <v>69</v>
      </c>
      <c r="AS911" t="s">
        <v>86</v>
      </c>
      <c r="AT911" t="s">
        <v>86</v>
      </c>
      <c r="AU911" t="s">
        <v>240</v>
      </c>
      <c r="AW911" t="s">
        <v>69</v>
      </c>
      <c r="AX911" t="s">
        <v>2270</v>
      </c>
      <c r="AY911" t="s">
        <v>2271</v>
      </c>
      <c r="BD911" t="s">
        <v>2272</v>
      </c>
      <c r="BE911" t="s">
        <v>2884</v>
      </c>
      <c r="BH911" t="str">
        <f>IF(COUNTIF(工作表1!A:A, $C911)&gt;0, "預購款", "非預購款")</f>
        <v>非預購款</v>
      </c>
    </row>
    <row r="912" spans="1:60" x14ac:dyDescent="0.25">
      <c r="A912" t="s">
        <v>2263</v>
      </c>
      <c r="B912" t="s">
        <v>1875</v>
      </c>
      <c r="C912" t="s">
        <v>2264</v>
      </c>
      <c r="D912" t="s">
        <v>2265</v>
      </c>
      <c r="E912" t="s">
        <v>2266</v>
      </c>
      <c r="F912" t="s">
        <v>2882</v>
      </c>
      <c r="G912" t="s">
        <v>2265</v>
      </c>
      <c r="H912" t="s">
        <v>130</v>
      </c>
      <c r="I912" t="s">
        <v>2267</v>
      </c>
      <c r="J912" t="s">
        <v>2268</v>
      </c>
      <c r="K912" t="s">
        <v>69</v>
      </c>
      <c r="L912" t="s">
        <v>2269</v>
      </c>
      <c r="M912" t="s">
        <v>71</v>
      </c>
      <c r="N912" t="s">
        <v>198</v>
      </c>
      <c r="O912" t="s">
        <v>1648</v>
      </c>
      <c r="P912" t="s">
        <v>1649</v>
      </c>
      <c r="R912" t="s">
        <v>1650</v>
      </c>
      <c r="S912" t="s">
        <v>2883</v>
      </c>
      <c r="T912" t="s">
        <v>258</v>
      </c>
      <c r="U912" t="s">
        <v>1876</v>
      </c>
      <c r="V912" t="s">
        <v>1877</v>
      </c>
      <c r="W912">
        <v>1480</v>
      </c>
      <c r="X912">
        <v>59.99</v>
      </c>
      <c r="Y912">
        <v>189</v>
      </c>
      <c r="Z912">
        <v>1069000</v>
      </c>
      <c r="AA912">
        <v>399600</v>
      </c>
      <c r="AB912">
        <v>1000</v>
      </c>
      <c r="AD912" t="s">
        <v>238</v>
      </c>
      <c r="AE912">
        <v>1</v>
      </c>
      <c r="AF912">
        <v>3</v>
      </c>
      <c r="AI912">
        <v>57</v>
      </c>
      <c r="AJ912">
        <v>60</v>
      </c>
      <c r="AK912">
        <v>120</v>
      </c>
      <c r="AL912">
        <v>270</v>
      </c>
      <c r="AM912">
        <v>0</v>
      </c>
      <c r="AN912">
        <v>0</v>
      </c>
      <c r="AO912">
        <v>0</v>
      </c>
      <c r="AP912" t="s">
        <v>69</v>
      </c>
      <c r="AS912" t="s">
        <v>86</v>
      </c>
      <c r="AT912" t="s">
        <v>86</v>
      </c>
      <c r="AU912" t="s">
        <v>240</v>
      </c>
      <c r="AW912" t="s">
        <v>69</v>
      </c>
      <c r="AX912" t="s">
        <v>2270</v>
      </c>
      <c r="AY912" t="s">
        <v>2271</v>
      </c>
      <c r="BD912" t="s">
        <v>2885</v>
      </c>
      <c r="BE912" t="s">
        <v>2884</v>
      </c>
      <c r="BH912" t="str">
        <f>IF(COUNTIF(工作表1!A:A, $C912)&gt;0, "預購款", "非預購款")</f>
        <v>非預購款</v>
      </c>
    </row>
    <row r="913" spans="1:60" x14ac:dyDescent="0.25">
      <c r="A913" t="s">
        <v>2263</v>
      </c>
      <c r="B913" t="s">
        <v>1875</v>
      </c>
      <c r="C913" t="s">
        <v>2264</v>
      </c>
      <c r="D913" t="s">
        <v>2265</v>
      </c>
      <c r="E913" t="s">
        <v>2266</v>
      </c>
      <c r="F913" t="s">
        <v>2882</v>
      </c>
      <c r="G913" t="s">
        <v>2265</v>
      </c>
      <c r="H913" t="s">
        <v>132</v>
      </c>
      <c r="I913" t="s">
        <v>2267</v>
      </c>
      <c r="J913" t="s">
        <v>2268</v>
      </c>
      <c r="K913" t="s">
        <v>69</v>
      </c>
      <c r="L913" t="s">
        <v>2269</v>
      </c>
      <c r="M913" t="s">
        <v>71</v>
      </c>
      <c r="N913" t="s">
        <v>198</v>
      </c>
      <c r="O913" t="s">
        <v>1648</v>
      </c>
      <c r="P913" t="s">
        <v>1649</v>
      </c>
      <c r="R913" t="s">
        <v>1650</v>
      </c>
      <c r="S913" t="s">
        <v>2883</v>
      </c>
      <c r="T913" t="s">
        <v>258</v>
      </c>
      <c r="U913" t="s">
        <v>1876</v>
      </c>
      <c r="V913" t="s">
        <v>1877</v>
      </c>
      <c r="W913">
        <v>1480</v>
      </c>
      <c r="X913">
        <v>59.99</v>
      </c>
      <c r="Y913">
        <v>189</v>
      </c>
      <c r="Z913">
        <v>1069000</v>
      </c>
      <c r="AA913">
        <v>399600</v>
      </c>
      <c r="AB913">
        <v>1000</v>
      </c>
      <c r="AD913" t="s">
        <v>238</v>
      </c>
      <c r="AE913">
        <v>1</v>
      </c>
      <c r="AF913">
        <v>3</v>
      </c>
      <c r="AI913">
        <v>27</v>
      </c>
      <c r="AJ913">
        <v>60</v>
      </c>
      <c r="AK913">
        <v>90</v>
      </c>
      <c r="AL913">
        <v>270</v>
      </c>
      <c r="AM913">
        <v>0</v>
      </c>
      <c r="AN913">
        <v>0</v>
      </c>
      <c r="AO913">
        <v>0</v>
      </c>
      <c r="AP913" t="s">
        <v>69</v>
      </c>
      <c r="AS913" t="s">
        <v>86</v>
      </c>
      <c r="AT913" t="s">
        <v>86</v>
      </c>
      <c r="AU913" t="s">
        <v>240</v>
      </c>
      <c r="AW913" t="s">
        <v>69</v>
      </c>
      <c r="AX913" t="s">
        <v>2270</v>
      </c>
      <c r="AY913" t="s">
        <v>2271</v>
      </c>
      <c r="BD913" t="s">
        <v>2886</v>
      </c>
      <c r="BE913" t="s">
        <v>2884</v>
      </c>
      <c r="BH913" t="str">
        <f>IF(COUNTIF(工作表1!A:A, $C913)&gt;0, "預購款", "非預購款")</f>
        <v>非預購款</v>
      </c>
    </row>
    <row r="914" spans="1:60" x14ac:dyDescent="0.25">
      <c r="A914" t="s">
        <v>2887</v>
      </c>
      <c r="B914" t="s">
        <v>576</v>
      </c>
      <c r="C914" t="s">
        <v>2888</v>
      </c>
      <c r="D914" t="s">
        <v>2889</v>
      </c>
      <c r="E914" t="s">
        <v>2890</v>
      </c>
      <c r="F914" t="s">
        <v>179</v>
      </c>
      <c r="G914" t="s">
        <v>2891</v>
      </c>
      <c r="H914" t="s">
        <v>119</v>
      </c>
      <c r="I914" t="s">
        <v>120</v>
      </c>
      <c r="J914" t="s">
        <v>121</v>
      </c>
      <c r="K914" t="s">
        <v>69</v>
      </c>
      <c r="L914" t="s">
        <v>2892</v>
      </c>
      <c r="M914" t="s">
        <v>71</v>
      </c>
      <c r="N914" t="s">
        <v>198</v>
      </c>
      <c r="O914" t="s">
        <v>2893</v>
      </c>
      <c r="P914" t="s">
        <v>2894</v>
      </c>
      <c r="R914" t="s">
        <v>1798</v>
      </c>
      <c r="S914" t="s">
        <v>183</v>
      </c>
      <c r="T914" t="s">
        <v>258</v>
      </c>
      <c r="U914" t="s">
        <v>383</v>
      </c>
      <c r="V914" t="s">
        <v>124</v>
      </c>
      <c r="W914">
        <v>790</v>
      </c>
      <c r="X914">
        <v>34.99</v>
      </c>
      <c r="Y914">
        <v>99</v>
      </c>
      <c r="Z914">
        <v>569000</v>
      </c>
      <c r="AA914">
        <v>189600</v>
      </c>
      <c r="AB914">
        <v>285</v>
      </c>
      <c r="AD914" t="s">
        <v>238</v>
      </c>
      <c r="AE914">
        <v>2</v>
      </c>
      <c r="AF914">
        <v>0</v>
      </c>
      <c r="AI914">
        <v>0</v>
      </c>
      <c r="AJ914">
        <v>60</v>
      </c>
      <c r="AK914">
        <v>60</v>
      </c>
      <c r="AL914">
        <v>240</v>
      </c>
      <c r="AM914">
        <v>58</v>
      </c>
      <c r="AN914">
        <v>0</v>
      </c>
      <c r="AO914">
        <v>58</v>
      </c>
      <c r="AP914" t="s">
        <v>80</v>
      </c>
      <c r="AQ914" t="s">
        <v>184</v>
      </c>
      <c r="AR914" t="s">
        <v>86</v>
      </c>
      <c r="AS914" t="s">
        <v>86</v>
      </c>
      <c r="AT914" t="s">
        <v>86</v>
      </c>
      <c r="AU914" t="s">
        <v>86</v>
      </c>
      <c r="AV914" t="s">
        <v>2895</v>
      </c>
      <c r="AW914" t="s">
        <v>80</v>
      </c>
      <c r="AX914" t="s">
        <v>262</v>
      </c>
      <c r="AY914" t="s">
        <v>2896</v>
      </c>
      <c r="AZ914" t="s">
        <v>245</v>
      </c>
      <c r="BA914" t="s">
        <v>245</v>
      </c>
      <c r="BB914" t="s">
        <v>244</v>
      </c>
      <c r="BC914" t="s">
        <v>264</v>
      </c>
      <c r="BD914" t="s">
        <v>2897</v>
      </c>
      <c r="BE914" t="s">
        <v>2898</v>
      </c>
      <c r="BF914" t="s">
        <v>240</v>
      </c>
      <c r="BG914" t="s">
        <v>150</v>
      </c>
      <c r="BH914" t="str">
        <f>IF(COUNTIF(工作表1!A:A, $C914)&gt;0, "預購款", "非預購款")</f>
        <v>非預購款</v>
      </c>
    </row>
    <row r="915" spans="1:60" x14ac:dyDescent="0.25">
      <c r="A915" t="s">
        <v>2887</v>
      </c>
      <c r="B915" t="s">
        <v>576</v>
      </c>
      <c r="C915" t="s">
        <v>2888</v>
      </c>
      <c r="D915" t="s">
        <v>2889</v>
      </c>
      <c r="E915" t="s">
        <v>2890</v>
      </c>
      <c r="F915" t="s">
        <v>179</v>
      </c>
      <c r="G915" t="s">
        <v>2891</v>
      </c>
      <c r="H915" t="s">
        <v>130</v>
      </c>
      <c r="I915" t="s">
        <v>120</v>
      </c>
      <c r="J915" t="s">
        <v>121</v>
      </c>
      <c r="K915" t="s">
        <v>69</v>
      </c>
      <c r="L915" t="s">
        <v>2892</v>
      </c>
      <c r="M915" t="s">
        <v>71</v>
      </c>
      <c r="N915" t="s">
        <v>198</v>
      </c>
      <c r="O915" t="s">
        <v>2893</v>
      </c>
      <c r="P915" t="s">
        <v>2894</v>
      </c>
      <c r="R915" t="s">
        <v>1798</v>
      </c>
      <c r="S915" t="s">
        <v>183</v>
      </c>
      <c r="T915" t="s">
        <v>258</v>
      </c>
      <c r="U915" t="s">
        <v>383</v>
      </c>
      <c r="V915" t="s">
        <v>124</v>
      </c>
      <c r="W915">
        <v>790</v>
      </c>
      <c r="X915">
        <v>34.99</v>
      </c>
      <c r="Y915">
        <v>99</v>
      </c>
      <c r="Z915">
        <v>569000</v>
      </c>
      <c r="AA915">
        <v>189600</v>
      </c>
      <c r="AB915">
        <v>285</v>
      </c>
      <c r="AD915" t="s">
        <v>238</v>
      </c>
      <c r="AE915">
        <v>2</v>
      </c>
      <c r="AF915">
        <v>0</v>
      </c>
      <c r="AI915">
        <v>0</v>
      </c>
      <c r="AJ915">
        <v>40</v>
      </c>
      <c r="AK915">
        <v>40</v>
      </c>
      <c r="AL915">
        <v>240</v>
      </c>
      <c r="AM915">
        <v>41</v>
      </c>
      <c r="AN915">
        <v>0</v>
      </c>
      <c r="AO915">
        <v>41</v>
      </c>
      <c r="AP915" t="s">
        <v>80</v>
      </c>
      <c r="AQ915" t="s">
        <v>184</v>
      </c>
      <c r="AR915" t="s">
        <v>86</v>
      </c>
      <c r="AS915" t="s">
        <v>86</v>
      </c>
      <c r="AT915" t="s">
        <v>86</v>
      </c>
      <c r="AU915" t="s">
        <v>86</v>
      </c>
      <c r="AV915" t="s">
        <v>2895</v>
      </c>
      <c r="AW915" t="s">
        <v>80</v>
      </c>
      <c r="AX915" t="s">
        <v>262</v>
      </c>
      <c r="AY915" t="s">
        <v>2896</v>
      </c>
      <c r="AZ915" t="s">
        <v>245</v>
      </c>
      <c r="BA915" t="s">
        <v>245</v>
      </c>
      <c r="BB915" t="s">
        <v>244</v>
      </c>
      <c r="BC915" t="s">
        <v>264</v>
      </c>
      <c r="BD915" t="s">
        <v>2899</v>
      </c>
      <c r="BE915" t="s">
        <v>2898</v>
      </c>
      <c r="BF915" t="s">
        <v>240</v>
      </c>
      <c r="BG915" t="s">
        <v>150</v>
      </c>
      <c r="BH915" t="str">
        <f>IF(COUNTIF(工作表1!A:A, $C915)&gt;0, "預購款", "非預購款")</f>
        <v>非預購款</v>
      </c>
    </row>
    <row r="916" spans="1:60" x14ac:dyDescent="0.25">
      <c r="A916" t="s">
        <v>2887</v>
      </c>
      <c r="B916" t="s">
        <v>576</v>
      </c>
      <c r="C916" t="s">
        <v>2888</v>
      </c>
      <c r="D916" t="s">
        <v>2889</v>
      </c>
      <c r="E916" t="s">
        <v>2890</v>
      </c>
      <c r="F916" t="s">
        <v>179</v>
      </c>
      <c r="G916" t="s">
        <v>2891</v>
      </c>
      <c r="H916" t="s">
        <v>132</v>
      </c>
      <c r="I916" t="s">
        <v>120</v>
      </c>
      <c r="J916" t="s">
        <v>121</v>
      </c>
      <c r="K916" t="s">
        <v>69</v>
      </c>
      <c r="L916" t="s">
        <v>2892</v>
      </c>
      <c r="M916" t="s">
        <v>71</v>
      </c>
      <c r="N916" t="s">
        <v>198</v>
      </c>
      <c r="O916" t="s">
        <v>2893</v>
      </c>
      <c r="P916" t="s">
        <v>2894</v>
      </c>
      <c r="R916" t="s">
        <v>1798</v>
      </c>
      <c r="S916" t="s">
        <v>183</v>
      </c>
      <c r="T916" t="s">
        <v>258</v>
      </c>
      <c r="U916" t="s">
        <v>383</v>
      </c>
      <c r="V916" t="s">
        <v>124</v>
      </c>
      <c r="W916">
        <v>790</v>
      </c>
      <c r="X916">
        <v>34.99</v>
      </c>
      <c r="Y916">
        <v>99</v>
      </c>
      <c r="Z916">
        <v>569000</v>
      </c>
      <c r="AA916">
        <v>189600</v>
      </c>
      <c r="AB916">
        <v>285</v>
      </c>
      <c r="AD916" t="s">
        <v>238</v>
      </c>
      <c r="AE916">
        <v>2</v>
      </c>
      <c r="AF916">
        <v>0</v>
      </c>
      <c r="AI916">
        <v>0</v>
      </c>
      <c r="AJ916">
        <v>20</v>
      </c>
      <c r="AK916">
        <v>20</v>
      </c>
      <c r="AL916">
        <v>240</v>
      </c>
      <c r="AM916">
        <v>21</v>
      </c>
      <c r="AN916">
        <v>0</v>
      </c>
      <c r="AO916">
        <v>21</v>
      </c>
      <c r="AP916" t="s">
        <v>80</v>
      </c>
      <c r="AQ916" t="s">
        <v>184</v>
      </c>
      <c r="AR916" t="s">
        <v>86</v>
      </c>
      <c r="AS916" t="s">
        <v>86</v>
      </c>
      <c r="AT916" t="s">
        <v>86</v>
      </c>
      <c r="AU916" t="s">
        <v>86</v>
      </c>
      <c r="AV916" t="s">
        <v>2895</v>
      </c>
      <c r="AW916" t="s">
        <v>80</v>
      </c>
      <c r="AX916" t="s">
        <v>262</v>
      </c>
      <c r="AY916" t="s">
        <v>2896</v>
      </c>
      <c r="AZ916" t="s">
        <v>245</v>
      </c>
      <c r="BA916" t="s">
        <v>245</v>
      </c>
      <c r="BB916" t="s">
        <v>244</v>
      </c>
      <c r="BC916" t="s">
        <v>264</v>
      </c>
      <c r="BD916" t="s">
        <v>2900</v>
      </c>
      <c r="BE916" t="s">
        <v>2898</v>
      </c>
      <c r="BF916" t="s">
        <v>240</v>
      </c>
      <c r="BG916" t="s">
        <v>150</v>
      </c>
      <c r="BH916" t="str">
        <f>IF(COUNTIF(工作表1!A:A, $C916)&gt;0, "預購款", "非預購款")</f>
        <v>非預購款</v>
      </c>
    </row>
    <row r="917" spans="1:60" x14ac:dyDescent="0.25">
      <c r="A917" t="s">
        <v>2887</v>
      </c>
      <c r="B917" t="s">
        <v>576</v>
      </c>
      <c r="C917" t="s">
        <v>2888</v>
      </c>
      <c r="D917" t="s">
        <v>2889</v>
      </c>
      <c r="E917" t="s">
        <v>2890</v>
      </c>
      <c r="F917" t="s">
        <v>179</v>
      </c>
      <c r="G917" t="s">
        <v>2891</v>
      </c>
      <c r="H917" t="s">
        <v>119</v>
      </c>
      <c r="I917" t="s">
        <v>134</v>
      </c>
      <c r="J917" t="s">
        <v>135</v>
      </c>
      <c r="K917" t="s">
        <v>69</v>
      </c>
      <c r="L917" t="s">
        <v>2892</v>
      </c>
      <c r="M917" t="s">
        <v>71</v>
      </c>
      <c r="N917" t="s">
        <v>198</v>
      </c>
      <c r="O917" t="s">
        <v>2893</v>
      </c>
      <c r="P917" t="s">
        <v>2894</v>
      </c>
      <c r="R917" t="s">
        <v>1798</v>
      </c>
      <c r="S917" t="s">
        <v>183</v>
      </c>
      <c r="T917" t="s">
        <v>258</v>
      </c>
      <c r="U917" t="s">
        <v>383</v>
      </c>
      <c r="V917" t="s">
        <v>124</v>
      </c>
      <c r="W917">
        <v>790</v>
      </c>
      <c r="X917">
        <v>34.99</v>
      </c>
      <c r="Y917">
        <v>99</v>
      </c>
      <c r="Z917">
        <v>569000</v>
      </c>
      <c r="AA917">
        <v>189600</v>
      </c>
      <c r="AB917">
        <v>285</v>
      </c>
      <c r="AD917" t="s">
        <v>238</v>
      </c>
      <c r="AE917">
        <v>2</v>
      </c>
      <c r="AF917">
        <v>0</v>
      </c>
      <c r="AI917">
        <v>0</v>
      </c>
      <c r="AJ917">
        <v>60</v>
      </c>
      <c r="AK917">
        <v>60</v>
      </c>
      <c r="AL917">
        <v>240</v>
      </c>
      <c r="AM917">
        <v>57</v>
      </c>
      <c r="AN917">
        <v>0</v>
      </c>
      <c r="AO917">
        <v>57</v>
      </c>
      <c r="AP917" t="s">
        <v>80</v>
      </c>
      <c r="AQ917" t="s">
        <v>184</v>
      </c>
      <c r="AR917" t="s">
        <v>86</v>
      </c>
      <c r="AS917" t="s">
        <v>86</v>
      </c>
      <c r="AT917" t="s">
        <v>86</v>
      </c>
      <c r="AU917" t="s">
        <v>86</v>
      </c>
      <c r="AV917" t="s">
        <v>2895</v>
      </c>
      <c r="AW917" t="s">
        <v>80</v>
      </c>
      <c r="AX917" t="s">
        <v>262</v>
      </c>
      <c r="AY917" t="s">
        <v>2896</v>
      </c>
      <c r="AZ917" t="s">
        <v>245</v>
      </c>
      <c r="BA917" t="s">
        <v>245</v>
      </c>
      <c r="BB917" t="s">
        <v>244</v>
      </c>
      <c r="BC917" t="s">
        <v>264</v>
      </c>
      <c r="BD917" t="s">
        <v>2901</v>
      </c>
      <c r="BE917" t="s">
        <v>2898</v>
      </c>
      <c r="BF917" t="s">
        <v>240</v>
      </c>
      <c r="BG917" t="s">
        <v>150</v>
      </c>
      <c r="BH917" t="str">
        <f>IF(COUNTIF(工作表1!A:A, $C917)&gt;0, "預購款", "非預購款")</f>
        <v>非預購款</v>
      </c>
    </row>
    <row r="918" spans="1:60" x14ac:dyDescent="0.25">
      <c r="A918" t="s">
        <v>2887</v>
      </c>
      <c r="B918" t="s">
        <v>576</v>
      </c>
      <c r="C918" t="s">
        <v>2888</v>
      </c>
      <c r="D918" t="s">
        <v>2889</v>
      </c>
      <c r="E918" t="s">
        <v>2890</v>
      </c>
      <c r="F918" t="s">
        <v>179</v>
      </c>
      <c r="G918" t="s">
        <v>2891</v>
      </c>
      <c r="H918" t="s">
        <v>130</v>
      </c>
      <c r="I918" t="s">
        <v>134</v>
      </c>
      <c r="J918" t="s">
        <v>135</v>
      </c>
      <c r="K918" t="s">
        <v>69</v>
      </c>
      <c r="L918" t="s">
        <v>2892</v>
      </c>
      <c r="M918" t="s">
        <v>71</v>
      </c>
      <c r="N918" t="s">
        <v>198</v>
      </c>
      <c r="O918" t="s">
        <v>2893</v>
      </c>
      <c r="P918" t="s">
        <v>2894</v>
      </c>
      <c r="R918" t="s">
        <v>1798</v>
      </c>
      <c r="S918" t="s">
        <v>183</v>
      </c>
      <c r="T918" t="s">
        <v>258</v>
      </c>
      <c r="U918" t="s">
        <v>383</v>
      </c>
      <c r="V918" t="s">
        <v>124</v>
      </c>
      <c r="W918">
        <v>790</v>
      </c>
      <c r="X918">
        <v>34.99</v>
      </c>
      <c r="Y918">
        <v>99</v>
      </c>
      <c r="Z918">
        <v>569000</v>
      </c>
      <c r="AA918">
        <v>189600</v>
      </c>
      <c r="AB918">
        <v>285</v>
      </c>
      <c r="AD918" t="s">
        <v>238</v>
      </c>
      <c r="AE918">
        <v>2</v>
      </c>
      <c r="AF918">
        <v>0</v>
      </c>
      <c r="AI918">
        <v>0</v>
      </c>
      <c r="AJ918">
        <v>40</v>
      </c>
      <c r="AK918">
        <v>40</v>
      </c>
      <c r="AL918">
        <v>240</v>
      </c>
      <c r="AM918">
        <v>38</v>
      </c>
      <c r="AN918">
        <v>0</v>
      </c>
      <c r="AO918">
        <v>38</v>
      </c>
      <c r="AP918" t="s">
        <v>80</v>
      </c>
      <c r="AQ918" t="s">
        <v>184</v>
      </c>
      <c r="AR918" t="s">
        <v>86</v>
      </c>
      <c r="AS918" t="s">
        <v>86</v>
      </c>
      <c r="AT918" t="s">
        <v>86</v>
      </c>
      <c r="AU918" t="s">
        <v>86</v>
      </c>
      <c r="AV918" t="s">
        <v>2895</v>
      </c>
      <c r="AW918" t="s">
        <v>80</v>
      </c>
      <c r="AX918" t="s">
        <v>262</v>
      </c>
      <c r="AY918" t="s">
        <v>2896</v>
      </c>
      <c r="AZ918" t="s">
        <v>245</v>
      </c>
      <c r="BA918" t="s">
        <v>245</v>
      </c>
      <c r="BB918" t="s">
        <v>244</v>
      </c>
      <c r="BC918" t="s">
        <v>264</v>
      </c>
      <c r="BD918" t="s">
        <v>2902</v>
      </c>
      <c r="BE918" t="s">
        <v>2898</v>
      </c>
      <c r="BF918" t="s">
        <v>240</v>
      </c>
      <c r="BG918" t="s">
        <v>150</v>
      </c>
      <c r="BH918" t="str">
        <f>IF(COUNTIF(工作表1!A:A, $C918)&gt;0, "預購款", "非預購款")</f>
        <v>非預購款</v>
      </c>
    </row>
    <row r="919" spans="1:60" x14ac:dyDescent="0.25">
      <c r="A919" t="s">
        <v>2887</v>
      </c>
      <c r="B919" t="s">
        <v>576</v>
      </c>
      <c r="C919" t="s">
        <v>2888</v>
      </c>
      <c r="D919" t="s">
        <v>2889</v>
      </c>
      <c r="E919" t="s">
        <v>2890</v>
      </c>
      <c r="F919" t="s">
        <v>179</v>
      </c>
      <c r="G919" t="s">
        <v>2891</v>
      </c>
      <c r="H919" t="s">
        <v>132</v>
      </c>
      <c r="I919" t="s">
        <v>134</v>
      </c>
      <c r="J919" t="s">
        <v>135</v>
      </c>
      <c r="K919" t="s">
        <v>69</v>
      </c>
      <c r="L919" t="s">
        <v>2892</v>
      </c>
      <c r="M919" t="s">
        <v>71</v>
      </c>
      <c r="N919" t="s">
        <v>198</v>
      </c>
      <c r="O919" t="s">
        <v>2893</v>
      </c>
      <c r="P919" t="s">
        <v>2894</v>
      </c>
      <c r="R919" t="s">
        <v>1798</v>
      </c>
      <c r="S919" t="s">
        <v>183</v>
      </c>
      <c r="T919" t="s">
        <v>258</v>
      </c>
      <c r="U919" t="s">
        <v>383</v>
      </c>
      <c r="V919" t="s">
        <v>124</v>
      </c>
      <c r="W919">
        <v>790</v>
      </c>
      <c r="X919">
        <v>34.99</v>
      </c>
      <c r="Y919">
        <v>99</v>
      </c>
      <c r="Z919">
        <v>569000</v>
      </c>
      <c r="AA919">
        <v>189600</v>
      </c>
      <c r="AB919">
        <v>285</v>
      </c>
      <c r="AD919" t="s">
        <v>238</v>
      </c>
      <c r="AE919">
        <v>2</v>
      </c>
      <c r="AF919">
        <v>0</v>
      </c>
      <c r="AI919">
        <v>0</v>
      </c>
      <c r="AJ919">
        <v>20</v>
      </c>
      <c r="AK919">
        <v>20</v>
      </c>
      <c r="AL919">
        <v>240</v>
      </c>
      <c r="AM919">
        <v>19</v>
      </c>
      <c r="AN919">
        <v>0</v>
      </c>
      <c r="AO919">
        <v>19</v>
      </c>
      <c r="AP919" t="s">
        <v>80</v>
      </c>
      <c r="AQ919" t="s">
        <v>184</v>
      </c>
      <c r="AR919" t="s">
        <v>86</v>
      </c>
      <c r="AS919" t="s">
        <v>86</v>
      </c>
      <c r="AT919" t="s">
        <v>86</v>
      </c>
      <c r="AU919" t="s">
        <v>86</v>
      </c>
      <c r="AV919" t="s">
        <v>2895</v>
      </c>
      <c r="AW919" t="s">
        <v>80</v>
      </c>
      <c r="AX919" t="s">
        <v>262</v>
      </c>
      <c r="AY919" t="s">
        <v>2896</v>
      </c>
      <c r="AZ919" t="s">
        <v>245</v>
      </c>
      <c r="BA919" t="s">
        <v>245</v>
      </c>
      <c r="BB919" t="s">
        <v>244</v>
      </c>
      <c r="BC919" t="s">
        <v>264</v>
      </c>
      <c r="BD919" t="s">
        <v>2903</v>
      </c>
      <c r="BE919" t="s">
        <v>2898</v>
      </c>
      <c r="BF919" t="s">
        <v>240</v>
      </c>
      <c r="BG919" t="s">
        <v>150</v>
      </c>
      <c r="BH919" t="str">
        <f>IF(COUNTIF(工作表1!A:A, $C919)&gt;0, "預購款", "非預購款")</f>
        <v>非預購款</v>
      </c>
    </row>
    <row r="920" spans="1:60" x14ac:dyDescent="0.25">
      <c r="A920" t="s">
        <v>2904</v>
      </c>
      <c r="B920" t="s">
        <v>576</v>
      </c>
      <c r="C920" t="s">
        <v>2905</v>
      </c>
      <c r="D920" t="s">
        <v>2906</v>
      </c>
      <c r="E920" t="s">
        <v>2907</v>
      </c>
      <c r="F920" t="s">
        <v>179</v>
      </c>
      <c r="G920" t="s">
        <v>2908</v>
      </c>
      <c r="H920" t="s">
        <v>119</v>
      </c>
      <c r="I920" t="s">
        <v>97</v>
      </c>
      <c r="J920" t="s">
        <v>98</v>
      </c>
      <c r="K920" t="s">
        <v>80</v>
      </c>
      <c r="L920" t="s">
        <v>2909</v>
      </c>
      <c r="M920" t="s">
        <v>71</v>
      </c>
      <c r="N920" t="s">
        <v>198</v>
      </c>
      <c r="O920" t="s">
        <v>2893</v>
      </c>
      <c r="P920" t="s">
        <v>2894</v>
      </c>
      <c r="R920" t="s">
        <v>2518</v>
      </c>
      <c r="S920" t="s">
        <v>183</v>
      </c>
      <c r="T920" t="s">
        <v>291</v>
      </c>
      <c r="U920" t="s">
        <v>684</v>
      </c>
      <c r="V920" t="s">
        <v>685</v>
      </c>
      <c r="W920">
        <v>1080</v>
      </c>
      <c r="X920">
        <v>44.99</v>
      </c>
      <c r="Y920">
        <v>139</v>
      </c>
      <c r="Z920">
        <v>779000</v>
      </c>
      <c r="AA920">
        <v>113400</v>
      </c>
      <c r="AB920">
        <v>330</v>
      </c>
      <c r="AD920" t="s">
        <v>238</v>
      </c>
      <c r="AE920">
        <v>1</v>
      </c>
      <c r="AF920">
        <v>0</v>
      </c>
      <c r="AI920">
        <v>0</v>
      </c>
      <c r="AJ920">
        <v>50</v>
      </c>
      <c r="AK920">
        <v>50</v>
      </c>
      <c r="AL920">
        <v>105</v>
      </c>
      <c r="AM920">
        <v>46</v>
      </c>
      <c r="AN920">
        <v>0</v>
      </c>
      <c r="AO920">
        <v>46</v>
      </c>
      <c r="AP920" t="s">
        <v>80</v>
      </c>
      <c r="AQ920" t="s">
        <v>184</v>
      </c>
      <c r="AT920" t="s">
        <v>86</v>
      </c>
      <c r="AU920" t="s">
        <v>86</v>
      </c>
      <c r="AV920" t="s">
        <v>2910</v>
      </c>
      <c r="AW920" t="s">
        <v>69</v>
      </c>
      <c r="AX920" t="s">
        <v>126</v>
      </c>
      <c r="AY920" t="s">
        <v>2911</v>
      </c>
      <c r="AZ920" t="s">
        <v>264</v>
      </c>
      <c r="BA920" t="s">
        <v>244</v>
      </c>
      <c r="BB920" t="s">
        <v>264</v>
      </c>
      <c r="BC920" t="s">
        <v>264</v>
      </c>
      <c r="BD920" t="s">
        <v>2912</v>
      </c>
      <c r="BE920" t="s">
        <v>2913</v>
      </c>
      <c r="BF920" t="s">
        <v>291</v>
      </c>
      <c r="BG920" t="s">
        <v>110</v>
      </c>
      <c r="BH920" t="str">
        <f>IF(COUNTIF(工作表1!A:A, $C920)&gt;0, "預購款", "非預購款")</f>
        <v>非預購款</v>
      </c>
    </row>
    <row r="921" spans="1:60" x14ac:dyDescent="0.25">
      <c r="A921" t="s">
        <v>2904</v>
      </c>
      <c r="B921" t="s">
        <v>576</v>
      </c>
      <c r="C921" t="s">
        <v>2905</v>
      </c>
      <c r="D921" t="s">
        <v>2906</v>
      </c>
      <c r="E921" t="s">
        <v>2907</v>
      </c>
      <c r="F921" t="s">
        <v>179</v>
      </c>
      <c r="G921" t="s">
        <v>2908</v>
      </c>
      <c r="H921" t="s">
        <v>130</v>
      </c>
      <c r="I921" t="s">
        <v>97</v>
      </c>
      <c r="J921" t="s">
        <v>98</v>
      </c>
      <c r="K921" t="s">
        <v>80</v>
      </c>
      <c r="L921" t="s">
        <v>2909</v>
      </c>
      <c r="M921" t="s">
        <v>71</v>
      </c>
      <c r="N921" t="s">
        <v>198</v>
      </c>
      <c r="O921" t="s">
        <v>2893</v>
      </c>
      <c r="P921" t="s">
        <v>2894</v>
      </c>
      <c r="R921" t="s">
        <v>2518</v>
      </c>
      <c r="S921" t="s">
        <v>183</v>
      </c>
      <c r="T921" t="s">
        <v>291</v>
      </c>
      <c r="U921" t="s">
        <v>684</v>
      </c>
      <c r="V921" t="s">
        <v>685</v>
      </c>
      <c r="W921">
        <v>1080</v>
      </c>
      <c r="X921">
        <v>44.99</v>
      </c>
      <c r="Y921">
        <v>139</v>
      </c>
      <c r="Z921">
        <v>779000</v>
      </c>
      <c r="AA921">
        <v>113400</v>
      </c>
      <c r="AB921">
        <v>330</v>
      </c>
      <c r="AD921" t="s">
        <v>238</v>
      </c>
      <c r="AE921">
        <v>1</v>
      </c>
      <c r="AF921">
        <v>0</v>
      </c>
      <c r="AI921">
        <v>0</v>
      </c>
      <c r="AJ921">
        <v>40</v>
      </c>
      <c r="AK921">
        <v>40</v>
      </c>
      <c r="AL921">
        <v>105</v>
      </c>
      <c r="AM921">
        <v>47</v>
      </c>
      <c r="AN921">
        <v>0</v>
      </c>
      <c r="AO921">
        <v>47</v>
      </c>
      <c r="AP921" t="s">
        <v>80</v>
      </c>
      <c r="AQ921" t="s">
        <v>184</v>
      </c>
      <c r="AT921" t="s">
        <v>86</v>
      </c>
      <c r="AU921" t="s">
        <v>86</v>
      </c>
      <c r="AV921" t="s">
        <v>2910</v>
      </c>
      <c r="AW921" t="s">
        <v>69</v>
      </c>
      <c r="AX921" t="s">
        <v>126</v>
      </c>
      <c r="AY921" t="s">
        <v>2911</v>
      </c>
      <c r="AZ921" t="s">
        <v>264</v>
      </c>
      <c r="BA921" t="s">
        <v>244</v>
      </c>
      <c r="BB921" t="s">
        <v>264</v>
      </c>
      <c r="BC921" t="s">
        <v>264</v>
      </c>
      <c r="BD921" t="s">
        <v>2914</v>
      </c>
      <c r="BE921" t="s">
        <v>2913</v>
      </c>
      <c r="BF921" t="s">
        <v>291</v>
      </c>
      <c r="BG921" t="s">
        <v>110</v>
      </c>
      <c r="BH921" t="str">
        <f>IF(COUNTIF(工作表1!A:A, $C921)&gt;0, "預購款", "非預購款")</f>
        <v>非預購款</v>
      </c>
    </row>
    <row r="922" spans="1:60" x14ac:dyDescent="0.25">
      <c r="A922" t="s">
        <v>2904</v>
      </c>
      <c r="B922" t="s">
        <v>576</v>
      </c>
      <c r="C922" t="s">
        <v>2905</v>
      </c>
      <c r="D922" t="s">
        <v>2906</v>
      </c>
      <c r="E922" t="s">
        <v>2907</v>
      </c>
      <c r="F922" t="s">
        <v>179</v>
      </c>
      <c r="G922" t="s">
        <v>2908</v>
      </c>
      <c r="H922" t="s">
        <v>132</v>
      </c>
      <c r="I922" t="s">
        <v>97</v>
      </c>
      <c r="J922" t="s">
        <v>98</v>
      </c>
      <c r="K922" t="s">
        <v>80</v>
      </c>
      <c r="L922" t="s">
        <v>2909</v>
      </c>
      <c r="M922" t="s">
        <v>71</v>
      </c>
      <c r="N922" t="s">
        <v>198</v>
      </c>
      <c r="O922" t="s">
        <v>2893</v>
      </c>
      <c r="P922" t="s">
        <v>2894</v>
      </c>
      <c r="R922" t="s">
        <v>2518</v>
      </c>
      <c r="S922" t="s">
        <v>183</v>
      </c>
      <c r="T922" t="s">
        <v>291</v>
      </c>
      <c r="U922" t="s">
        <v>684</v>
      </c>
      <c r="V922" t="s">
        <v>685</v>
      </c>
      <c r="W922">
        <v>1080</v>
      </c>
      <c r="X922">
        <v>44.99</v>
      </c>
      <c r="Y922">
        <v>139</v>
      </c>
      <c r="Z922">
        <v>779000</v>
      </c>
      <c r="AA922">
        <v>113400</v>
      </c>
      <c r="AB922">
        <v>330</v>
      </c>
      <c r="AD922" t="s">
        <v>238</v>
      </c>
      <c r="AE922">
        <v>1</v>
      </c>
      <c r="AF922">
        <v>0</v>
      </c>
      <c r="AI922">
        <v>0</v>
      </c>
      <c r="AJ922">
        <v>15</v>
      </c>
      <c r="AK922">
        <v>15</v>
      </c>
      <c r="AL922">
        <v>105</v>
      </c>
      <c r="AM922">
        <v>19</v>
      </c>
      <c r="AN922">
        <v>0</v>
      </c>
      <c r="AO922">
        <v>19</v>
      </c>
      <c r="AP922" t="s">
        <v>80</v>
      </c>
      <c r="AQ922" t="s">
        <v>184</v>
      </c>
      <c r="AT922" t="s">
        <v>86</v>
      </c>
      <c r="AU922" t="s">
        <v>86</v>
      </c>
      <c r="AV922" t="s">
        <v>2910</v>
      </c>
      <c r="AW922" t="s">
        <v>69</v>
      </c>
      <c r="AX922" t="s">
        <v>126</v>
      </c>
      <c r="AY922" t="s">
        <v>2911</v>
      </c>
      <c r="AZ922" t="s">
        <v>264</v>
      </c>
      <c r="BA922" t="s">
        <v>244</v>
      </c>
      <c r="BB922" t="s">
        <v>264</v>
      </c>
      <c r="BC922" t="s">
        <v>264</v>
      </c>
      <c r="BD922" t="s">
        <v>2915</v>
      </c>
      <c r="BE922" t="s">
        <v>2913</v>
      </c>
      <c r="BF922" t="s">
        <v>291</v>
      </c>
      <c r="BG922" t="s">
        <v>110</v>
      </c>
      <c r="BH922" t="str">
        <f>IF(COUNTIF(工作表1!A:A, $C922)&gt;0, "預購款", "非預購款")</f>
        <v>非預購款</v>
      </c>
    </row>
    <row r="923" spans="1:60" x14ac:dyDescent="0.25">
      <c r="A923" t="s">
        <v>2916</v>
      </c>
      <c r="B923" t="s">
        <v>759</v>
      </c>
      <c r="C923" t="s">
        <v>2917</v>
      </c>
      <c r="D923" t="s">
        <v>2918</v>
      </c>
      <c r="E923" t="s">
        <v>2919</v>
      </c>
      <c r="F923" t="s">
        <v>179</v>
      </c>
      <c r="G923" t="s">
        <v>2920</v>
      </c>
      <c r="H923" t="s">
        <v>119</v>
      </c>
      <c r="I923" t="s">
        <v>162</v>
      </c>
      <c r="J923" t="s">
        <v>163</v>
      </c>
      <c r="K923" t="s">
        <v>69</v>
      </c>
      <c r="L923" t="s">
        <v>2921</v>
      </c>
      <c r="M923" t="s">
        <v>71</v>
      </c>
      <c r="N923" t="s">
        <v>198</v>
      </c>
      <c r="O923" t="s">
        <v>2893</v>
      </c>
      <c r="P923" t="s">
        <v>2894</v>
      </c>
      <c r="R923" t="s">
        <v>2518</v>
      </c>
      <c r="S923" t="s">
        <v>183</v>
      </c>
      <c r="T923" t="s">
        <v>291</v>
      </c>
      <c r="U923" t="s">
        <v>502</v>
      </c>
      <c r="V923" t="s">
        <v>2922</v>
      </c>
      <c r="W923">
        <v>690</v>
      </c>
      <c r="X923">
        <v>29.99</v>
      </c>
      <c r="Y923">
        <v>89</v>
      </c>
      <c r="Z923">
        <v>499000</v>
      </c>
      <c r="AA923">
        <v>103500</v>
      </c>
      <c r="AB923">
        <v>320</v>
      </c>
      <c r="AD923" t="s">
        <v>238</v>
      </c>
      <c r="AE923">
        <v>1</v>
      </c>
      <c r="AF923">
        <v>0</v>
      </c>
      <c r="AI923">
        <v>20</v>
      </c>
      <c r="AJ923">
        <v>50</v>
      </c>
      <c r="AK923">
        <v>70</v>
      </c>
      <c r="AL923">
        <v>150</v>
      </c>
      <c r="AM923">
        <v>63</v>
      </c>
      <c r="AN923">
        <v>0</v>
      </c>
      <c r="AO923">
        <v>63</v>
      </c>
      <c r="AP923" t="s">
        <v>80</v>
      </c>
      <c r="AQ923" t="s">
        <v>184</v>
      </c>
      <c r="AT923" t="s">
        <v>86</v>
      </c>
      <c r="AU923" t="s">
        <v>86</v>
      </c>
      <c r="AV923" t="s">
        <v>876</v>
      </c>
      <c r="AW923" t="s">
        <v>69</v>
      </c>
      <c r="AX923" t="s">
        <v>126</v>
      </c>
      <c r="AY923" t="s">
        <v>2923</v>
      </c>
      <c r="AZ923" t="s">
        <v>243</v>
      </c>
      <c r="BA923" t="s">
        <v>264</v>
      </c>
      <c r="BB923" t="s">
        <v>244</v>
      </c>
      <c r="BC923" t="s">
        <v>264</v>
      </c>
      <c r="BD923" t="s">
        <v>2924</v>
      </c>
      <c r="BE923" t="s">
        <v>2925</v>
      </c>
      <c r="BF923" t="s">
        <v>291</v>
      </c>
      <c r="BG923" t="s">
        <v>150</v>
      </c>
      <c r="BH923" t="str">
        <f>IF(COUNTIF(工作表1!A:A, $C923)&gt;0, "預購款", "非預購款")</f>
        <v>非預購款</v>
      </c>
    </row>
    <row r="924" spans="1:60" x14ac:dyDescent="0.25">
      <c r="A924" t="s">
        <v>2916</v>
      </c>
      <c r="B924" t="s">
        <v>759</v>
      </c>
      <c r="C924" t="s">
        <v>2917</v>
      </c>
      <c r="D924" t="s">
        <v>2918</v>
      </c>
      <c r="E924" t="s">
        <v>2919</v>
      </c>
      <c r="F924" t="s">
        <v>179</v>
      </c>
      <c r="G924" t="s">
        <v>2920</v>
      </c>
      <c r="H924" t="s">
        <v>130</v>
      </c>
      <c r="I924" t="s">
        <v>162</v>
      </c>
      <c r="J924" t="s">
        <v>163</v>
      </c>
      <c r="K924" t="s">
        <v>69</v>
      </c>
      <c r="L924" t="s">
        <v>2921</v>
      </c>
      <c r="M924" t="s">
        <v>71</v>
      </c>
      <c r="N924" t="s">
        <v>198</v>
      </c>
      <c r="O924" t="s">
        <v>2893</v>
      </c>
      <c r="P924" t="s">
        <v>2894</v>
      </c>
      <c r="R924" t="s">
        <v>2518</v>
      </c>
      <c r="S924" t="s">
        <v>183</v>
      </c>
      <c r="T924" t="s">
        <v>291</v>
      </c>
      <c r="U924" t="s">
        <v>502</v>
      </c>
      <c r="V924" t="s">
        <v>2922</v>
      </c>
      <c r="W924">
        <v>690</v>
      </c>
      <c r="X924">
        <v>29.99</v>
      </c>
      <c r="Y924">
        <v>89</v>
      </c>
      <c r="Z924">
        <v>499000</v>
      </c>
      <c r="AA924">
        <v>103500</v>
      </c>
      <c r="AB924">
        <v>320</v>
      </c>
      <c r="AD924" t="s">
        <v>238</v>
      </c>
      <c r="AE924">
        <v>1</v>
      </c>
      <c r="AF924">
        <v>0</v>
      </c>
      <c r="AI924">
        <v>20</v>
      </c>
      <c r="AJ924">
        <v>30</v>
      </c>
      <c r="AK924">
        <v>50</v>
      </c>
      <c r="AL924">
        <v>150</v>
      </c>
      <c r="AM924">
        <v>42</v>
      </c>
      <c r="AN924">
        <v>0</v>
      </c>
      <c r="AO924">
        <v>42</v>
      </c>
      <c r="AP924" t="s">
        <v>80</v>
      </c>
      <c r="AQ924" t="s">
        <v>184</v>
      </c>
      <c r="AT924" t="s">
        <v>86</v>
      </c>
      <c r="AU924" t="s">
        <v>86</v>
      </c>
      <c r="AV924" t="s">
        <v>876</v>
      </c>
      <c r="AW924" t="s">
        <v>69</v>
      </c>
      <c r="AX924" t="s">
        <v>126</v>
      </c>
      <c r="AY924" t="s">
        <v>2923</v>
      </c>
      <c r="AZ924" t="s">
        <v>243</v>
      </c>
      <c r="BA924" t="s">
        <v>264</v>
      </c>
      <c r="BB924" t="s">
        <v>244</v>
      </c>
      <c r="BC924" t="s">
        <v>264</v>
      </c>
      <c r="BD924" t="s">
        <v>2926</v>
      </c>
      <c r="BE924" t="s">
        <v>2925</v>
      </c>
      <c r="BF924" t="s">
        <v>291</v>
      </c>
      <c r="BG924" t="s">
        <v>150</v>
      </c>
      <c r="BH924" t="str">
        <f>IF(COUNTIF(工作表1!A:A, $C924)&gt;0, "預購款", "非預購款")</f>
        <v>非預購款</v>
      </c>
    </row>
    <row r="925" spans="1:60" x14ac:dyDescent="0.25">
      <c r="A925" t="s">
        <v>2916</v>
      </c>
      <c r="B925" t="s">
        <v>759</v>
      </c>
      <c r="C925" t="s">
        <v>2917</v>
      </c>
      <c r="D925" t="s">
        <v>2918</v>
      </c>
      <c r="E925" t="s">
        <v>2919</v>
      </c>
      <c r="F925" t="s">
        <v>179</v>
      </c>
      <c r="G925" t="s">
        <v>2920</v>
      </c>
      <c r="H925" t="s">
        <v>132</v>
      </c>
      <c r="I925" t="s">
        <v>162</v>
      </c>
      <c r="J925" t="s">
        <v>163</v>
      </c>
      <c r="K925" t="s">
        <v>69</v>
      </c>
      <c r="L925" t="s">
        <v>2921</v>
      </c>
      <c r="M925" t="s">
        <v>71</v>
      </c>
      <c r="N925" t="s">
        <v>198</v>
      </c>
      <c r="O925" t="s">
        <v>2893</v>
      </c>
      <c r="P925" t="s">
        <v>2894</v>
      </c>
      <c r="R925" t="s">
        <v>2518</v>
      </c>
      <c r="S925" t="s">
        <v>183</v>
      </c>
      <c r="T925" t="s">
        <v>291</v>
      </c>
      <c r="U925" t="s">
        <v>502</v>
      </c>
      <c r="V925" t="s">
        <v>2922</v>
      </c>
      <c r="W925">
        <v>690</v>
      </c>
      <c r="X925">
        <v>29.99</v>
      </c>
      <c r="Y925">
        <v>89</v>
      </c>
      <c r="Z925">
        <v>499000</v>
      </c>
      <c r="AA925">
        <v>103500</v>
      </c>
      <c r="AB925">
        <v>320</v>
      </c>
      <c r="AD925" t="s">
        <v>238</v>
      </c>
      <c r="AE925">
        <v>1</v>
      </c>
      <c r="AF925">
        <v>0</v>
      </c>
      <c r="AI925">
        <v>15</v>
      </c>
      <c r="AJ925">
        <v>15</v>
      </c>
      <c r="AK925">
        <v>30</v>
      </c>
      <c r="AL925">
        <v>150</v>
      </c>
      <c r="AM925">
        <v>30</v>
      </c>
      <c r="AN925">
        <v>0</v>
      </c>
      <c r="AO925">
        <v>30</v>
      </c>
      <c r="AP925" t="s">
        <v>80</v>
      </c>
      <c r="AQ925" t="s">
        <v>184</v>
      </c>
      <c r="AT925" t="s">
        <v>86</v>
      </c>
      <c r="AU925" t="s">
        <v>86</v>
      </c>
      <c r="AV925" t="s">
        <v>876</v>
      </c>
      <c r="AW925" t="s">
        <v>69</v>
      </c>
      <c r="AX925" t="s">
        <v>126</v>
      </c>
      <c r="AY925" t="s">
        <v>2923</v>
      </c>
      <c r="AZ925" t="s">
        <v>243</v>
      </c>
      <c r="BA925" t="s">
        <v>264</v>
      </c>
      <c r="BB925" t="s">
        <v>244</v>
      </c>
      <c r="BC925" t="s">
        <v>264</v>
      </c>
      <c r="BD925" t="s">
        <v>2927</v>
      </c>
      <c r="BE925" t="s">
        <v>2925</v>
      </c>
      <c r="BF925" t="s">
        <v>291</v>
      </c>
      <c r="BG925" t="s">
        <v>150</v>
      </c>
      <c r="BH925" t="str">
        <f>IF(COUNTIF(工作表1!A:A, $C925)&gt;0, "預購款", "非預購款")</f>
        <v>非預購款</v>
      </c>
    </row>
    <row r="926" spans="1:60" x14ac:dyDescent="0.25">
      <c r="A926" t="s">
        <v>2928</v>
      </c>
      <c r="B926" t="s">
        <v>776</v>
      </c>
      <c r="C926" t="s">
        <v>2929</v>
      </c>
      <c r="D926" t="s">
        <v>2930</v>
      </c>
      <c r="E926" t="s">
        <v>2931</v>
      </c>
      <c r="F926" t="s">
        <v>179</v>
      </c>
      <c r="G926" t="s">
        <v>2932</v>
      </c>
      <c r="H926" t="s">
        <v>119</v>
      </c>
      <c r="I926" t="s">
        <v>171</v>
      </c>
      <c r="J926" t="s">
        <v>172</v>
      </c>
      <c r="K926" t="s">
        <v>69</v>
      </c>
      <c r="L926" t="s">
        <v>2933</v>
      </c>
      <c r="M926" t="s">
        <v>71</v>
      </c>
      <c r="N926" t="s">
        <v>198</v>
      </c>
      <c r="O926" t="s">
        <v>2893</v>
      </c>
      <c r="P926" t="s">
        <v>2894</v>
      </c>
      <c r="R926" t="s">
        <v>2518</v>
      </c>
      <c r="S926" t="s">
        <v>183</v>
      </c>
      <c r="T926" t="s">
        <v>76</v>
      </c>
      <c r="U926" t="s">
        <v>104</v>
      </c>
      <c r="V926" t="s">
        <v>965</v>
      </c>
      <c r="W926">
        <v>790</v>
      </c>
      <c r="X926">
        <v>34.99</v>
      </c>
      <c r="Y926">
        <v>99</v>
      </c>
      <c r="Z926">
        <v>569000</v>
      </c>
      <c r="AA926">
        <v>205400</v>
      </c>
      <c r="AB926">
        <v>188</v>
      </c>
      <c r="AD926" t="s">
        <v>238</v>
      </c>
      <c r="AE926">
        <v>1</v>
      </c>
      <c r="AF926">
        <v>15</v>
      </c>
      <c r="AI926">
        <v>20</v>
      </c>
      <c r="AJ926">
        <v>100</v>
      </c>
      <c r="AK926">
        <v>135</v>
      </c>
      <c r="AL926">
        <v>260</v>
      </c>
      <c r="AM926">
        <v>136</v>
      </c>
      <c r="AN926">
        <v>0</v>
      </c>
      <c r="AO926">
        <v>136</v>
      </c>
      <c r="AP926" t="s">
        <v>80</v>
      </c>
      <c r="AQ926" t="s">
        <v>184</v>
      </c>
      <c r="AR926" t="s">
        <v>261</v>
      </c>
      <c r="AS926" t="s">
        <v>261</v>
      </c>
      <c r="AT926" t="s">
        <v>261</v>
      </c>
      <c r="AU926" t="s">
        <v>261</v>
      </c>
      <c r="AV926" t="s">
        <v>2934</v>
      </c>
      <c r="AW926" t="s">
        <v>69</v>
      </c>
      <c r="AX926" t="s">
        <v>218</v>
      </c>
      <c r="AY926" t="s">
        <v>2935</v>
      </c>
      <c r="AZ926" t="s">
        <v>244</v>
      </c>
      <c r="BA926" t="s">
        <v>244</v>
      </c>
      <c r="BB926" t="s">
        <v>244</v>
      </c>
      <c r="BC926" t="s">
        <v>244</v>
      </c>
      <c r="BD926" t="s">
        <v>2936</v>
      </c>
      <c r="BE926" t="s">
        <v>2937</v>
      </c>
      <c r="BF926" t="s">
        <v>786</v>
      </c>
      <c r="BG926" t="s">
        <v>110</v>
      </c>
      <c r="BH926" t="str">
        <f>IF(COUNTIF(工作表1!A:A, $C926)&gt;0, "預購款", "非預購款")</f>
        <v>非預購款</v>
      </c>
    </row>
    <row r="927" spans="1:60" x14ac:dyDescent="0.25">
      <c r="A927" t="s">
        <v>2928</v>
      </c>
      <c r="B927" t="s">
        <v>776</v>
      </c>
      <c r="C927" t="s">
        <v>2929</v>
      </c>
      <c r="D927" t="s">
        <v>2930</v>
      </c>
      <c r="E927" t="s">
        <v>2931</v>
      </c>
      <c r="F927" t="s">
        <v>179</v>
      </c>
      <c r="G927" t="s">
        <v>2932</v>
      </c>
      <c r="H927" t="s">
        <v>130</v>
      </c>
      <c r="I927" t="s">
        <v>171</v>
      </c>
      <c r="J927" t="s">
        <v>172</v>
      </c>
      <c r="K927" t="s">
        <v>69</v>
      </c>
      <c r="L927" t="s">
        <v>2933</v>
      </c>
      <c r="M927" t="s">
        <v>71</v>
      </c>
      <c r="N927" t="s">
        <v>198</v>
      </c>
      <c r="O927" t="s">
        <v>2893</v>
      </c>
      <c r="P927" t="s">
        <v>2894</v>
      </c>
      <c r="R927" t="s">
        <v>2518</v>
      </c>
      <c r="S927" t="s">
        <v>183</v>
      </c>
      <c r="T927" t="s">
        <v>76</v>
      </c>
      <c r="U927" t="s">
        <v>104</v>
      </c>
      <c r="V927" t="s">
        <v>965</v>
      </c>
      <c r="W927">
        <v>790</v>
      </c>
      <c r="X927">
        <v>34.99</v>
      </c>
      <c r="Y927">
        <v>99</v>
      </c>
      <c r="Z927">
        <v>569000</v>
      </c>
      <c r="AA927">
        <v>205400</v>
      </c>
      <c r="AB927">
        <v>188</v>
      </c>
      <c r="AD927" t="s">
        <v>238</v>
      </c>
      <c r="AE927">
        <v>1</v>
      </c>
      <c r="AF927">
        <v>10</v>
      </c>
      <c r="AI927">
        <v>10</v>
      </c>
      <c r="AJ927">
        <v>60</v>
      </c>
      <c r="AK927">
        <v>80</v>
      </c>
      <c r="AL927">
        <v>260</v>
      </c>
      <c r="AM927">
        <v>82</v>
      </c>
      <c r="AN927">
        <v>0</v>
      </c>
      <c r="AO927">
        <v>82</v>
      </c>
      <c r="AP927" t="s">
        <v>80</v>
      </c>
      <c r="AQ927" t="s">
        <v>184</v>
      </c>
      <c r="AR927" t="s">
        <v>261</v>
      </c>
      <c r="AS927" t="s">
        <v>261</v>
      </c>
      <c r="AT927" t="s">
        <v>261</v>
      </c>
      <c r="AU927" t="s">
        <v>261</v>
      </c>
      <c r="AV927" t="s">
        <v>2934</v>
      </c>
      <c r="AW927" t="s">
        <v>69</v>
      </c>
      <c r="AX927" t="s">
        <v>218</v>
      </c>
      <c r="AY927" t="s">
        <v>2935</v>
      </c>
      <c r="AZ927" t="s">
        <v>244</v>
      </c>
      <c r="BA927" t="s">
        <v>244</v>
      </c>
      <c r="BB927" t="s">
        <v>244</v>
      </c>
      <c r="BC927" t="s">
        <v>244</v>
      </c>
      <c r="BD927" t="s">
        <v>2938</v>
      </c>
      <c r="BE927" t="s">
        <v>2937</v>
      </c>
      <c r="BF927" t="s">
        <v>786</v>
      </c>
      <c r="BG927" t="s">
        <v>110</v>
      </c>
      <c r="BH927" t="str">
        <f>IF(COUNTIF(工作表1!A:A, $C927)&gt;0, "預購款", "非預購款")</f>
        <v>非預購款</v>
      </c>
    </row>
    <row r="928" spans="1:60" x14ac:dyDescent="0.25">
      <c r="A928" t="s">
        <v>2928</v>
      </c>
      <c r="B928" t="s">
        <v>776</v>
      </c>
      <c r="C928" t="s">
        <v>2929</v>
      </c>
      <c r="D928" t="s">
        <v>2930</v>
      </c>
      <c r="E928" t="s">
        <v>2931</v>
      </c>
      <c r="F928" t="s">
        <v>179</v>
      </c>
      <c r="G928" t="s">
        <v>2932</v>
      </c>
      <c r="H928" t="s">
        <v>132</v>
      </c>
      <c r="I928" t="s">
        <v>171</v>
      </c>
      <c r="J928" t="s">
        <v>172</v>
      </c>
      <c r="K928" t="s">
        <v>69</v>
      </c>
      <c r="L928" t="s">
        <v>2933</v>
      </c>
      <c r="M928" t="s">
        <v>71</v>
      </c>
      <c r="N928" t="s">
        <v>198</v>
      </c>
      <c r="O928" t="s">
        <v>2893</v>
      </c>
      <c r="P928" t="s">
        <v>2894</v>
      </c>
      <c r="R928" t="s">
        <v>2518</v>
      </c>
      <c r="S928" t="s">
        <v>183</v>
      </c>
      <c r="T928" t="s">
        <v>76</v>
      </c>
      <c r="U928" t="s">
        <v>104</v>
      </c>
      <c r="V928" t="s">
        <v>965</v>
      </c>
      <c r="W928">
        <v>790</v>
      </c>
      <c r="X928">
        <v>34.99</v>
      </c>
      <c r="Y928">
        <v>99</v>
      </c>
      <c r="Z928">
        <v>569000</v>
      </c>
      <c r="AA928">
        <v>205400</v>
      </c>
      <c r="AB928">
        <v>188</v>
      </c>
      <c r="AD928" t="s">
        <v>238</v>
      </c>
      <c r="AE928">
        <v>1</v>
      </c>
      <c r="AF928">
        <v>0</v>
      </c>
      <c r="AI928">
        <v>10</v>
      </c>
      <c r="AJ928">
        <v>35</v>
      </c>
      <c r="AK928">
        <v>45</v>
      </c>
      <c r="AL928">
        <v>260</v>
      </c>
      <c r="AM928">
        <v>48</v>
      </c>
      <c r="AN928">
        <v>0</v>
      </c>
      <c r="AO928">
        <v>48</v>
      </c>
      <c r="AP928" t="s">
        <v>80</v>
      </c>
      <c r="AQ928" t="s">
        <v>184</v>
      </c>
      <c r="AR928" t="s">
        <v>261</v>
      </c>
      <c r="AS928" t="s">
        <v>261</v>
      </c>
      <c r="AT928" t="s">
        <v>261</v>
      </c>
      <c r="AU928" t="s">
        <v>261</v>
      </c>
      <c r="AV928" t="s">
        <v>2934</v>
      </c>
      <c r="AW928" t="s">
        <v>69</v>
      </c>
      <c r="AX928" t="s">
        <v>218</v>
      </c>
      <c r="AY928" t="s">
        <v>2935</v>
      </c>
      <c r="AZ928" t="s">
        <v>244</v>
      </c>
      <c r="BA928" t="s">
        <v>244</v>
      </c>
      <c r="BB928" t="s">
        <v>244</v>
      </c>
      <c r="BC928" t="s">
        <v>244</v>
      </c>
      <c r="BD928" t="s">
        <v>2939</v>
      </c>
      <c r="BE928" t="s">
        <v>2937</v>
      </c>
      <c r="BF928" t="s">
        <v>786</v>
      </c>
      <c r="BG928" t="s">
        <v>110</v>
      </c>
      <c r="BH928" t="str">
        <f>IF(COUNTIF(工作表1!A:A, $C928)&gt;0, "預購款", "非預購款")</f>
        <v>非預購款</v>
      </c>
    </row>
    <row r="929" spans="1:60" x14ac:dyDescent="0.25">
      <c r="A929" t="s">
        <v>2940</v>
      </c>
      <c r="B929" t="s">
        <v>226</v>
      </c>
      <c r="C929" t="s">
        <v>2941</v>
      </c>
      <c r="D929" t="s">
        <v>2942</v>
      </c>
      <c r="E929" t="s">
        <v>2943</v>
      </c>
      <c r="F929" t="s">
        <v>179</v>
      </c>
      <c r="G929" t="s">
        <v>2944</v>
      </c>
      <c r="H929" t="s">
        <v>119</v>
      </c>
      <c r="I929" t="s">
        <v>97</v>
      </c>
      <c r="J929" t="s">
        <v>98</v>
      </c>
      <c r="K929" t="s">
        <v>69</v>
      </c>
      <c r="L929" t="s">
        <v>2945</v>
      </c>
      <c r="M929" t="s">
        <v>71</v>
      </c>
      <c r="N929" t="s">
        <v>198</v>
      </c>
      <c r="O929" t="s">
        <v>2306</v>
      </c>
      <c r="P929" t="s">
        <v>2307</v>
      </c>
      <c r="R929" t="s">
        <v>2518</v>
      </c>
      <c r="S929" t="s">
        <v>183</v>
      </c>
      <c r="T929" t="s">
        <v>76</v>
      </c>
      <c r="U929" t="s">
        <v>104</v>
      </c>
      <c r="V929" t="s">
        <v>1519</v>
      </c>
      <c r="W929">
        <v>790</v>
      </c>
      <c r="X929">
        <v>34.99</v>
      </c>
      <c r="Y929">
        <v>99</v>
      </c>
      <c r="Z929">
        <v>569000</v>
      </c>
      <c r="AA929">
        <v>450300</v>
      </c>
      <c r="AB929">
        <v>196</v>
      </c>
      <c r="AD929" t="s">
        <v>238</v>
      </c>
      <c r="AE929">
        <v>3</v>
      </c>
      <c r="AF929">
        <v>0</v>
      </c>
      <c r="AI929">
        <v>50</v>
      </c>
      <c r="AJ929">
        <v>65</v>
      </c>
      <c r="AK929">
        <v>115</v>
      </c>
      <c r="AL929">
        <v>570</v>
      </c>
      <c r="AM929">
        <v>120</v>
      </c>
      <c r="AN929">
        <v>0</v>
      </c>
      <c r="AO929">
        <v>120</v>
      </c>
      <c r="AP929" t="s">
        <v>80</v>
      </c>
      <c r="AQ929" t="s">
        <v>190</v>
      </c>
      <c r="AR929" t="s">
        <v>86</v>
      </c>
      <c r="AS929" t="s">
        <v>86</v>
      </c>
      <c r="AT929" t="s">
        <v>240</v>
      </c>
      <c r="AU929" t="s">
        <v>240</v>
      </c>
      <c r="AV929" t="s">
        <v>2946</v>
      </c>
      <c r="AW929" t="s">
        <v>69</v>
      </c>
      <c r="AX929" t="s">
        <v>2542</v>
      </c>
      <c r="AY929" t="s">
        <v>2947</v>
      </c>
      <c r="AZ929" t="s">
        <v>243</v>
      </c>
      <c r="BA929" t="s">
        <v>244</v>
      </c>
      <c r="BB929" t="s">
        <v>244</v>
      </c>
      <c r="BC929" t="s">
        <v>244</v>
      </c>
      <c r="BD929" t="s">
        <v>2949</v>
      </c>
      <c r="BE929" t="s">
        <v>2948</v>
      </c>
      <c r="BF929" t="s">
        <v>86</v>
      </c>
      <c r="BG929" t="s">
        <v>150</v>
      </c>
      <c r="BH929" t="str">
        <f>IF(COUNTIF(工作表1!A:A, $C929)&gt;0, "預購款", "非預購款")</f>
        <v>非預購款</v>
      </c>
    </row>
    <row r="930" spans="1:60" x14ac:dyDescent="0.25">
      <c r="A930" t="s">
        <v>2940</v>
      </c>
      <c r="B930" t="s">
        <v>226</v>
      </c>
      <c r="C930" t="s">
        <v>2941</v>
      </c>
      <c r="D930" t="s">
        <v>2942</v>
      </c>
      <c r="E930" t="s">
        <v>2943</v>
      </c>
      <c r="F930" t="s">
        <v>179</v>
      </c>
      <c r="G930" t="s">
        <v>2944</v>
      </c>
      <c r="H930" t="s">
        <v>130</v>
      </c>
      <c r="I930" t="s">
        <v>97</v>
      </c>
      <c r="J930" t="s">
        <v>98</v>
      </c>
      <c r="K930" t="s">
        <v>69</v>
      </c>
      <c r="L930" t="s">
        <v>2945</v>
      </c>
      <c r="M930" t="s">
        <v>71</v>
      </c>
      <c r="N930" t="s">
        <v>198</v>
      </c>
      <c r="O930" t="s">
        <v>2306</v>
      </c>
      <c r="P930" t="s">
        <v>2307</v>
      </c>
      <c r="R930" t="s">
        <v>2518</v>
      </c>
      <c r="S930" t="s">
        <v>183</v>
      </c>
      <c r="T930" t="s">
        <v>76</v>
      </c>
      <c r="U930" t="s">
        <v>104</v>
      </c>
      <c r="V930" t="s">
        <v>1519</v>
      </c>
      <c r="W930">
        <v>790</v>
      </c>
      <c r="X930">
        <v>34.99</v>
      </c>
      <c r="Y930">
        <v>99</v>
      </c>
      <c r="Z930">
        <v>569000</v>
      </c>
      <c r="AA930">
        <v>450300</v>
      </c>
      <c r="AB930">
        <v>196</v>
      </c>
      <c r="AD930" t="s">
        <v>238</v>
      </c>
      <c r="AE930">
        <v>3</v>
      </c>
      <c r="AF930">
        <v>0</v>
      </c>
      <c r="AI930">
        <v>50</v>
      </c>
      <c r="AJ930">
        <v>60</v>
      </c>
      <c r="AK930">
        <v>110</v>
      </c>
      <c r="AL930">
        <v>570</v>
      </c>
      <c r="AM930">
        <v>114</v>
      </c>
      <c r="AN930">
        <v>0</v>
      </c>
      <c r="AO930">
        <v>114</v>
      </c>
      <c r="AP930" t="s">
        <v>80</v>
      </c>
      <c r="AQ930" t="s">
        <v>190</v>
      </c>
      <c r="AR930" t="s">
        <v>86</v>
      </c>
      <c r="AS930" t="s">
        <v>86</v>
      </c>
      <c r="AT930" t="s">
        <v>240</v>
      </c>
      <c r="AU930" t="s">
        <v>240</v>
      </c>
      <c r="AV930" t="s">
        <v>2946</v>
      </c>
      <c r="AW930" t="s">
        <v>69</v>
      </c>
      <c r="AX930" t="s">
        <v>2542</v>
      </c>
      <c r="AY930" t="s">
        <v>2947</v>
      </c>
      <c r="AZ930" t="s">
        <v>243</v>
      </c>
      <c r="BA930" t="s">
        <v>244</v>
      </c>
      <c r="BB930" t="s">
        <v>244</v>
      </c>
      <c r="BC930" t="s">
        <v>244</v>
      </c>
      <c r="BD930" t="s">
        <v>2950</v>
      </c>
      <c r="BE930" t="s">
        <v>2948</v>
      </c>
      <c r="BF930" t="s">
        <v>86</v>
      </c>
      <c r="BG930" t="s">
        <v>150</v>
      </c>
      <c r="BH930" t="str">
        <f>IF(COUNTIF(工作表1!A:A, $C930)&gt;0, "預購款", "非預購款")</f>
        <v>非預購款</v>
      </c>
    </row>
    <row r="931" spans="1:60" x14ac:dyDescent="0.25">
      <c r="A931" t="s">
        <v>2940</v>
      </c>
      <c r="B931" t="s">
        <v>226</v>
      </c>
      <c r="C931" t="s">
        <v>2941</v>
      </c>
      <c r="D931" t="s">
        <v>2942</v>
      </c>
      <c r="E931" t="s">
        <v>2943</v>
      </c>
      <c r="F931" t="s">
        <v>179</v>
      </c>
      <c r="G931" t="s">
        <v>2944</v>
      </c>
      <c r="H931" t="s">
        <v>132</v>
      </c>
      <c r="I931" t="s">
        <v>97</v>
      </c>
      <c r="J931" t="s">
        <v>98</v>
      </c>
      <c r="K931" t="s">
        <v>69</v>
      </c>
      <c r="L931" t="s">
        <v>2945</v>
      </c>
      <c r="M931" t="s">
        <v>71</v>
      </c>
      <c r="N931" t="s">
        <v>198</v>
      </c>
      <c r="O931" t="s">
        <v>2306</v>
      </c>
      <c r="P931" t="s">
        <v>2307</v>
      </c>
      <c r="R931" t="s">
        <v>2518</v>
      </c>
      <c r="S931" t="s">
        <v>183</v>
      </c>
      <c r="T931" t="s">
        <v>76</v>
      </c>
      <c r="U931" t="s">
        <v>104</v>
      </c>
      <c r="V931" t="s">
        <v>1519</v>
      </c>
      <c r="W931">
        <v>790</v>
      </c>
      <c r="X931">
        <v>34.99</v>
      </c>
      <c r="Y931">
        <v>99</v>
      </c>
      <c r="Z931">
        <v>569000</v>
      </c>
      <c r="AA931">
        <v>450300</v>
      </c>
      <c r="AB931">
        <v>196</v>
      </c>
      <c r="AD931" t="s">
        <v>238</v>
      </c>
      <c r="AE931">
        <v>3</v>
      </c>
      <c r="AF931">
        <v>0</v>
      </c>
      <c r="AI931">
        <v>20</v>
      </c>
      <c r="AJ931">
        <v>45</v>
      </c>
      <c r="AK931">
        <v>65</v>
      </c>
      <c r="AL931">
        <v>570</v>
      </c>
      <c r="AM931">
        <v>66</v>
      </c>
      <c r="AN931">
        <v>0</v>
      </c>
      <c r="AO931">
        <v>66</v>
      </c>
      <c r="AP931" t="s">
        <v>80</v>
      </c>
      <c r="AQ931" t="s">
        <v>190</v>
      </c>
      <c r="AR931" t="s">
        <v>86</v>
      </c>
      <c r="AS931" t="s">
        <v>86</v>
      </c>
      <c r="AT931" t="s">
        <v>240</v>
      </c>
      <c r="AU931" t="s">
        <v>240</v>
      </c>
      <c r="AV931" t="s">
        <v>2946</v>
      </c>
      <c r="AW931" t="s">
        <v>69</v>
      </c>
      <c r="AX931" t="s">
        <v>2542</v>
      </c>
      <c r="AY931" t="s">
        <v>2947</v>
      </c>
      <c r="AZ931" t="s">
        <v>243</v>
      </c>
      <c r="BA931" t="s">
        <v>244</v>
      </c>
      <c r="BB931" t="s">
        <v>244</v>
      </c>
      <c r="BC931" t="s">
        <v>244</v>
      </c>
      <c r="BD931" t="s">
        <v>2951</v>
      </c>
      <c r="BE931" t="s">
        <v>2948</v>
      </c>
      <c r="BF931" t="s">
        <v>86</v>
      </c>
      <c r="BG931" t="s">
        <v>150</v>
      </c>
      <c r="BH931" t="str">
        <f>IF(COUNTIF(工作表1!A:A, $C931)&gt;0, "預購款", "非預購款")</f>
        <v>非預購款</v>
      </c>
    </row>
    <row r="932" spans="1:60" x14ac:dyDescent="0.25">
      <c r="A932" t="s">
        <v>2953</v>
      </c>
      <c r="B932" t="s">
        <v>226</v>
      </c>
      <c r="C932" t="s">
        <v>2954</v>
      </c>
      <c r="D932" t="s">
        <v>2955</v>
      </c>
      <c r="E932" t="s">
        <v>2956</v>
      </c>
      <c r="F932" t="s">
        <v>179</v>
      </c>
      <c r="G932" t="s">
        <v>2957</v>
      </c>
      <c r="H932" t="s">
        <v>379</v>
      </c>
      <c r="I932" t="s">
        <v>134</v>
      </c>
      <c r="J932" t="s">
        <v>135</v>
      </c>
      <c r="K932" t="s">
        <v>69</v>
      </c>
      <c r="L932" t="s">
        <v>2958</v>
      </c>
      <c r="M932" t="s">
        <v>71</v>
      </c>
      <c r="N932" t="s">
        <v>198</v>
      </c>
      <c r="O932" t="s">
        <v>2893</v>
      </c>
      <c r="P932" t="s">
        <v>2894</v>
      </c>
      <c r="R932" t="s">
        <v>2518</v>
      </c>
      <c r="S932" t="s">
        <v>183</v>
      </c>
      <c r="T932" t="s">
        <v>291</v>
      </c>
      <c r="U932" t="s">
        <v>383</v>
      </c>
      <c r="V932" t="s">
        <v>384</v>
      </c>
      <c r="W932">
        <v>1080</v>
      </c>
      <c r="X932">
        <v>44.99</v>
      </c>
      <c r="Y932">
        <v>139</v>
      </c>
      <c r="Z932">
        <v>779000</v>
      </c>
      <c r="AA932">
        <v>275400</v>
      </c>
      <c r="AB932">
        <v>670</v>
      </c>
      <c r="AD932" t="s">
        <v>238</v>
      </c>
      <c r="AE932">
        <v>2</v>
      </c>
      <c r="AF932">
        <v>0</v>
      </c>
      <c r="AI932">
        <v>10</v>
      </c>
      <c r="AJ932">
        <v>10</v>
      </c>
      <c r="AK932">
        <v>20</v>
      </c>
      <c r="AL932">
        <v>255</v>
      </c>
      <c r="AM932">
        <v>24</v>
      </c>
      <c r="AN932">
        <v>0</v>
      </c>
      <c r="AO932">
        <v>24</v>
      </c>
      <c r="AP932" t="s">
        <v>80</v>
      </c>
      <c r="AQ932" t="s">
        <v>184</v>
      </c>
      <c r="AT932" t="s">
        <v>240</v>
      </c>
      <c r="AU932" t="s">
        <v>86</v>
      </c>
      <c r="AV932" t="s">
        <v>2959</v>
      </c>
      <c r="AW932" t="s">
        <v>69</v>
      </c>
      <c r="AX932" t="s">
        <v>126</v>
      </c>
      <c r="AY932" t="s">
        <v>2960</v>
      </c>
      <c r="AZ932" t="s">
        <v>243</v>
      </c>
      <c r="BA932" t="s">
        <v>244</v>
      </c>
      <c r="BB932" t="s">
        <v>243</v>
      </c>
      <c r="BC932" t="s">
        <v>245</v>
      </c>
      <c r="BD932" t="s">
        <v>2962</v>
      </c>
      <c r="BE932" t="s">
        <v>2961</v>
      </c>
      <c r="BF932" t="s">
        <v>291</v>
      </c>
      <c r="BG932" t="s">
        <v>110</v>
      </c>
      <c r="BH932" t="str">
        <f>IF(COUNTIF(工作表1!A:A, $C932)&gt;0, "預購款", "非預購款")</f>
        <v>非預購款</v>
      </c>
    </row>
    <row r="933" spans="1:60" x14ac:dyDescent="0.25">
      <c r="A933" t="s">
        <v>2953</v>
      </c>
      <c r="B933" t="s">
        <v>226</v>
      </c>
      <c r="C933" t="s">
        <v>2954</v>
      </c>
      <c r="D933" t="s">
        <v>2955</v>
      </c>
      <c r="E933" t="s">
        <v>2956</v>
      </c>
      <c r="F933" t="s">
        <v>179</v>
      </c>
      <c r="G933" t="s">
        <v>2957</v>
      </c>
      <c r="H933" t="s">
        <v>119</v>
      </c>
      <c r="I933" t="s">
        <v>134</v>
      </c>
      <c r="J933" t="s">
        <v>135</v>
      </c>
      <c r="K933" t="s">
        <v>69</v>
      </c>
      <c r="L933" t="s">
        <v>2958</v>
      </c>
      <c r="M933" t="s">
        <v>71</v>
      </c>
      <c r="N933" t="s">
        <v>198</v>
      </c>
      <c r="O933" t="s">
        <v>2893</v>
      </c>
      <c r="P933" t="s">
        <v>2894</v>
      </c>
      <c r="R933" t="s">
        <v>2518</v>
      </c>
      <c r="S933" t="s">
        <v>183</v>
      </c>
      <c r="T933" t="s">
        <v>291</v>
      </c>
      <c r="U933" t="s">
        <v>383</v>
      </c>
      <c r="V933" t="s">
        <v>384</v>
      </c>
      <c r="W933">
        <v>1080</v>
      </c>
      <c r="X933">
        <v>44.99</v>
      </c>
      <c r="Y933">
        <v>139</v>
      </c>
      <c r="Z933">
        <v>779000</v>
      </c>
      <c r="AA933">
        <v>275400</v>
      </c>
      <c r="AB933">
        <v>670</v>
      </c>
      <c r="AD933" t="s">
        <v>238</v>
      </c>
      <c r="AE933">
        <v>2</v>
      </c>
      <c r="AF933">
        <v>0</v>
      </c>
      <c r="AI933">
        <v>15</v>
      </c>
      <c r="AJ933">
        <v>65</v>
      </c>
      <c r="AK933">
        <v>80</v>
      </c>
      <c r="AL933">
        <v>255</v>
      </c>
      <c r="AM933">
        <v>80</v>
      </c>
      <c r="AN933">
        <v>0</v>
      </c>
      <c r="AO933">
        <v>80</v>
      </c>
      <c r="AP933" t="s">
        <v>80</v>
      </c>
      <c r="AQ933" t="s">
        <v>184</v>
      </c>
      <c r="AT933" t="s">
        <v>240</v>
      </c>
      <c r="AU933" t="s">
        <v>86</v>
      </c>
      <c r="AV933" t="s">
        <v>2959</v>
      </c>
      <c r="AW933" t="s">
        <v>69</v>
      </c>
      <c r="AX933" t="s">
        <v>126</v>
      </c>
      <c r="AY933" t="s">
        <v>2960</v>
      </c>
      <c r="AZ933" t="s">
        <v>243</v>
      </c>
      <c r="BA933" t="s">
        <v>244</v>
      </c>
      <c r="BB933" t="s">
        <v>243</v>
      </c>
      <c r="BC933" t="s">
        <v>245</v>
      </c>
      <c r="BD933" t="s">
        <v>2963</v>
      </c>
      <c r="BE933" t="s">
        <v>2961</v>
      </c>
      <c r="BF933" t="s">
        <v>291</v>
      </c>
      <c r="BG933" t="s">
        <v>110</v>
      </c>
      <c r="BH933" t="str">
        <f>IF(COUNTIF(工作表1!A:A, $C933)&gt;0, "預購款", "非預購款")</f>
        <v>非預購款</v>
      </c>
    </row>
    <row r="934" spans="1:60" x14ac:dyDescent="0.25">
      <c r="A934" t="s">
        <v>2953</v>
      </c>
      <c r="B934" t="s">
        <v>226</v>
      </c>
      <c r="C934" t="s">
        <v>2954</v>
      </c>
      <c r="D934" t="s">
        <v>2955</v>
      </c>
      <c r="E934" t="s">
        <v>2956</v>
      </c>
      <c r="F934" t="s">
        <v>179</v>
      </c>
      <c r="G934" t="s">
        <v>2957</v>
      </c>
      <c r="H934" t="s">
        <v>392</v>
      </c>
      <c r="I934" t="s">
        <v>134</v>
      </c>
      <c r="J934" t="s">
        <v>135</v>
      </c>
      <c r="K934" t="s">
        <v>69</v>
      </c>
      <c r="L934" t="s">
        <v>2958</v>
      </c>
      <c r="M934" t="s">
        <v>71</v>
      </c>
      <c r="N934" t="s">
        <v>198</v>
      </c>
      <c r="O934" t="s">
        <v>2893</v>
      </c>
      <c r="P934" t="s">
        <v>2894</v>
      </c>
      <c r="R934" t="s">
        <v>2518</v>
      </c>
      <c r="S934" t="s">
        <v>183</v>
      </c>
      <c r="T934" t="s">
        <v>291</v>
      </c>
      <c r="U934" t="s">
        <v>383</v>
      </c>
      <c r="V934" t="s">
        <v>384</v>
      </c>
      <c r="W934">
        <v>1080</v>
      </c>
      <c r="X934">
        <v>44.99</v>
      </c>
      <c r="Y934">
        <v>139</v>
      </c>
      <c r="Z934">
        <v>779000</v>
      </c>
      <c r="AA934">
        <v>275400</v>
      </c>
      <c r="AB934">
        <v>670</v>
      </c>
      <c r="AD934" t="s">
        <v>238</v>
      </c>
      <c r="AE934">
        <v>2</v>
      </c>
      <c r="AF934">
        <v>0</v>
      </c>
      <c r="AI934">
        <v>10</v>
      </c>
      <c r="AJ934">
        <v>10</v>
      </c>
      <c r="AK934">
        <v>20</v>
      </c>
      <c r="AL934">
        <v>255</v>
      </c>
      <c r="AM934">
        <v>20</v>
      </c>
      <c r="AN934">
        <v>0</v>
      </c>
      <c r="AO934">
        <v>20</v>
      </c>
      <c r="AP934" t="s">
        <v>80</v>
      </c>
      <c r="AQ934" t="s">
        <v>184</v>
      </c>
      <c r="AT934" t="s">
        <v>240</v>
      </c>
      <c r="AU934" t="s">
        <v>86</v>
      </c>
      <c r="AV934" t="s">
        <v>2959</v>
      </c>
      <c r="AW934" t="s">
        <v>69</v>
      </c>
      <c r="AX934" t="s">
        <v>126</v>
      </c>
      <c r="AY934" t="s">
        <v>2960</v>
      </c>
      <c r="AZ934" t="s">
        <v>243</v>
      </c>
      <c r="BA934" t="s">
        <v>244</v>
      </c>
      <c r="BB934" t="s">
        <v>243</v>
      </c>
      <c r="BC934" t="s">
        <v>245</v>
      </c>
      <c r="BD934" t="s">
        <v>2964</v>
      </c>
      <c r="BE934" t="s">
        <v>2961</v>
      </c>
      <c r="BF934" t="s">
        <v>291</v>
      </c>
      <c r="BG934" t="s">
        <v>110</v>
      </c>
      <c r="BH934" t="str">
        <f>IF(COUNTIF(工作表1!A:A, $C934)&gt;0, "預購款", "非預購款")</f>
        <v>非預購款</v>
      </c>
    </row>
    <row r="935" spans="1:60" x14ac:dyDescent="0.25">
      <c r="A935" t="s">
        <v>2953</v>
      </c>
      <c r="B935" t="s">
        <v>226</v>
      </c>
      <c r="C935" t="s">
        <v>2954</v>
      </c>
      <c r="D935" t="s">
        <v>2955</v>
      </c>
      <c r="E935" t="s">
        <v>2956</v>
      </c>
      <c r="F935" t="s">
        <v>179</v>
      </c>
      <c r="G935" t="s">
        <v>2957</v>
      </c>
      <c r="H935" t="s">
        <v>130</v>
      </c>
      <c r="I935" t="s">
        <v>134</v>
      </c>
      <c r="J935" t="s">
        <v>135</v>
      </c>
      <c r="K935" t="s">
        <v>69</v>
      </c>
      <c r="L935" t="s">
        <v>2958</v>
      </c>
      <c r="M935" t="s">
        <v>71</v>
      </c>
      <c r="N935" t="s">
        <v>198</v>
      </c>
      <c r="O935" t="s">
        <v>2893</v>
      </c>
      <c r="P935" t="s">
        <v>2894</v>
      </c>
      <c r="R935" t="s">
        <v>2518</v>
      </c>
      <c r="S935" t="s">
        <v>183</v>
      </c>
      <c r="T935" t="s">
        <v>291</v>
      </c>
      <c r="U935" t="s">
        <v>383</v>
      </c>
      <c r="V935" t="s">
        <v>384</v>
      </c>
      <c r="W935">
        <v>1080</v>
      </c>
      <c r="X935">
        <v>44.99</v>
      </c>
      <c r="Y935">
        <v>139</v>
      </c>
      <c r="Z935">
        <v>779000</v>
      </c>
      <c r="AA935">
        <v>275400</v>
      </c>
      <c r="AB935">
        <v>670</v>
      </c>
      <c r="AD935" t="s">
        <v>238</v>
      </c>
      <c r="AE935">
        <v>2</v>
      </c>
      <c r="AF935">
        <v>0</v>
      </c>
      <c r="AI935">
        <v>15</v>
      </c>
      <c r="AJ935">
        <v>25</v>
      </c>
      <c r="AK935">
        <v>40</v>
      </c>
      <c r="AL935">
        <v>255</v>
      </c>
      <c r="AM935">
        <v>42</v>
      </c>
      <c r="AN935">
        <v>0</v>
      </c>
      <c r="AO935">
        <v>42</v>
      </c>
      <c r="AP935" t="s">
        <v>80</v>
      </c>
      <c r="AQ935" t="s">
        <v>184</v>
      </c>
      <c r="AT935" t="s">
        <v>240</v>
      </c>
      <c r="AU935" t="s">
        <v>86</v>
      </c>
      <c r="AV935" t="s">
        <v>2959</v>
      </c>
      <c r="AW935" t="s">
        <v>69</v>
      </c>
      <c r="AX935" t="s">
        <v>126</v>
      </c>
      <c r="AY935" t="s">
        <v>2960</v>
      </c>
      <c r="AZ935" t="s">
        <v>243</v>
      </c>
      <c r="BA935" t="s">
        <v>244</v>
      </c>
      <c r="BB935" t="s">
        <v>243</v>
      </c>
      <c r="BC935" t="s">
        <v>245</v>
      </c>
      <c r="BD935" t="s">
        <v>2965</v>
      </c>
      <c r="BE935" t="s">
        <v>2961</v>
      </c>
      <c r="BF935" t="s">
        <v>291</v>
      </c>
      <c r="BG935" t="s">
        <v>110</v>
      </c>
      <c r="BH935" t="str">
        <f>IF(COUNTIF(工作表1!A:A, $C935)&gt;0, "預購款", "非預購款")</f>
        <v>非預購款</v>
      </c>
    </row>
    <row r="936" spans="1:60" x14ac:dyDescent="0.25">
      <c r="A936" t="s">
        <v>2953</v>
      </c>
      <c r="B936" t="s">
        <v>226</v>
      </c>
      <c r="C936" t="s">
        <v>2954</v>
      </c>
      <c r="D936" t="s">
        <v>2955</v>
      </c>
      <c r="E936" t="s">
        <v>2956</v>
      </c>
      <c r="F936" t="s">
        <v>179</v>
      </c>
      <c r="G936" t="s">
        <v>2957</v>
      </c>
      <c r="H936" t="s">
        <v>132</v>
      </c>
      <c r="I936" t="s">
        <v>134</v>
      </c>
      <c r="J936" t="s">
        <v>135</v>
      </c>
      <c r="K936" t="s">
        <v>69</v>
      </c>
      <c r="L936" t="s">
        <v>2958</v>
      </c>
      <c r="M936" t="s">
        <v>71</v>
      </c>
      <c r="N936" t="s">
        <v>198</v>
      </c>
      <c r="O936" t="s">
        <v>2893</v>
      </c>
      <c r="P936" t="s">
        <v>2894</v>
      </c>
      <c r="R936" t="s">
        <v>2518</v>
      </c>
      <c r="S936" t="s">
        <v>183</v>
      </c>
      <c r="T936" t="s">
        <v>291</v>
      </c>
      <c r="U936" t="s">
        <v>383</v>
      </c>
      <c r="V936" t="s">
        <v>384</v>
      </c>
      <c r="W936">
        <v>1080</v>
      </c>
      <c r="X936">
        <v>44.99</v>
      </c>
      <c r="Y936">
        <v>139</v>
      </c>
      <c r="Z936">
        <v>779000</v>
      </c>
      <c r="AA936">
        <v>275400</v>
      </c>
      <c r="AB936">
        <v>670</v>
      </c>
      <c r="AD936" t="s">
        <v>238</v>
      </c>
      <c r="AE936">
        <v>2</v>
      </c>
      <c r="AF936">
        <v>0</v>
      </c>
      <c r="AI936">
        <v>10</v>
      </c>
      <c r="AJ936">
        <v>10</v>
      </c>
      <c r="AK936">
        <v>20</v>
      </c>
      <c r="AL936">
        <v>255</v>
      </c>
      <c r="AM936">
        <v>21</v>
      </c>
      <c r="AN936">
        <v>0</v>
      </c>
      <c r="AO936">
        <v>21</v>
      </c>
      <c r="AP936" t="s">
        <v>80</v>
      </c>
      <c r="AQ936" t="s">
        <v>184</v>
      </c>
      <c r="AT936" t="s">
        <v>240</v>
      </c>
      <c r="AU936" t="s">
        <v>86</v>
      </c>
      <c r="AV936" t="s">
        <v>2959</v>
      </c>
      <c r="AW936" t="s">
        <v>69</v>
      </c>
      <c r="AX936" t="s">
        <v>126</v>
      </c>
      <c r="AY936" t="s">
        <v>2960</v>
      </c>
      <c r="AZ936" t="s">
        <v>243</v>
      </c>
      <c r="BA936" t="s">
        <v>244</v>
      </c>
      <c r="BB936" t="s">
        <v>243</v>
      </c>
      <c r="BC936" t="s">
        <v>245</v>
      </c>
      <c r="BD936" t="s">
        <v>2966</v>
      </c>
      <c r="BE936" t="s">
        <v>2961</v>
      </c>
      <c r="BF936" t="s">
        <v>291</v>
      </c>
      <c r="BG936" t="s">
        <v>110</v>
      </c>
      <c r="BH936" t="str">
        <f>IF(COUNTIF(工作表1!A:A, $C936)&gt;0, "預購款", "非預購款")</f>
        <v>非預購款</v>
      </c>
    </row>
    <row r="937" spans="1:60" x14ac:dyDescent="0.25">
      <c r="A937" t="s">
        <v>2967</v>
      </c>
      <c r="B937" t="s">
        <v>226</v>
      </c>
      <c r="C937" t="s">
        <v>2968</v>
      </c>
      <c r="D937" t="s">
        <v>2969</v>
      </c>
      <c r="E937" t="s">
        <v>2970</v>
      </c>
      <c r="F937" t="s">
        <v>179</v>
      </c>
      <c r="G937" t="s">
        <v>2971</v>
      </c>
      <c r="H937" t="s">
        <v>119</v>
      </c>
      <c r="I937" t="s">
        <v>97</v>
      </c>
      <c r="J937" t="s">
        <v>98</v>
      </c>
      <c r="K937" t="s">
        <v>69</v>
      </c>
      <c r="L937" t="s">
        <v>2972</v>
      </c>
      <c r="M937" t="s">
        <v>71</v>
      </c>
      <c r="N937" t="s">
        <v>198</v>
      </c>
      <c r="O937" t="s">
        <v>2893</v>
      </c>
      <c r="P937" t="s">
        <v>2894</v>
      </c>
      <c r="R937" t="s">
        <v>2518</v>
      </c>
      <c r="S937" t="s">
        <v>183</v>
      </c>
      <c r="T937" t="s">
        <v>76</v>
      </c>
      <c r="U937" t="s">
        <v>383</v>
      </c>
      <c r="V937" t="s">
        <v>384</v>
      </c>
      <c r="W937">
        <v>990</v>
      </c>
      <c r="X937">
        <v>39.99</v>
      </c>
      <c r="Y937">
        <v>129</v>
      </c>
      <c r="Z937">
        <v>709000</v>
      </c>
      <c r="AA937">
        <v>435600</v>
      </c>
      <c r="AB937">
        <v>204</v>
      </c>
      <c r="AD937" t="s">
        <v>238</v>
      </c>
      <c r="AE937">
        <v>1</v>
      </c>
      <c r="AF937">
        <v>15</v>
      </c>
      <c r="AI937">
        <v>0</v>
      </c>
      <c r="AJ937">
        <v>210</v>
      </c>
      <c r="AK937">
        <v>225</v>
      </c>
      <c r="AL937">
        <v>440</v>
      </c>
      <c r="AM937">
        <v>228</v>
      </c>
      <c r="AN937">
        <v>0</v>
      </c>
      <c r="AO937">
        <v>228</v>
      </c>
      <c r="AP937" t="s">
        <v>80</v>
      </c>
      <c r="AQ937" t="s">
        <v>1151</v>
      </c>
      <c r="AR937" t="s">
        <v>86</v>
      </c>
      <c r="AS937" t="s">
        <v>86</v>
      </c>
      <c r="AT937" t="s">
        <v>240</v>
      </c>
      <c r="AU937" t="s">
        <v>86</v>
      </c>
      <c r="AV937" t="s">
        <v>81</v>
      </c>
      <c r="AW937" t="s">
        <v>69</v>
      </c>
      <c r="AX937" t="s">
        <v>126</v>
      </c>
      <c r="AY937" t="s">
        <v>858</v>
      </c>
      <c r="AZ937" t="s">
        <v>264</v>
      </c>
      <c r="BA937" t="s">
        <v>245</v>
      </c>
      <c r="BB937" t="s">
        <v>245</v>
      </c>
      <c r="BC937" t="s">
        <v>243</v>
      </c>
      <c r="BD937" t="s">
        <v>2973</v>
      </c>
      <c r="BE937" t="s">
        <v>2974</v>
      </c>
      <c r="BF937" t="s">
        <v>86</v>
      </c>
      <c r="BG937" t="s">
        <v>110</v>
      </c>
      <c r="BH937" t="str">
        <f>IF(COUNTIF(工作表1!A:A, $C937)&gt;0, "預購款", "非預購款")</f>
        <v>非預購款</v>
      </c>
    </row>
    <row r="938" spans="1:60" x14ac:dyDescent="0.25">
      <c r="A938" t="s">
        <v>2967</v>
      </c>
      <c r="B938" t="s">
        <v>226</v>
      </c>
      <c r="C938" t="s">
        <v>2968</v>
      </c>
      <c r="D938" t="s">
        <v>2969</v>
      </c>
      <c r="E938" t="s">
        <v>2970</v>
      </c>
      <c r="F938" t="s">
        <v>179</v>
      </c>
      <c r="G938" t="s">
        <v>2971</v>
      </c>
      <c r="H938" t="s">
        <v>130</v>
      </c>
      <c r="I938" t="s">
        <v>97</v>
      </c>
      <c r="J938" t="s">
        <v>98</v>
      </c>
      <c r="K938" t="s">
        <v>69</v>
      </c>
      <c r="L938" t="s">
        <v>2972</v>
      </c>
      <c r="M938" t="s">
        <v>71</v>
      </c>
      <c r="N938" t="s">
        <v>198</v>
      </c>
      <c r="O938" t="s">
        <v>2893</v>
      </c>
      <c r="P938" t="s">
        <v>2894</v>
      </c>
      <c r="R938" t="s">
        <v>2518</v>
      </c>
      <c r="S938" t="s">
        <v>183</v>
      </c>
      <c r="T938" t="s">
        <v>76</v>
      </c>
      <c r="U938" t="s">
        <v>383</v>
      </c>
      <c r="V938" t="s">
        <v>384</v>
      </c>
      <c r="W938">
        <v>990</v>
      </c>
      <c r="X938">
        <v>39.99</v>
      </c>
      <c r="Y938">
        <v>129</v>
      </c>
      <c r="Z938">
        <v>709000</v>
      </c>
      <c r="AA938">
        <v>435600</v>
      </c>
      <c r="AB938">
        <v>204</v>
      </c>
      <c r="AD938" t="s">
        <v>238</v>
      </c>
      <c r="AE938">
        <v>1</v>
      </c>
      <c r="AF938">
        <v>10</v>
      </c>
      <c r="AI938">
        <v>0</v>
      </c>
      <c r="AJ938">
        <v>170</v>
      </c>
      <c r="AK938">
        <v>180</v>
      </c>
      <c r="AL938">
        <v>440</v>
      </c>
      <c r="AM938">
        <v>184</v>
      </c>
      <c r="AN938">
        <v>0</v>
      </c>
      <c r="AO938">
        <v>184</v>
      </c>
      <c r="AP938" t="s">
        <v>80</v>
      </c>
      <c r="AQ938" t="s">
        <v>1151</v>
      </c>
      <c r="AR938" t="s">
        <v>86</v>
      </c>
      <c r="AS938" t="s">
        <v>86</v>
      </c>
      <c r="AT938" t="s">
        <v>240</v>
      </c>
      <c r="AU938" t="s">
        <v>86</v>
      </c>
      <c r="AV938" t="s">
        <v>81</v>
      </c>
      <c r="AW938" t="s">
        <v>69</v>
      </c>
      <c r="AX938" t="s">
        <v>126</v>
      </c>
      <c r="AY938" t="s">
        <v>858</v>
      </c>
      <c r="AZ938" t="s">
        <v>264</v>
      </c>
      <c r="BA938" t="s">
        <v>245</v>
      </c>
      <c r="BB938" t="s">
        <v>245</v>
      </c>
      <c r="BC938" t="s">
        <v>243</v>
      </c>
      <c r="BD938" t="s">
        <v>2975</v>
      </c>
      <c r="BE938" t="s">
        <v>2974</v>
      </c>
      <c r="BF938" t="s">
        <v>86</v>
      </c>
      <c r="BG938" t="s">
        <v>110</v>
      </c>
      <c r="BH938" t="str">
        <f>IF(COUNTIF(工作表1!A:A, $C938)&gt;0, "預購款", "非預購款")</f>
        <v>非預購款</v>
      </c>
    </row>
    <row r="939" spans="1:60" x14ac:dyDescent="0.25">
      <c r="A939" t="s">
        <v>2967</v>
      </c>
      <c r="B939" t="s">
        <v>226</v>
      </c>
      <c r="C939" t="s">
        <v>2968</v>
      </c>
      <c r="D939" t="s">
        <v>2969</v>
      </c>
      <c r="E939" t="s">
        <v>2970</v>
      </c>
      <c r="F939" t="s">
        <v>179</v>
      </c>
      <c r="G939" t="s">
        <v>2971</v>
      </c>
      <c r="H939" t="s">
        <v>132</v>
      </c>
      <c r="I939" t="s">
        <v>97</v>
      </c>
      <c r="J939" t="s">
        <v>98</v>
      </c>
      <c r="K939" t="s">
        <v>69</v>
      </c>
      <c r="L939" t="s">
        <v>2972</v>
      </c>
      <c r="M939" t="s">
        <v>71</v>
      </c>
      <c r="N939" t="s">
        <v>198</v>
      </c>
      <c r="O939" t="s">
        <v>2893</v>
      </c>
      <c r="P939" t="s">
        <v>2894</v>
      </c>
      <c r="R939" t="s">
        <v>2518</v>
      </c>
      <c r="S939" t="s">
        <v>183</v>
      </c>
      <c r="T939" t="s">
        <v>76</v>
      </c>
      <c r="U939" t="s">
        <v>383</v>
      </c>
      <c r="V939" t="s">
        <v>384</v>
      </c>
      <c r="W939">
        <v>990</v>
      </c>
      <c r="X939">
        <v>39.99</v>
      </c>
      <c r="Y939">
        <v>129</v>
      </c>
      <c r="Z939">
        <v>709000</v>
      </c>
      <c r="AA939">
        <v>435600</v>
      </c>
      <c r="AB939">
        <v>204</v>
      </c>
      <c r="AD939" t="s">
        <v>238</v>
      </c>
      <c r="AE939">
        <v>1</v>
      </c>
      <c r="AF939">
        <v>5</v>
      </c>
      <c r="AI939">
        <v>0</v>
      </c>
      <c r="AJ939">
        <v>30</v>
      </c>
      <c r="AK939">
        <v>35</v>
      </c>
      <c r="AL939">
        <v>440</v>
      </c>
      <c r="AM939">
        <v>37</v>
      </c>
      <c r="AN939">
        <v>0</v>
      </c>
      <c r="AO939">
        <v>37</v>
      </c>
      <c r="AP939" t="s">
        <v>80</v>
      </c>
      <c r="AQ939" t="s">
        <v>1151</v>
      </c>
      <c r="AR939" t="s">
        <v>86</v>
      </c>
      <c r="AS939" t="s">
        <v>86</v>
      </c>
      <c r="AT939" t="s">
        <v>240</v>
      </c>
      <c r="AU939" t="s">
        <v>86</v>
      </c>
      <c r="AV939" t="s">
        <v>81</v>
      </c>
      <c r="AW939" t="s">
        <v>69</v>
      </c>
      <c r="AX939" t="s">
        <v>126</v>
      </c>
      <c r="AY939" t="s">
        <v>858</v>
      </c>
      <c r="AZ939" t="s">
        <v>264</v>
      </c>
      <c r="BA939" t="s">
        <v>245</v>
      </c>
      <c r="BB939" t="s">
        <v>245</v>
      </c>
      <c r="BC939" t="s">
        <v>243</v>
      </c>
      <c r="BD939" t="s">
        <v>2976</v>
      </c>
      <c r="BE939" t="s">
        <v>2974</v>
      </c>
      <c r="BF939" t="s">
        <v>86</v>
      </c>
      <c r="BG939" t="s">
        <v>110</v>
      </c>
      <c r="BH939" t="str">
        <f>IF(COUNTIF(工作表1!A:A, $C939)&gt;0, "預購款", "非預購款")</f>
        <v>非預購款</v>
      </c>
    </row>
    <row r="940" spans="1:60" x14ac:dyDescent="0.25">
      <c r="A940" t="s">
        <v>2977</v>
      </c>
      <c r="B940" t="s">
        <v>226</v>
      </c>
      <c r="C940" t="s">
        <v>2978</v>
      </c>
      <c r="D940" t="s">
        <v>2979</v>
      </c>
      <c r="E940" t="s">
        <v>2980</v>
      </c>
      <c r="F940" t="s">
        <v>179</v>
      </c>
      <c r="G940" t="s">
        <v>2981</v>
      </c>
      <c r="H940" t="s">
        <v>273</v>
      </c>
      <c r="I940" t="s">
        <v>120</v>
      </c>
      <c r="J940" t="s">
        <v>121</v>
      </c>
      <c r="K940" t="s">
        <v>69</v>
      </c>
      <c r="L940" t="s">
        <v>2972</v>
      </c>
      <c r="M940" t="s">
        <v>71</v>
      </c>
      <c r="N940" t="s">
        <v>198</v>
      </c>
      <c r="O940" t="s">
        <v>2893</v>
      </c>
      <c r="P940" t="s">
        <v>2894</v>
      </c>
      <c r="R940" t="s">
        <v>2518</v>
      </c>
      <c r="S940" t="s">
        <v>183</v>
      </c>
      <c r="T940" t="s">
        <v>274</v>
      </c>
      <c r="U940" t="s">
        <v>383</v>
      </c>
      <c r="V940" t="s">
        <v>384</v>
      </c>
      <c r="W940">
        <v>1080</v>
      </c>
      <c r="X940">
        <v>44.99</v>
      </c>
      <c r="Y940">
        <v>139</v>
      </c>
      <c r="Z940">
        <v>779000</v>
      </c>
      <c r="AA940">
        <v>106920</v>
      </c>
      <c r="AB940">
        <v>642</v>
      </c>
      <c r="AD940" t="s">
        <v>238</v>
      </c>
      <c r="AE940">
        <v>1</v>
      </c>
      <c r="AF940">
        <v>6</v>
      </c>
      <c r="AI940">
        <v>0</v>
      </c>
      <c r="AJ940">
        <v>40</v>
      </c>
      <c r="AK940">
        <v>46</v>
      </c>
      <c r="AL940">
        <v>99</v>
      </c>
      <c r="AM940">
        <v>49</v>
      </c>
      <c r="AN940">
        <v>0</v>
      </c>
      <c r="AO940">
        <v>49</v>
      </c>
      <c r="AP940" t="s">
        <v>80</v>
      </c>
      <c r="AQ940" t="s">
        <v>1151</v>
      </c>
      <c r="AS940" t="s">
        <v>86</v>
      </c>
      <c r="AT940" t="s">
        <v>86</v>
      </c>
      <c r="AU940" t="s">
        <v>86</v>
      </c>
      <c r="AV940" t="s">
        <v>2982</v>
      </c>
      <c r="AW940" t="s">
        <v>69</v>
      </c>
      <c r="AX940" t="s">
        <v>126</v>
      </c>
      <c r="AY940" t="s">
        <v>1809</v>
      </c>
      <c r="AZ940" t="s">
        <v>264</v>
      </c>
      <c r="BA940" t="s">
        <v>245</v>
      </c>
      <c r="BB940" t="s">
        <v>245</v>
      </c>
      <c r="BC940" t="s">
        <v>243</v>
      </c>
      <c r="BD940" t="s">
        <v>2983</v>
      </c>
      <c r="BE940" t="s">
        <v>2984</v>
      </c>
      <c r="BF940" t="s">
        <v>279</v>
      </c>
      <c r="BG940" t="s">
        <v>110</v>
      </c>
      <c r="BH940" t="str">
        <f>IF(COUNTIF(工作表1!A:A, $C940)&gt;0, "預購款", "非預購款")</f>
        <v>非預購款</v>
      </c>
    </row>
    <row r="941" spans="1:60" x14ac:dyDescent="0.25">
      <c r="A941" t="s">
        <v>2977</v>
      </c>
      <c r="B941" t="s">
        <v>226</v>
      </c>
      <c r="C941" t="s">
        <v>2978</v>
      </c>
      <c r="D941" t="s">
        <v>2979</v>
      </c>
      <c r="E941" t="s">
        <v>2980</v>
      </c>
      <c r="F941" t="s">
        <v>179</v>
      </c>
      <c r="G941" t="s">
        <v>2981</v>
      </c>
      <c r="H941" t="s">
        <v>501</v>
      </c>
      <c r="I941" t="s">
        <v>120</v>
      </c>
      <c r="J941" t="s">
        <v>121</v>
      </c>
      <c r="K941" t="s">
        <v>69</v>
      </c>
      <c r="L941" t="s">
        <v>2972</v>
      </c>
      <c r="M941" t="s">
        <v>71</v>
      </c>
      <c r="N941" t="s">
        <v>198</v>
      </c>
      <c r="O941" t="s">
        <v>2893</v>
      </c>
      <c r="P941" t="s">
        <v>2894</v>
      </c>
      <c r="R941" t="s">
        <v>2518</v>
      </c>
      <c r="S941" t="s">
        <v>183</v>
      </c>
      <c r="T941" t="s">
        <v>274</v>
      </c>
      <c r="U941" t="s">
        <v>383</v>
      </c>
      <c r="V941" t="s">
        <v>384</v>
      </c>
      <c r="W941">
        <v>1080</v>
      </c>
      <c r="X941">
        <v>44.99</v>
      </c>
      <c r="Y941">
        <v>139</v>
      </c>
      <c r="Z941">
        <v>779000</v>
      </c>
      <c r="AA941">
        <v>106920</v>
      </c>
      <c r="AB941">
        <v>642</v>
      </c>
      <c r="AD941" t="s">
        <v>238</v>
      </c>
      <c r="AE941">
        <v>1</v>
      </c>
      <c r="AF941">
        <v>0</v>
      </c>
      <c r="AI941">
        <v>0</v>
      </c>
      <c r="AJ941">
        <v>15</v>
      </c>
      <c r="AK941">
        <v>15</v>
      </c>
      <c r="AL941">
        <v>99</v>
      </c>
      <c r="AM941">
        <v>16</v>
      </c>
      <c r="AN941">
        <v>0</v>
      </c>
      <c r="AO941">
        <v>16</v>
      </c>
      <c r="AP941" t="s">
        <v>80</v>
      </c>
      <c r="AQ941" t="s">
        <v>1151</v>
      </c>
      <c r="AS941" t="s">
        <v>86</v>
      </c>
      <c r="AT941" t="s">
        <v>86</v>
      </c>
      <c r="AU941" t="s">
        <v>86</v>
      </c>
      <c r="AV941" t="s">
        <v>2982</v>
      </c>
      <c r="AW941" t="s">
        <v>69</v>
      </c>
      <c r="AX941" t="s">
        <v>126</v>
      </c>
      <c r="AY941" t="s">
        <v>1809</v>
      </c>
      <c r="AZ941" t="s">
        <v>264</v>
      </c>
      <c r="BA941" t="s">
        <v>245</v>
      </c>
      <c r="BB941" t="s">
        <v>245</v>
      </c>
      <c r="BC941" t="s">
        <v>243</v>
      </c>
      <c r="BD941" t="s">
        <v>2985</v>
      </c>
      <c r="BE941" t="s">
        <v>2984</v>
      </c>
      <c r="BF941" t="s">
        <v>279</v>
      </c>
      <c r="BG941" t="s">
        <v>110</v>
      </c>
      <c r="BH941" t="str">
        <f>IF(COUNTIF(工作表1!A:A, $C941)&gt;0, "預購款", "非預購款")</f>
        <v>非預購款</v>
      </c>
    </row>
    <row r="942" spans="1:60" x14ac:dyDescent="0.25">
      <c r="A942" t="s">
        <v>2977</v>
      </c>
      <c r="B942" t="s">
        <v>226</v>
      </c>
      <c r="C942" t="s">
        <v>2978</v>
      </c>
      <c r="D942" t="s">
        <v>2979</v>
      </c>
      <c r="E942" t="s">
        <v>2980</v>
      </c>
      <c r="F942" t="s">
        <v>179</v>
      </c>
      <c r="G942" t="s">
        <v>2981</v>
      </c>
      <c r="H942" t="s">
        <v>280</v>
      </c>
      <c r="I942" t="s">
        <v>120</v>
      </c>
      <c r="J942" t="s">
        <v>121</v>
      </c>
      <c r="K942" t="s">
        <v>69</v>
      </c>
      <c r="L942" t="s">
        <v>2972</v>
      </c>
      <c r="M942" t="s">
        <v>71</v>
      </c>
      <c r="N942" t="s">
        <v>198</v>
      </c>
      <c r="O942" t="s">
        <v>2893</v>
      </c>
      <c r="P942" t="s">
        <v>2894</v>
      </c>
      <c r="R942" t="s">
        <v>2518</v>
      </c>
      <c r="S942" t="s">
        <v>183</v>
      </c>
      <c r="T942" t="s">
        <v>274</v>
      </c>
      <c r="U942" t="s">
        <v>383</v>
      </c>
      <c r="V942" t="s">
        <v>384</v>
      </c>
      <c r="W942">
        <v>1080</v>
      </c>
      <c r="X942">
        <v>44.99</v>
      </c>
      <c r="Y942">
        <v>139</v>
      </c>
      <c r="Z942">
        <v>779000</v>
      </c>
      <c r="AA942">
        <v>106920</v>
      </c>
      <c r="AB942">
        <v>642</v>
      </c>
      <c r="AD942" t="s">
        <v>238</v>
      </c>
      <c r="AE942">
        <v>1</v>
      </c>
      <c r="AF942">
        <v>3</v>
      </c>
      <c r="AI942">
        <v>0</v>
      </c>
      <c r="AJ942">
        <v>35</v>
      </c>
      <c r="AK942">
        <v>38</v>
      </c>
      <c r="AL942">
        <v>99</v>
      </c>
      <c r="AM942">
        <v>39</v>
      </c>
      <c r="AN942">
        <v>0</v>
      </c>
      <c r="AO942">
        <v>39</v>
      </c>
      <c r="AP942" t="s">
        <v>80</v>
      </c>
      <c r="AQ942" t="s">
        <v>1151</v>
      </c>
      <c r="AS942" t="s">
        <v>86</v>
      </c>
      <c r="AT942" t="s">
        <v>86</v>
      </c>
      <c r="AU942" t="s">
        <v>86</v>
      </c>
      <c r="AV942" t="s">
        <v>2982</v>
      </c>
      <c r="AW942" t="s">
        <v>69</v>
      </c>
      <c r="AX942" t="s">
        <v>126</v>
      </c>
      <c r="AY942" t="s">
        <v>1809</v>
      </c>
      <c r="AZ942" t="s">
        <v>264</v>
      </c>
      <c r="BA942" t="s">
        <v>245</v>
      </c>
      <c r="BB942" t="s">
        <v>245</v>
      </c>
      <c r="BC942" t="s">
        <v>243</v>
      </c>
      <c r="BD942" t="s">
        <v>2986</v>
      </c>
      <c r="BE942" t="s">
        <v>2984</v>
      </c>
      <c r="BF942" t="s">
        <v>279</v>
      </c>
      <c r="BG942" t="s">
        <v>110</v>
      </c>
      <c r="BH942" t="str">
        <f>IF(COUNTIF(工作表1!A:A, $C942)&gt;0, "預購款", "非預購款")</f>
        <v>非預購款</v>
      </c>
    </row>
    <row r="943" spans="1:60" x14ac:dyDescent="0.25">
      <c r="A943" t="s">
        <v>2998</v>
      </c>
      <c r="B943" t="s">
        <v>226</v>
      </c>
      <c r="C943" t="s">
        <v>2999</v>
      </c>
      <c r="D943" t="s">
        <v>3000</v>
      </c>
      <c r="E943" t="s">
        <v>3001</v>
      </c>
      <c r="F943" t="s">
        <v>179</v>
      </c>
      <c r="G943" t="s">
        <v>3002</v>
      </c>
      <c r="H943" t="s">
        <v>119</v>
      </c>
      <c r="I943" t="s">
        <v>97</v>
      </c>
      <c r="J943" t="s">
        <v>98</v>
      </c>
      <c r="K943" t="s">
        <v>69</v>
      </c>
      <c r="L943" t="s">
        <v>3003</v>
      </c>
      <c r="M943" t="s">
        <v>71</v>
      </c>
      <c r="N943" t="s">
        <v>100</v>
      </c>
      <c r="O943" t="s">
        <v>2893</v>
      </c>
      <c r="P943" t="s">
        <v>2894</v>
      </c>
      <c r="R943" t="s">
        <v>2518</v>
      </c>
      <c r="S943" t="s">
        <v>183</v>
      </c>
      <c r="T943" t="s">
        <v>76</v>
      </c>
      <c r="U943" t="s">
        <v>104</v>
      </c>
      <c r="V943" t="s">
        <v>653</v>
      </c>
      <c r="W943">
        <v>590</v>
      </c>
      <c r="X943">
        <v>29.99</v>
      </c>
      <c r="Y943">
        <v>75</v>
      </c>
      <c r="Z943">
        <v>429000</v>
      </c>
      <c r="AA943">
        <v>147500</v>
      </c>
      <c r="AB943">
        <v>202</v>
      </c>
      <c r="AD943" t="s">
        <v>238</v>
      </c>
      <c r="AE943">
        <v>1</v>
      </c>
      <c r="AF943">
        <v>10</v>
      </c>
      <c r="AI943">
        <v>0</v>
      </c>
      <c r="AJ943">
        <v>130</v>
      </c>
      <c r="AK943">
        <v>140</v>
      </c>
      <c r="AL943">
        <v>250</v>
      </c>
      <c r="AM943">
        <v>125</v>
      </c>
      <c r="AN943">
        <v>0</v>
      </c>
      <c r="AO943">
        <v>125</v>
      </c>
      <c r="AP943" t="s">
        <v>80</v>
      </c>
      <c r="AQ943" t="s">
        <v>190</v>
      </c>
      <c r="AR943" t="s">
        <v>86</v>
      </c>
      <c r="AS943" t="s">
        <v>86</v>
      </c>
      <c r="AT943" t="s">
        <v>86</v>
      </c>
      <c r="AU943" t="s">
        <v>86</v>
      </c>
      <c r="AV943" t="s">
        <v>1033</v>
      </c>
      <c r="AW943" t="s">
        <v>69</v>
      </c>
      <c r="AX943" t="s">
        <v>218</v>
      </c>
      <c r="AY943" t="s">
        <v>2947</v>
      </c>
      <c r="AZ943" t="s">
        <v>243</v>
      </c>
      <c r="BA943" t="s">
        <v>244</v>
      </c>
      <c r="BB943" t="s">
        <v>244</v>
      </c>
      <c r="BC943" t="s">
        <v>244</v>
      </c>
      <c r="BD943" t="s">
        <v>3004</v>
      </c>
      <c r="BE943" t="s">
        <v>3005</v>
      </c>
      <c r="BF943" t="s">
        <v>786</v>
      </c>
      <c r="BG943" t="s">
        <v>150</v>
      </c>
      <c r="BH943" t="str">
        <f>IF(COUNTIF(工作表1!A:A, $C943)&gt;0, "預購款", "非預購款")</f>
        <v>非預購款</v>
      </c>
    </row>
    <row r="944" spans="1:60" x14ac:dyDescent="0.25">
      <c r="A944" t="s">
        <v>2998</v>
      </c>
      <c r="B944" t="s">
        <v>226</v>
      </c>
      <c r="C944" t="s">
        <v>2999</v>
      </c>
      <c r="D944" t="s">
        <v>3000</v>
      </c>
      <c r="E944" t="s">
        <v>3001</v>
      </c>
      <c r="F944" t="s">
        <v>179</v>
      </c>
      <c r="G944" t="s">
        <v>3002</v>
      </c>
      <c r="H944" t="s">
        <v>130</v>
      </c>
      <c r="I944" t="s">
        <v>97</v>
      </c>
      <c r="J944" t="s">
        <v>98</v>
      </c>
      <c r="K944" t="s">
        <v>69</v>
      </c>
      <c r="L944" t="s">
        <v>3003</v>
      </c>
      <c r="M944" t="s">
        <v>71</v>
      </c>
      <c r="N944" t="s">
        <v>100</v>
      </c>
      <c r="O944" t="s">
        <v>2893</v>
      </c>
      <c r="P944" t="s">
        <v>2894</v>
      </c>
      <c r="R944" t="s">
        <v>2518</v>
      </c>
      <c r="S944" t="s">
        <v>183</v>
      </c>
      <c r="T944" t="s">
        <v>76</v>
      </c>
      <c r="U944" t="s">
        <v>104</v>
      </c>
      <c r="V944" t="s">
        <v>653</v>
      </c>
      <c r="W944">
        <v>590</v>
      </c>
      <c r="X944">
        <v>29.99</v>
      </c>
      <c r="Y944">
        <v>75</v>
      </c>
      <c r="Z944">
        <v>429000</v>
      </c>
      <c r="AA944">
        <v>147500</v>
      </c>
      <c r="AB944">
        <v>202</v>
      </c>
      <c r="AD944" t="s">
        <v>238</v>
      </c>
      <c r="AE944">
        <v>1</v>
      </c>
      <c r="AF944">
        <v>5</v>
      </c>
      <c r="AI944">
        <v>0</v>
      </c>
      <c r="AJ944">
        <v>85</v>
      </c>
      <c r="AK944">
        <v>90</v>
      </c>
      <c r="AL944">
        <v>250</v>
      </c>
      <c r="AM944">
        <v>90</v>
      </c>
      <c r="AN944">
        <v>0</v>
      </c>
      <c r="AO944">
        <v>90</v>
      </c>
      <c r="AP944" t="s">
        <v>80</v>
      </c>
      <c r="AQ944" t="s">
        <v>190</v>
      </c>
      <c r="AR944" t="s">
        <v>86</v>
      </c>
      <c r="AS944" t="s">
        <v>86</v>
      </c>
      <c r="AT944" t="s">
        <v>86</v>
      </c>
      <c r="AU944" t="s">
        <v>86</v>
      </c>
      <c r="AV944" t="s">
        <v>1033</v>
      </c>
      <c r="AW944" t="s">
        <v>69</v>
      </c>
      <c r="AX944" t="s">
        <v>218</v>
      </c>
      <c r="AY944" t="s">
        <v>2947</v>
      </c>
      <c r="AZ944" t="s">
        <v>243</v>
      </c>
      <c r="BA944" t="s">
        <v>244</v>
      </c>
      <c r="BB944" t="s">
        <v>244</v>
      </c>
      <c r="BC944" t="s">
        <v>244</v>
      </c>
      <c r="BD944" t="s">
        <v>3006</v>
      </c>
      <c r="BE944" t="s">
        <v>3005</v>
      </c>
      <c r="BF944" t="s">
        <v>786</v>
      </c>
      <c r="BG944" t="s">
        <v>150</v>
      </c>
      <c r="BH944" t="str">
        <f>IF(COUNTIF(工作表1!A:A, $C944)&gt;0, "預購款", "非預購款")</f>
        <v>非預購款</v>
      </c>
    </row>
    <row r="945" spans="1:60" x14ac:dyDescent="0.25">
      <c r="A945" t="s">
        <v>2998</v>
      </c>
      <c r="B945" t="s">
        <v>226</v>
      </c>
      <c r="C945" t="s">
        <v>2999</v>
      </c>
      <c r="D945" t="s">
        <v>3000</v>
      </c>
      <c r="E945" t="s">
        <v>3001</v>
      </c>
      <c r="F945" t="s">
        <v>179</v>
      </c>
      <c r="G945" t="s">
        <v>3002</v>
      </c>
      <c r="H945" t="s">
        <v>132</v>
      </c>
      <c r="I945" t="s">
        <v>97</v>
      </c>
      <c r="J945" t="s">
        <v>98</v>
      </c>
      <c r="K945" t="s">
        <v>69</v>
      </c>
      <c r="L945" t="s">
        <v>3003</v>
      </c>
      <c r="M945" t="s">
        <v>71</v>
      </c>
      <c r="N945" t="s">
        <v>100</v>
      </c>
      <c r="O945" t="s">
        <v>2893</v>
      </c>
      <c r="P945" t="s">
        <v>2894</v>
      </c>
      <c r="R945" t="s">
        <v>2518</v>
      </c>
      <c r="S945" t="s">
        <v>183</v>
      </c>
      <c r="T945" t="s">
        <v>76</v>
      </c>
      <c r="U945" t="s">
        <v>104</v>
      </c>
      <c r="V945" t="s">
        <v>653</v>
      </c>
      <c r="W945">
        <v>590</v>
      </c>
      <c r="X945">
        <v>29.99</v>
      </c>
      <c r="Y945">
        <v>75</v>
      </c>
      <c r="Z945">
        <v>429000</v>
      </c>
      <c r="AA945">
        <v>147500</v>
      </c>
      <c r="AB945">
        <v>202</v>
      </c>
      <c r="AD945" t="s">
        <v>238</v>
      </c>
      <c r="AE945">
        <v>1</v>
      </c>
      <c r="AF945">
        <v>0</v>
      </c>
      <c r="AI945">
        <v>0</v>
      </c>
      <c r="AJ945">
        <v>20</v>
      </c>
      <c r="AK945">
        <v>20</v>
      </c>
      <c r="AL945">
        <v>250</v>
      </c>
      <c r="AM945">
        <v>17</v>
      </c>
      <c r="AN945">
        <v>0</v>
      </c>
      <c r="AO945">
        <v>17</v>
      </c>
      <c r="AP945" t="s">
        <v>80</v>
      </c>
      <c r="AQ945" t="s">
        <v>190</v>
      </c>
      <c r="AR945" t="s">
        <v>86</v>
      </c>
      <c r="AS945" t="s">
        <v>86</v>
      </c>
      <c r="AT945" t="s">
        <v>86</v>
      </c>
      <c r="AU945" t="s">
        <v>86</v>
      </c>
      <c r="AV945" t="s">
        <v>1033</v>
      </c>
      <c r="AW945" t="s">
        <v>69</v>
      </c>
      <c r="AX945" t="s">
        <v>218</v>
      </c>
      <c r="AY945" t="s">
        <v>2947</v>
      </c>
      <c r="AZ945" t="s">
        <v>243</v>
      </c>
      <c r="BA945" t="s">
        <v>244</v>
      </c>
      <c r="BB945" t="s">
        <v>244</v>
      </c>
      <c r="BC945" t="s">
        <v>244</v>
      </c>
      <c r="BD945" t="s">
        <v>3007</v>
      </c>
      <c r="BE945" t="s">
        <v>3005</v>
      </c>
      <c r="BF945" t="s">
        <v>786</v>
      </c>
      <c r="BG945" t="s">
        <v>150</v>
      </c>
      <c r="BH945" t="str">
        <f>IF(COUNTIF(工作表1!A:A, $C945)&gt;0, "預購款", "非預購款")</f>
        <v>非預購款</v>
      </c>
    </row>
    <row r="946" spans="1:60" x14ac:dyDescent="0.25">
      <c r="A946" t="s">
        <v>1236</v>
      </c>
      <c r="B946" t="s">
        <v>283</v>
      </c>
      <c r="C946" t="s">
        <v>1237</v>
      </c>
      <c r="D946" t="s">
        <v>1238</v>
      </c>
      <c r="E946" t="s">
        <v>1239</v>
      </c>
      <c r="F946" t="s">
        <v>179</v>
      </c>
      <c r="G946" t="s">
        <v>1240</v>
      </c>
      <c r="H946" t="s">
        <v>119</v>
      </c>
      <c r="I946" t="s">
        <v>97</v>
      </c>
      <c r="J946" t="s">
        <v>98</v>
      </c>
      <c r="K946" t="s">
        <v>69</v>
      </c>
      <c r="L946" t="s">
        <v>1241</v>
      </c>
      <c r="M946" t="s">
        <v>71</v>
      </c>
      <c r="N946" t="s">
        <v>100</v>
      </c>
      <c r="O946" t="s">
        <v>1136</v>
      </c>
      <c r="P946" t="s">
        <v>1137</v>
      </c>
      <c r="R946" t="s">
        <v>1138</v>
      </c>
      <c r="S946" t="s">
        <v>183</v>
      </c>
      <c r="T946" t="s">
        <v>76</v>
      </c>
      <c r="U946" t="s">
        <v>104</v>
      </c>
      <c r="V946" t="s">
        <v>653</v>
      </c>
      <c r="W946">
        <v>490</v>
      </c>
      <c r="X946">
        <v>22.99</v>
      </c>
      <c r="Y946">
        <v>60</v>
      </c>
      <c r="Z946">
        <v>355000</v>
      </c>
      <c r="AA946">
        <v>333200</v>
      </c>
      <c r="AB946">
        <v>178</v>
      </c>
      <c r="AD946" t="s">
        <v>238</v>
      </c>
      <c r="AE946">
        <v>2</v>
      </c>
      <c r="AF946">
        <v>0</v>
      </c>
      <c r="AI946">
        <v>60</v>
      </c>
      <c r="AJ946">
        <v>170</v>
      </c>
      <c r="AK946">
        <v>230</v>
      </c>
      <c r="AL946">
        <v>680</v>
      </c>
      <c r="AM946">
        <v>239</v>
      </c>
      <c r="AN946">
        <v>0</v>
      </c>
      <c r="AO946">
        <v>239</v>
      </c>
      <c r="AP946" t="s">
        <v>80</v>
      </c>
      <c r="AQ946" t="s">
        <v>184</v>
      </c>
      <c r="AR946" t="s">
        <v>261</v>
      </c>
      <c r="AS946" t="s">
        <v>261</v>
      </c>
      <c r="AT946" t="s">
        <v>261</v>
      </c>
      <c r="AU946" t="s">
        <v>261</v>
      </c>
      <c r="AV946" t="s">
        <v>1033</v>
      </c>
      <c r="AW946" t="s">
        <v>69</v>
      </c>
      <c r="AX946" t="s">
        <v>218</v>
      </c>
      <c r="AY946" t="s">
        <v>1242</v>
      </c>
      <c r="AZ946" t="s">
        <v>243</v>
      </c>
      <c r="BA946" t="s">
        <v>244</v>
      </c>
      <c r="BB946" t="s">
        <v>244</v>
      </c>
      <c r="BC946" t="s">
        <v>244</v>
      </c>
      <c r="BD946" t="s">
        <v>1243</v>
      </c>
      <c r="BE946" t="s">
        <v>3022</v>
      </c>
      <c r="BF946" t="s">
        <v>786</v>
      </c>
      <c r="BG946" t="s">
        <v>110</v>
      </c>
      <c r="BH946" t="str">
        <f>IF(COUNTIF(工作表1!A:A, $C946)&gt;0, "預購款", "非預購款")</f>
        <v>非預購款</v>
      </c>
    </row>
    <row r="947" spans="1:60" x14ac:dyDescent="0.25">
      <c r="A947" t="s">
        <v>1236</v>
      </c>
      <c r="B947" t="s">
        <v>283</v>
      </c>
      <c r="C947" t="s">
        <v>1237</v>
      </c>
      <c r="D947" t="s">
        <v>1238</v>
      </c>
      <c r="E947" t="s">
        <v>1239</v>
      </c>
      <c r="F947" t="s">
        <v>179</v>
      </c>
      <c r="G947" t="s">
        <v>1240</v>
      </c>
      <c r="H947" t="s">
        <v>130</v>
      </c>
      <c r="I947" t="s">
        <v>97</v>
      </c>
      <c r="J947" t="s">
        <v>98</v>
      </c>
      <c r="K947" t="s">
        <v>69</v>
      </c>
      <c r="L947" t="s">
        <v>1241</v>
      </c>
      <c r="M947" t="s">
        <v>71</v>
      </c>
      <c r="N947" t="s">
        <v>100</v>
      </c>
      <c r="O947" t="s">
        <v>1136</v>
      </c>
      <c r="P947" t="s">
        <v>1137</v>
      </c>
      <c r="R947" t="s">
        <v>1138</v>
      </c>
      <c r="S947" t="s">
        <v>183</v>
      </c>
      <c r="T947" t="s">
        <v>76</v>
      </c>
      <c r="U947" t="s">
        <v>104</v>
      </c>
      <c r="V947" t="s">
        <v>653</v>
      </c>
      <c r="W947">
        <v>490</v>
      </c>
      <c r="X947">
        <v>22.99</v>
      </c>
      <c r="Y947">
        <v>60</v>
      </c>
      <c r="Z947">
        <v>355000</v>
      </c>
      <c r="AA947">
        <v>333200</v>
      </c>
      <c r="AB947">
        <v>178</v>
      </c>
      <c r="AD947" t="s">
        <v>238</v>
      </c>
      <c r="AE947">
        <v>2</v>
      </c>
      <c r="AF947">
        <v>0</v>
      </c>
      <c r="AI947">
        <v>20</v>
      </c>
      <c r="AJ947">
        <v>60</v>
      </c>
      <c r="AK947">
        <v>80</v>
      </c>
      <c r="AL947">
        <v>680</v>
      </c>
      <c r="AM947">
        <v>80</v>
      </c>
      <c r="AN947">
        <v>0</v>
      </c>
      <c r="AO947">
        <v>80</v>
      </c>
      <c r="AP947" t="s">
        <v>80</v>
      </c>
      <c r="AQ947" t="s">
        <v>184</v>
      </c>
      <c r="AR947" t="s">
        <v>261</v>
      </c>
      <c r="AS947" t="s">
        <v>261</v>
      </c>
      <c r="AT947" t="s">
        <v>261</v>
      </c>
      <c r="AU947" t="s">
        <v>261</v>
      </c>
      <c r="AV947" t="s">
        <v>1033</v>
      </c>
      <c r="AW947" t="s">
        <v>69</v>
      </c>
      <c r="AX947" t="s">
        <v>218</v>
      </c>
      <c r="AY947" t="s">
        <v>1242</v>
      </c>
      <c r="AZ947" t="s">
        <v>243</v>
      </c>
      <c r="BA947" t="s">
        <v>244</v>
      </c>
      <c r="BB947" t="s">
        <v>244</v>
      </c>
      <c r="BC947" t="s">
        <v>244</v>
      </c>
      <c r="BD947" t="s">
        <v>1245</v>
      </c>
      <c r="BE947" t="s">
        <v>3022</v>
      </c>
      <c r="BF947" t="s">
        <v>786</v>
      </c>
      <c r="BG947" t="s">
        <v>110</v>
      </c>
      <c r="BH947" t="str">
        <f>IF(COUNTIF(工作表1!A:A, $C947)&gt;0, "預購款", "非預購款")</f>
        <v>非預購款</v>
      </c>
    </row>
    <row r="948" spans="1:60" x14ac:dyDescent="0.25">
      <c r="A948" t="s">
        <v>1236</v>
      </c>
      <c r="B948" t="s">
        <v>283</v>
      </c>
      <c r="C948" t="s">
        <v>1237</v>
      </c>
      <c r="D948" t="s">
        <v>1238</v>
      </c>
      <c r="E948" t="s">
        <v>1239</v>
      </c>
      <c r="F948" t="s">
        <v>179</v>
      </c>
      <c r="G948" t="s">
        <v>1240</v>
      </c>
      <c r="H948" t="s">
        <v>132</v>
      </c>
      <c r="I948" t="s">
        <v>97</v>
      </c>
      <c r="J948" t="s">
        <v>98</v>
      </c>
      <c r="K948" t="s">
        <v>69</v>
      </c>
      <c r="L948" t="s">
        <v>1241</v>
      </c>
      <c r="M948" t="s">
        <v>71</v>
      </c>
      <c r="N948" t="s">
        <v>100</v>
      </c>
      <c r="O948" t="s">
        <v>1136</v>
      </c>
      <c r="P948" t="s">
        <v>1137</v>
      </c>
      <c r="R948" t="s">
        <v>1138</v>
      </c>
      <c r="S948" t="s">
        <v>183</v>
      </c>
      <c r="T948" t="s">
        <v>76</v>
      </c>
      <c r="U948" t="s">
        <v>104</v>
      </c>
      <c r="V948" t="s">
        <v>653</v>
      </c>
      <c r="W948">
        <v>490</v>
      </c>
      <c r="X948">
        <v>22.99</v>
      </c>
      <c r="Y948">
        <v>60</v>
      </c>
      <c r="Z948">
        <v>355000</v>
      </c>
      <c r="AA948">
        <v>333200</v>
      </c>
      <c r="AB948">
        <v>178</v>
      </c>
      <c r="AD948" t="s">
        <v>238</v>
      </c>
      <c r="AE948">
        <v>2</v>
      </c>
      <c r="AF948">
        <v>0</v>
      </c>
      <c r="AI948">
        <v>10</v>
      </c>
      <c r="AJ948">
        <v>20</v>
      </c>
      <c r="AK948">
        <v>30</v>
      </c>
      <c r="AL948">
        <v>680</v>
      </c>
      <c r="AM948">
        <v>40</v>
      </c>
      <c r="AN948">
        <v>0</v>
      </c>
      <c r="AO948">
        <v>40</v>
      </c>
      <c r="AP948" t="s">
        <v>80</v>
      </c>
      <c r="AQ948" t="s">
        <v>184</v>
      </c>
      <c r="AR948" t="s">
        <v>261</v>
      </c>
      <c r="AS948" t="s">
        <v>261</v>
      </c>
      <c r="AT948" t="s">
        <v>261</v>
      </c>
      <c r="AU948" t="s">
        <v>261</v>
      </c>
      <c r="AV948" t="s">
        <v>1033</v>
      </c>
      <c r="AW948" t="s">
        <v>69</v>
      </c>
      <c r="AX948" t="s">
        <v>218</v>
      </c>
      <c r="AY948" t="s">
        <v>1242</v>
      </c>
      <c r="AZ948" t="s">
        <v>243</v>
      </c>
      <c r="BA948" t="s">
        <v>244</v>
      </c>
      <c r="BB948" t="s">
        <v>244</v>
      </c>
      <c r="BC948" t="s">
        <v>244</v>
      </c>
      <c r="BD948" t="s">
        <v>1246</v>
      </c>
      <c r="BE948" t="s">
        <v>3022</v>
      </c>
      <c r="BF948" t="s">
        <v>786</v>
      </c>
      <c r="BG948" t="s">
        <v>110</v>
      </c>
      <c r="BH948" t="str">
        <f>IF(COUNTIF(工作表1!A:A, $C948)&gt;0, "預購款", "非預購款")</f>
        <v>非預購款</v>
      </c>
    </row>
    <row r="949" spans="1:60" x14ac:dyDescent="0.25">
      <c r="A949" t="s">
        <v>1236</v>
      </c>
      <c r="B949" t="s">
        <v>283</v>
      </c>
      <c r="C949" t="s">
        <v>1237</v>
      </c>
      <c r="D949" t="s">
        <v>1238</v>
      </c>
      <c r="E949" t="s">
        <v>1239</v>
      </c>
      <c r="F949" t="s">
        <v>179</v>
      </c>
      <c r="G949" t="s">
        <v>1240</v>
      </c>
      <c r="H949" t="s">
        <v>119</v>
      </c>
      <c r="I949" t="s">
        <v>214</v>
      </c>
      <c r="J949" t="s">
        <v>215</v>
      </c>
      <c r="K949" t="s">
        <v>69</v>
      </c>
      <c r="L949" t="s">
        <v>1241</v>
      </c>
      <c r="M949" t="s">
        <v>71</v>
      </c>
      <c r="N949" t="s">
        <v>100</v>
      </c>
      <c r="O949" t="s">
        <v>1136</v>
      </c>
      <c r="P949" t="s">
        <v>1137</v>
      </c>
      <c r="R949" t="s">
        <v>1138</v>
      </c>
      <c r="S949" t="s">
        <v>183</v>
      </c>
      <c r="T949" t="s">
        <v>76</v>
      </c>
      <c r="U949" t="s">
        <v>104</v>
      </c>
      <c r="V949" t="s">
        <v>653</v>
      </c>
      <c r="W949">
        <v>490</v>
      </c>
      <c r="X949">
        <v>22.99</v>
      </c>
      <c r="Y949">
        <v>60</v>
      </c>
      <c r="Z949">
        <v>355000</v>
      </c>
      <c r="AA949">
        <v>333200</v>
      </c>
      <c r="AB949">
        <v>178</v>
      </c>
      <c r="AD949" t="s">
        <v>238</v>
      </c>
      <c r="AE949">
        <v>2</v>
      </c>
      <c r="AF949">
        <v>20</v>
      </c>
      <c r="AI949">
        <v>40</v>
      </c>
      <c r="AJ949">
        <v>130</v>
      </c>
      <c r="AK949">
        <v>190</v>
      </c>
      <c r="AL949">
        <v>680</v>
      </c>
      <c r="AM949">
        <v>200</v>
      </c>
      <c r="AN949">
        <v>0</v>
      </c>
      <c r="AO949">
        <v>200</v>
      </c>
      <c r="AP949" t="s">
        <v>80</v>
      </c>
      <c r="AQ949" t="s">
        <v>184</v>
      </c>
      <c r="AR949" t="s">
        <v>261</v>
      </c>
      <c r="AS949" t="s">
        <v>261</v>
      </c>
      <c r="AT949" t="s">
        <v>261</v>
      </c>
      <c r="AU949" t="s">
        <v>261</v>
      </c>
      <c r="AV949" t="s">
        <v>1033</v>
      </c>
      <c r="AW949" t="s">
        <v>69</v>
      </c>
      <c r="AX949" t="s">
        <v>218</v>
      </c>
      <c r="AY949" t="s">
        <v>1242</v>
      </c>
      <c r="AZ949" t="s">
        <v>243</v>
      </c>
      <c r="BA949" t="s">
        <v>244</v>
      </c>
      <c r="BB949" t="s">
        <v>244</v>
      </c>
      <c r="BC949" t="s">
        <v>244</v>
      </c>
      <c r="BD949" t="s">
        <v>1247</v>
      </c>
      <c r="BE949" t="s">
        <v>3022</v>
      </c>
      <c r="BF949" t="s">
        <v>786</v>
      </c>
      <c r="BG949" t="s">
        <v>110</v>
      </c>
      <c r="BH949" t="str">
        <f>IF(COUNTIF(工作表1!A:A, $C949)&gt;0, "預購款", "非預購款")</f>
        <v>非預購款</v>
      </c>
    </row>
    <row r="950" spans="1:60" x14ac:dyDescent="0.25">
      <c r="A950" t="s">
        <v>1236</v>
      </c>
      <c r="B950" t="s">
        <v>283</v>
      </c>
      <c r="C950" t="s">
        <v>1237</v>
      </c>
      <c r="D950" t="s">
        <v>1238</v>
      </c>
      <c r="E950" t="s">
        <v>1239</v>
      </c>
      <c r="F950" t="s">
        <v>179</v>
      </c>
      <c r="G950" t="s">
        <v>1240</v>
      </c>
      <c r="H950" t="s">
        <v>130</v>
      </c>
      <c r="I950" t="s">
        <v>214</v>
      </c>
      <c r="J950" t="s">
        <v>215</v>
      </c>
      <c r="K950" t="s">
        <v>69</v>
      </c>
      <c r="L950" t="s">
        <v>1241</v>
      </c>
      <c r="M950" t="s">
        <v>71</v>
      </c>
      <c r="N950" t="s">
        <v>100</v>
      </c>
      <c r="O950" t="s">
        <v>1136</v>
      </c>
      <c r="P950" t="s">
        <v>1137</v>
      </c>
      <c r="R950" t="s">
        <v>1138</v>
      </c>
      <c r="S950" t="s">
        <v>183</v>
      </c>
      <c r="T950" t="s">
        <v>76</v>
      </c>
      <c r="U950" t="s">
        <v>104</v>
      </c>
      <c r="V950" t="s">
        <v>653</v>
      </c>
      <c r="W950">
        <v>490</v>
      </c>
      <c r="X950">
        <v>22.99</v>
      </c>
      <c r="Y950">
        <v>60</v>
      </c>
      <c r="Z950">
        <v>355000</v>
      </c>
      <c r="AA950">
        <v>333200</v>
      </c>
      <c r="AB950">
        <v>178</v>
      </c>
      <c r="AD950" t="s">
        <v>238</v>
      </c>
      <c r="AE950">
        <v>2</v>
      </c>
      <c r="AF950">
        <v>10</v>
      </c>
      <c r="AI950">
        <v>30</v>
      </c>
      <c r="AJ950">
        <v>70</v>
      </c>
      <c r="AK950">
        <v>110</v>
      </c>
      <c r="AL950">
        <v>680</v>
      </c>
      <c r="AM950">
        <v>120</v>
      </c>
      <c r="AN950">
        <v>0</v>
      </c>
      <c r="AO950">
        <v>120</v>
      </c>
      <c r="AP950" t="s">
        <v>80</v>
      </c>
      <c r="AQ950" t="s">
        <v>184</v>
      </c>
      <c r="AR950" t="s">
        <v>261</v>
      </c>
      <c r="AS950" t="s">
        <v>261</v>
      </c>
      <c r="AT950" t="s">
        <v>261</v>
      </c>
      <c r="AU950" t="s">
        <v>261</v>
      </c>
      <c r="AV950" t="s">
        <v>1033</v>
      </c>
      <c r="AW950" t="s">
        <v>69</v>
      </c>
      <c r="AX950" t="s">
        <v>218</v>
      </c>
      <c r="AY950" t="s">
        <v>1242</v>
      </c>
      <c r="AZ950" t="s">
        <v>243</v>
      </c>
      <c r="BA950" t="s">
        <v>244</v>
      </c>
      <c r="BB950" t="s">
        <v>244</v>
      </c>
      <c r="BC950" t="s">
        <v>244</v>
      </c>
      <c r="BD950" t="s">
        <v>1248</v>
      </c>
      <c r="BE950" t="s">
        <v>3022</v>
      </c>
      <c r="BF950" t="s">
        <v>786</v>
      </c>
      <c r="BG950" t="s">
        <v>110</v>
      </c>
      <c r="BH950" t="str">
        <f>IF(COUNTIF(工作表1!A:A, $C950)&gt;0, "預購款", "非預購款")</f>
        <v>非預購款</v>
      </c>
    </row>
    <row r="951" spans="1:60" x14ac:dyDescent="0.25">
      <c r="A951" t="s">
        <v>1236</v>
      </c>
      <c r="B951" t="s">
        <v>283</v>
      </c>
      <c r="C951" t="s">
        <v>1237</v>
      </c>
      <c r="D951" t="s">
        <v>1238</v>
      </c>
      <c r="E951" t="s">
        <v>1239</v>
      </c>
      <c r="F951" t="s">
        <v>179</v>
      </c>
      <c r="G951" t="s">
        <v>1240</v>
      </c>
      <c r="H951" t="s">
        <v>132</v>
      </c>
      <c r="I951" t="s">
        <v>214</v>
      </c>
      <c r="J951" t="s">
        <v>215</v>
      </c>
      <c r="K951" t="s">
        <v>69</v>
      </c>
      <c r="L951" t="s">
        <v>1241</v>
      </c>
      <c r="M951" t="s">
        <v>71</v>
      </c>
      <c r="N951" t="s">
        <v>100</v>
      </c>
      <c r="O951" t="s">
        <v>1136</v>
      </c>
      <c r="P951" t="s">
        <v>1137</v>
      </c>
      <c r="R951" t="s">
        <v>1138</v>
      </c>
      <c r="S951" t="s">
        <v>183</v>
      </c>
      <c r="T951" t="s">
        <v>76</v>
      </c>
      <c r="U951" t="s">
        <v>104</v>
      </c>
      <c r="V951" t="s">
        <v>653</v>
      </c>
      <c r="W951">
        <v>490</v>
      </c>
      <c r="X951">
        <v>22.99</v>
      </c>
      <c r="Y951">
        <v>60</v>
      </c>
      <c r="Z951">
        <v>355000</v>
      </c>
      <c r="AA951">
        <v>333200</v>
      </c>
      <c r="AB951">
        <v>178</v>
      </c>
      <c r="AD951" t="s">
        <v>238</v>
      </c>
      <c r="AE951">
        <v>2</v>
      </c>
      <c r="AF951">
        <v>0</v>
      </c>
      <c r="AI951">
        <v>20</v>
      </c>
      <c r="AJ951">
        <v>20</v>
      </c>
      <c r="AK951">
        <v>40</v>
      </c>
      <c r="AL951">
        <v>680</v>
      </c>
      <c r="AM951">
        <v>46</v>
      </c>
      <c r="AN951">
        <v>0</v>
      </c>
      <c r="AO951">
        <v>46</v>
      </c>
      <c r="AP951" t="s">
        <v>80</v>
      </c>
      <c r="AQ951" t="s">
        <v>184</v>
      </c>
      <c r="AR951" t="s">
        <v>261</v>
      </c>
      <c r="AS951" t="s">
        <v>261</v>
      </c>
      <c r="AT951" t="s">
        <v>261</v>
      </c>
      <c r="AU951" t="s">
        <v>261</v>
      </c>
      <c r="AV951" t="s">
        <v>1033</v>
      </c>
      <c r="AW951" t="s">
        <v>69</v>
      </c>
      <c r="AX951" t="s">
        <v>218</v>
      </c>
      <c r="AY951" t="s">
        <v>1242</v>
      </c>
      <c r="AZ951" t="s">
        <v>243</v>
      </c>
      <c r="BA951" t="s">
        <v>244</v>
      </c>
      <c r="BB951" t="s">
        <v>244</v>
      </c>
      <c r="BC951" t="s">
        <v>244</v>
      </c>
      <c r="BD951" t="s">
        <v>1249</v>
      </c>
      <c r="BE951" t="s">
        <v>3022</v>
      </c>
      <c r="BF951" t="s">
        <v>786</v>
      </c>
      <c r="BG951" t="s">
        <v>110</v>
      </c>
      <c r="BH951" t="str">
        <f>IF(COUNTIF(工作表1!A:A, $C951)&gt;0, "預購款", "非預購款")</f>
        <v>非預購款</v>
      </c>
    </row>
    <row r="952" spans="1:60" x14ac:dyDescent="0.25">
      <c r="A952" t="s">
        <v>3032</v>
      </c>
      <c r="B952" t="s">
        <v>315</v>
      </c>
      <c r="C952" t="s">
        <v>3033</v>
      </c>
      <c r="D952" t="s">
        <v>3034</v>
      </c>
      <c r="E952" t="s">
        <v>3035</v>
      </c>
      <c r="F952" t="s">
        <v>179</v>
      </c>
      <c r="G952" t="s">
        <v>3036</v>
      </c>
      <c r="H952" t="s">
        <v>119</v>
      </c>
      <c r="I952" t="s">
        <v>162</v>
      </c>
      <c r="J952" t="s">
        <v>163</v>
      </c>
      <c r="K952" t="s">
        <v>69</v>
      </c>
      <c r="L952" t="s">
        <v>3037</v>
      </c>
      <c r="M952" t="s">
        <v>71</v>
      </c>
      <c r="N952" t="s">
        <v>198</v>
      </c>
      <c r="O952" t="s">
        <v>2893</v>
      </c>
      <c r="P952" t="s">
        <v>2894</v>
      </c>
      <c r="R952" t="s">
        <v>2518</v>
      </c>
      <c r="S952" t="s">
        <v>183</v>
      </c>
      <c r="T952" t="s">
        <v>291</v>
      </c>
      <c r="U952" t="s">
        <v>104</v>
      </c>
      <c r="V952" t="s">
        <v>1220</v>
      </c>
      <c r="W952">
        <v>690</v>
      </c>
      <c r="X952">
        <v>29.99</v>
      </c>
      <c r="Y952">
        <v>89</v>
      </c>
      <c r="Z952">
        <v>499000</v>
      </c>
      <c r="AA952">
        <v>317400</v>
      </c>
      <c r="AB952">
        <v>180</v>
      </c>
      <c r="AD952" t="s">
        <v>238</v>
      </c>
      <c r="AE952">
        <v>2</v>
      </c>
      <c r="AF952">
        <v>0</v>
      </c>
      <c r="AI952">
        <v>15</v>
      </c>
      <c r="AJ952">
        <v>50</v>
      </c>
      <c r="AK952">
        <v>65</v>
      </c>
      <c r="AL952">
        <v>460</v>
      </c>
      <c r="AM952">
        <v>74</v>
      </c>
      <c r="AN952">
        <v>0</v>
      </c>
      <c r="AO952">
        <v>74</v>
      </c>
      <c r="AP952" t="s">
        <v>80</v>
      </c>
      <c r="AQ952" t="s">
        <v>190</v>
      </c>
      <c r="AT952" t="s">
        <v>86</v>
      </c>
      <c r="AU952" t="s">
        <v>86</v>
      </c>
      <c r="AV952" t="s">
        <v>2466</v>
      </c>
      <c r="AW952" t="s">
        <v>69</v>
      </c>
      <c r="AX952" t="s">
        <v>967</v>
      </c>
      <c r="AY952" t="s">
        <v>3038</v>
      </c>
      <c r="AZ952" t="s">
        <v>243</v>
      </c>
      <c r="BA952" t="s">
        <v>244</v>
      </c>
      <c r="BB952" t="s">
        <v>264</v>
      </c>
      <c r="BC952" t="s">
        <v>264</v>
      </c>
      <c r="BD952" t="s">
        <v>3039</v>
      </c>
      <c r="BE952" t="s">
        <v>3040</v>
      </c>
      <c r="BF952" t="s">
        <v>291</v>
      </c>
      <c r="BG952" t="s">
        <v>150</v>
      </c>
      <c r="BH952" t="str">
        <f>IF(COUNTIF(工作表1!A:A, $C952)&gt;0, "預購款", "非預購款")</f>
        <v>非預購款</v>
      </c>
    </row>
    <row r="953" spans="1:60" x14ac:dyDescent="0.25">
      <c r="A953" t="s">
        <v>3032</v>
      </c>
      <c r="B953" t="s">
        <v>315</v>
      </c>
      <c r="C953" t="s">
        <v>3033</v>
      </c>
      <c r="D953" t="s">
        <v>3034</v>
      </c>
      <c r="E953" t="s">
        <v>3035</v>
      </c>
      <c r="F953" t="s">
        <v>179</v>
      </c>
      <c r="G953" t="s">
        <v>3036</v>
      </c>
      <c r="H953" t="s">
        <v>130</v>
      </c>
      <c r="I953" t="s">
        <v>162</v>
      </c>
      <c r="J953" t="s">
        <v>163</v>
      </c>
      <c r="K953" t="s">
        <v>69</v>
      </c>
      <c r="L953" t="s">
        <v>3037</v>
      </c>
      <c r="M953" t="s">
        <v>71</v>
      </c>
      <c r="N953" t="s">
        <v>198</v>
      </c>
      <c r="O953" t="s">
        <v>2893</v>
      </c>
      <c r="P953" t="s">
        <v>2894</v>
      </c>
      <c r="R953" t="s">
        <v>2518</v>
      </c>
      <c r="S953" t="s">
        <v>183</v>
      </c>
      <c r="T953" t="s">
        <v>291</v>
      </c>
      <c r="U953" t="s">
        <v>104</v>
      </c>
      <c r="V953" t="s">
        <v>1220</v>
      </c>
      <c r="W953">
        <v>690</v>
      </c>
      <c r="X953">
        <v>29.99</v>
      </c>
      <c r="Y953">
        <v>89</v>
      </c>
      <c r="Z953">
        <v>499000</v>
      </c>
      <c r="AA953">
        <v>317400</v>
      </c>
      <c r="AB953">
        <v>180</v>
      </c>
      <c r="AD953" t="s">
        <v>238</v>
      </c>
      <c r="AE953">
        <v>2</v>
      </c>
      <c r="AF953">
        <v>0</v>
      </c>
      <c r="AI953">
        <v>15</v>
      </c>
      <c r="AJ953">
        <v>50</v>
      </c>
      <c r="AK953">
        <v>65</v>
      </c>
      <c r="AL953">
        <v>460</v>
      </c>
      <c r="AM953">
        <v>75</v>
      </c>
      <c r="AN953">
        <v>0</v>
      </c>
      <c r="AO953">
        <v>75</v>
      </c>
      <c r="AP953" t="s">
        <v>80</v>
      </c>
      <c r="AQ953" t="s">
        <v>190</v>
      </c>
      <c r="AT953" t="s">
        <v>86</v>
      </c>
      <c r="AU953" t="s">
        <v>86</v>
      </c>
      <c r="AV953" t="s">
        <v>2466</v>
      </c>
      <c r="AW953" t="s">
        <v>69</v>
      </c>
      <c r="AX953" t="s">
        <v>967</v>
      </c>
      <c r="AY953" t="s">
        <v>3038</v>
      </c>
      <c r="AZ953" t="s">
        <v>243</v>
      </c>
      <c r="BA953" t="s">
        <v>244</v>
      </c>
      <c r="BB953" t="s">
        <v>264</v>
      </c>
      <c r="BC953" t="s">
        <v>264</v>
      </c>
      <c r="BD953" t="s">
        <v>3041</v>
      </c>
      <c r="BE953" t="s">
        <v>3040</v>
      </c>
      <c r="BF953" t="s">
        <v>291</v>
      </c>
      <c r="BG953" t="s">
        <v>150</v>
      </c>
      <c r="BH953" t="str">
        <f>IF(COUNTIF(工作表1!A:A, $C953)&gt;0, "預購款", "非預購款")</f>
        <v>非預購款</v>
      </c>
    </row>
    <row r="954" spans="1:60" x14ac:dyDescent="0.25">
      <c r="A954" t="s">
        <v>3032</v>
      </c>
      <c r="B954" t="s">
        <v>315</v>
      </c>
      <c r="C954" t="s">
        <v>3033</v>
      </c>
      <c r="D954" t="s">
        <v>3034</v>
      </c>
      <c r="E954" t="s">
        <v>3035</v>
      </c>
      <c r="F954" t="s">
        <v>179</v>
      </c>
      <c r="G954" t="s">
        <v>3036</v>
      </c>
      <c r="H954" t="s">
        <v>132</v>
      </c>
      <c r="I954" t="s">
        <v>162</v>
      </c>
      <c r="J954" t="s">
        <v>163</v>
      </c>
      <c r="K954" t="s">
        <v>69</v>
      </c>
      <c r="L954" t="s">
        <v>3037</v>
      </c>
      <c r="M954" t="s">
        <v>71</v>
      </c>
      <c r="N954" t="s">
        <v>198</v>
      </c>
      <c r="O954" t="s">
        <v>2893</v>
      </c>
      <c r="P954" t="s">
        <v>2894</v>
      </c>
      <c r="R954" t="s">
        <v>2518</v>
      </c>
      <c r="S954" t="s">
        <v>183</v>
      </c>
      <c r="T954" t="s">
        <v>291</v>
      </c>
      <c r="U954" t="s">
        <v>104</v>
      </c>
      <c r="V954" t="s">
        <v>1220</v>
      </c>
      <c r="W954">
        <v>690</v>
      </c>
      <c r="X954">
        <v>29.99</v>
      </c>
      <c r="Y954">
        <v>89</v>
      </c>
      <c r="Z954">
        <v>499000</v>
      </c>
      <c r="AA954">
        <v>317400</v>
      </c>
      <c r="AB954">
        <v>180</v>
      </c>
      <c r="AD954" t="s">
        <v>238</v>
      </c>
      <c r="AE954">
        <v>2</v>
      </c>
      <c r="AF954">
        <v>0</v>
      </c>
      <c r="AI954">
        <v>10</v>
      </c>
      <c r="AJ954">
        <v>20</v>
      </c>
      <c r="AK954">
        <v>30</v>
      </c>
      <c r="AL954">
        <v>460</v>
      </c>
      <c r="AM954">
        <v>35</v>
      </c>
      <c r="AN954">
        <v>0</v>
      </c>
      <c r="AO954">
        <v>35</v>
      </c>
      <c r="AP954" t="s">
        <v>80</v>
      </c>
      <c r="AQ954" t="s">
        <v>190</v>
      </c>
      <c r="AT954" t="s">
        <v>86</v>
      </c>
      <c r="AU954" t="s">
        <v>86</v>
      </c>
      <c r="AV954" t="s">
        <v>2466</v>
      </c>
      <c r="AW954" t="s">
        <v>69</v>
      </c>
      <c r="AX954" t="s">
        <v>967</v>
      </c>
      <c r="AY954" t="s">
        <v>3038</v>
      </c>
      <c r="AZ954" t="s">
        <v>243</v>
      </c>
      <c r="BA954" t="s">
        <v>244</v>
      </c>
      <c r="BB954" t="s">
        <v>264</v>
      </c>
      <c r="BC954" t="s">
        <v>264</v>
      </c>
      <c r="BD954" t="s">
        <v>3042</v>
      </c>
      <c r="BE954" t="s">
        <v>3040</v>
      </c>
      <c r="BF954" t="s">
        <v>291</v>
      </c>
      <c r="BG954" t="s">
        <v>150</v>
      </c>
      <c r="BH954" t="str">
        <f>IF(COUNTIF(工作表1!A:A, $C954)&gt;0, "預購款", "非預購款")</f>
        <v>非預購款</v>
      </c>
    </row>
    <row r="955" spans="1:60" x14ac:dyDescent="0.25">
      <c r="A955" t="s">
        <v>3032</v>
      </c>
      <c r="B955" t="s">
        <v>315</v>
      </c>
      <c r="C955" t="s">
        <v>3033</v>
      </c>
      <c r="D955" t="s">
        <v>3034</v>
      </c>
      <c r="E955" t="s">
        <v>3035</v>
      </c>
      <c r="F955" t="s">
        <v>179</v>
      </c>
      <c r="G955" t="s">
        <v>3036</v>
      </c>
      <c r="H955" t="s">
        <v>119</v>
      </c>
      <c r="I955" t="s">
        <v>134</v>
      </c>
      <c r="J955" t="s">
        <v>135</v>
      </c>
      <c r="K955" t="s">
        <v>80</v>
      </c>
      <c r="L955" t="s">
        <v>3037</v>
      </c>
      <c r="M955" t="s">
        <v>71</v>
      </c>
      <c r="N955" t="s">
        <v>198</v>
      </c>
      <c r="O955" t="s">
        <v>2893</v>
      </c>
      <c r="P955" t="s">
        <v>2894</v>
      </c>
      <c r="R955" t="s">
        <v>2518</v>
      </c>
      <c r="S955" t="s">
        <v>183</v>
      </c>
      <c r="T955" t="s">
        <v>291</v>
      </c>
      <c r="U955" t="s">
        <v>104</v>
      </c>
      <c r="V955" t="s">
        <v>1220</v>
      </c>
      <c r="W955">
        <v>690</v>
      </c>
      <c r="X955">
        <v>29.99</v>
      </c>
      <c r="Y955">
        <v>89</v>
      </c>
      <c r="Z955">
        <v>499000</v>
      </c>
      <c r="AA955">
        <v>317400</v>
      </c>
      <c r="AB955">
        <v>180</v>
      </c>
      <c r="AD955" t="s">
        <v>238</v>
      </c>
      <c r="AE955">
        <v>2</v>
      </c>
      <c r="AF955">
        <v>0</v>
      </c>
      <c r="AI955">
        <v>15</v>
      </c>
      <c r="AJ955">
        <v>170</v>
      </c>
      <c r="AK955">
        <v>185</v>
      </c>
      <c r="AL955">
        <v>460</v>
      </c>
      <c r="AM955">
        <v>200</v>
      </c>
      <c r="AN955">
        <v>0</v>
      </c>
      <c r="AO955">
        <v>200</v>
      </c>
      <c r="AP955" t="s">
        <v>80</v>
      </c>
      <c r="AQ955" t="s">
        <v>190</v>
      </c>
      <c r="AT955" t="s">
        <v>86</v>
      </c>
      <c r="AU955" t="s">
        <v>86</v>
      </c>
      <c r="AV955" t="s">
        <v>2466</v>
      </c>
      <c r="AW955" t="s">
        <v>69</v>
      </c>
      <c r="AX955" t="s">
        <v>967</v>
      </c>
      <c r="AY955" t="s">
        <v>3038</v>
      </c>
      <c r="AZ955" t="s">
        <v>243</v>
      </c>
      <c r="BA955" t="s">
        <v>244</v>
      </c>
      <c r="BB955" t="s">
        <v>264</v>
      </c>
      <c r="BC955" t="s">
        <v>264</v>
      </c>
      <c r="BD955" t="s">
        <v>3043</v>
      </c>
      <c r="BE955" t="s">
        <v>3040</v>
      </c>
      <c r="BF955" t="s">
        <v>291</v>
      </c>
      <c r="BG955" t="s">
        <v>150</v>
      </c>
      <c r="BH955" t="str">
        <f>IF(COUNTIF(工作表1!A:A, $C955)&gt;0, "預購款", "非預購款")</f>
        <v>非預購款</v>
      </c>
    </row>
    <row r="956" spans="1:60" x14ac:dyDescent="0.25">
      <c r="A956" t="s">
        <v>3032</v>
      </c>
      <c r="B956" t="s">
        <v>315</v>
      </c>
      <c r="C956" t="s">
        <v>3033</v>
      </c>
      <c r="D956" t="s">
        <v>3034</v>
      </c>
      <c r="E956" t="s">
        <v>3035</v>
      </c>
      <c r="F956" t="s">
        <v>179</v>
      </c>
      <c r="G956" t="s">
        <v>3036</v>
      </c>
      <c r="H956" t="s">
        <v>130</v>
      </c>
      <c r="I956" t="s">
        <v>134</v>
      </c>
      <c r="J956" t="s">
        <v>135</v>
      </c>
      <c r="K956" t="s">
        <v>80</v>
      </c>
      <c r="L956" t="s">
        <v>3037</v>
      </c>
      <c r="M956" t="s">
        <v>71</v>
      </c>
      <c r="N956" t="s">
        <v>198</v>
      </c>
      <c r="O956" t="s">
        <v>2893</v>
      </c>
      <c r="P956" t="s">
        <v>2894</v>
      </c>
      <c r="R956" t="s">
        <v>2518</v>
      </c>
      <c r="S956" t="s">
        <v>183</v>
      </c>
      <c r="T956" t="s">
        <v>291</v>
      </c>
      <c r="U956" t="s">
        <v>104</v>
      </c>
      <c r="V956" t="s">
        <v>1220</v>
      </c>
      <c r="W956">
        <v>690</v>
      </c>
      <c r="X956">
        <v>29.99</v>
      </c>
      <c r="Y956">
        <v>89</v>
      </c>
      <c r="Z956">
        <v>499000</v>
      </c>
      <c r="AA956">
        <v>317400</v>
      </c>
      <c r="AB956">
        <v>180</v>
      </c>
      <c r="AD956" t="s">
        <v>238</v>
      </c>
      <c r="AE956">
        <v>2</v>
      </c>
      <c r="AF956">
        <v>0</v>
      </c>
      <c r="AI956">
        <v>10</v>
      </c>
      <c r="AJ956">
        <v>60</v>
      </c>
      <c r="AK956">
        <v>70</v>
      </c>
      <c r="AL956">
        <v>460</v>
      </c>
      <c r="AM956">
        <v>80</v>
      </c>
      <c r="AN956">
        <v>0</v>
      </c>
      <c r="AO956">
        <v>80</v>
      </c>
      <c r="AP956" t="s">
        <v>80</v>
      </c>
      <c r="AQ956" t="s">
        <v>190</v>
      </c>
      <c r="AT956" t="s">
        <v>86</v>
      </c>
      <c r="AU956" t="s">
        <v>86</v>
      </c>
      <c r="AV956" t="s">
        <v>2466</v>
      </c>
      <c r="AW956" t="s">
        <v>69</v>
      </c>
      <c r="AX956" t="s">
        <v>967</v>
      </c>
      <c r="AY956" t="s">
        <v>3038</v>
      </c>
      <c r="AZ956" t="s">
        <v>243</v>
      </c>
      <c r="BA956" t="s">
        <v>244</v>
      </c>
      <c r="BB956" t="s">
        <v>264</v>
      </c>
      <c r="BC956" t="s">
        <v>264</v>
      </c>
      <c r="BD956" t="s">
        <v>3044</v>
      </c>
      <c r="BE956" t="s">
        <v>3040</v>
      </c>
      <c r="BF956" t="s">
        <v>291</v>
      </c>
      <c r="BG956" t="s">
        <v>150</v>
      </c>
      <c r="BH956" t="str">
        <f>IF(COUNTIF(工作表1!A:A, $C956)&gt;0, "預購款", "非預購款")</f>
        <v>非預購款</v>
      </c>
    </row>
    <row r="957" spans="1:60" x14ac:dyDescent="0.25">
      <c r="A957" t="s">
        <v>3032</v>
      </c>
      <c r="B957" t="s">
        <v>315</v>
      </c>
      <c r="C957" t="s">
        <v>3033</v>
      </c>
      <c r="D957" t="s">
        <v>3034</v>
      </c>
      <c r="E957" t="s">
        <v>3035</v>
      </c>
      <c r="F957" t="s">
        <v>179</v>
      </c>
      <c r="G957" t="s">
        <v>3036</v>
      </c>
      <c r="H957" t="s">
        <v>132</v>
      </c>
      <c r="I957" t="s">
        <v>134</v>
      </c>
      <c r="J957" t="s">
        <v>135</v>
      </c>
      <c r="K957" t="s">
        <v>80</v>
      </c>
      <c r="L957" t="s">
        <v>3037</v>
      </c>
      <c r="M957" t="s">
        <v>71</v>
      </c>
      <c r="N957" t="s">
        <v>198</v>
      </c>
      <c r="O957" t="s">
        <v>2893</v>
      </c>
      <c r="P957" t="s">
        <v>2894</v>
      </c>
      <c r="R957" t="s">
        <v>2518</v>
      </c>
      <c r="S957" t="s">
        <v>183</v>
      </c>
      <c r="T957" t="s">
        <v>291</v>
      </c>
      <c r="U957" t="s">
        <v>104</v>
      </c>
      <c r="V957" t="s">
        <v>1220</v>
      </c>
      <c r="W957">
        <v>690</v>
      </c>
      <c r="X957">
        <v>29.99</v>
      </c>
      <c r="Y957">
        <v>89</v>
      </c>
      <c r="Z957">
        <v>499000</v>
      </c>
      <c r="AA957">
        <v>317400</v>
      </c>
      <c r="AB957">
        <v>180</v>
      </c>
      <c r="AD957" t="s">
        <v>238</v>
      </c>
      <c r="AE957">
        <v>2</v>
      </c>
      <c r="AF957">
        <v>0</v>
      </c>
      <c r="AI957">
        <v>10</v>
      </c>
      <c r="AJ957">
        <v>35</v>
      </c>
      <c r="AK957">
        <v>45</v>
      </c>
      <c r="AL957">
        <v>460</v>
      </c>
      <c r="AM957">
        <v>55</v>
      </c>
      <c r="AN957">
        <v>0</v>
      </c>
      <c r="AO957">
        <v>55</v>
      </c>
      <c r="AP957" t="s">
        <v>80</v>
      </c>
      <c r="AQ957" t="s">
        <v>190</v>
      </c>
      <c r="AT957" t="s">
        <v>86</v>
      </c>
      <c r="AU957" t="s">
        <v>86</v>
      </c>
      <c r="AV957" t="s">
        <v>2466</v>
      </c>
      <c r="AW957" t="s">
        <v>69</v>
      </c>
      <c r="AX957" t="s">
        <v>967</v>
      </c>
      <c r="AY957" t="s">
        <v>3038</v>
      </c>
      <c r="AZ957" t="s">
        <v>243</v>
      </c>
      <c r="BA957" t="s">
        <v>244</v>
      </c>
      <c r="BB957" t="s">
        <v>264</v>
      </c>
      <c r="BC957" t="s">
        <v>264</v>
      </c>
      <c r="BD957" t="s">
        <v>3045</v>
      </c>
      <c r="BE957" t="s">
        <v>3040</v>
      </c>
      <c r="BF957" t="s">
        <v>291</v>
      </c>
      <c r="BG957" t="s">
        <v>150</v>
      </c>
      <c r="BH957" t="str">
        <f>IF(COUNTIF(工作表1!A:A, $C957)&gt;0, "預購款", "非預購款")</f>
        <v>非預購款</v>
      </c>
    </row>
    <row r="958" spans="1:60" x14ac:dyDescent="0.25">
      <c r="A958" t="s">
        <v>3046</v>
      </c>
      <c r="B958" t="s">
        <v>315</v>
      </c>
      <c r="C958" t="s">
        <v>3047</v>
      </c>
      <c r="D958" t="s">
        <v>3048</v>
      </c>
      <c r="E958" t="s">
        <v>3049</v>
      </c>
      <c r="F958" t="s">
        <v>179</v>
      </c>
      <c r="G958" t="s">
        <v>3050</v>
      </c>
      <c r="H958" t="s">
        <v>119</v>
      </c>
      <c r="I958" t="s">
        <v>97</v>
      </c>
      <c r="J958" t="s">
        <v>98</v>
      </c>
      <c r="K958" t="s">
        <v>69</v>
      </c>
      <c r="L958" t="s">
        <v>3051</v>
      </c>
      <c r="M958" t="s">
        <v>71</v>
      </c>
      <c r="N958" t="s">
        <v>198</v>
      </c>
      <c r="O958" t="s">
        <v>2893</v>
      </c>
      <c r="P958" t="s">
        <v>2894</v>
      </c>
      <c r="R958" t="s">
        <v>2518</v>
      </c>
      <c r="S958" t="s">
        <v>183</v>
      </c>
      <c r="T958" t="s">
        <v>291</v>
      </c>
      <c r="U958" t="s">
        <v>104</v>
      </c>
      <c r="V958" t="s">
        <v>593</v>
      </c>
      <c r="W958">
        <v>490</v>
      </c>
      <c r="X958">
        <v>22.99</v>
      </c>
      <c r="Y958">
        <v>60</v>
      </c>
      <c r="Z958">
        <v>355000</v>
      </c>
      <c r="AA958">
        <v>83300</v>
      </c>
      <c r="AB958">
        <v>150</v>
      </c>
      <c r="AD958" t="s">
        <v>238</v>
      </c>
      <c r="AE958">
        <v>1</v>
      </c>
      <c r="AF958">
        <v>0</v>
      </c>
      <c r="AI958">
        <v>0</v>
      </c>
      <c r="AJ958">
        <v>40</v>
      </c>
      <c r="AK958">
        <v>40</v>
      </c>
      <c r="AL958">
        <v>170</v>
      </c>
      <c r="AM958">
        <v>44</v>
      </c>
      <c r="AN958">
        <v>0</v>
      </c>
      <c r="AO958">
        <v>44</v>
      </c>
      <c r="AP958" t="s">
        <v>80</v>
      </c>
      <c r="AQ958" t="s">
        <v>1151</v>
      </c>
      <c r="AT958" t="s">
        <v>86</v>
      </c>
      <c r="AU958" t="s">
        <v>86</v>
      </c>
      <c r="AV958" t="s">
        <v>876</v>
      </c>
      <c r="AW958" t="s">
        <v>69</v>
      </c>
      <c r="AX958" t="s">
        <v>126</v>
      </c>
      <c r="AY958" t="s">
        <v>3052</v>
      </c>
      <c r="AZ958" t="s">
        <v>243</v>
      </c>
      <c r="BA958" t="s">
        <v>244</v>
      </c>
      <c r="BB958" t="s">
        <v>244</v>
      </c>
      <c r="BC958" t="s">
        <v>264</v>
      </c>
      <c r="BD958" t="s">
        <v>3053</v>
      </c>
      <c r="BE958" t="s">
        <v>3054</v>
      </c>
      <c r="BF958" t="s">
        <v>291</v>
      </c>
      <c r="BG958" t="s">
        <v>150</v>
      </c>
      <c r="BH958" t="str">
        <f>IF(COUNTIF(工作表1!A:A, $C958)&gt;0, "預購款", "非預購款")</f>
        <v>非預購款</v>
      </c>
    </row>
    <row r="959" spans="1:60" x14ac:dyDescent="0.25">
      <c r="A959" t="s">
        <v>3046</v>
      </c>
      <c r="B959" t="s">
        <v>315</v>
      </c>
      <c r="C959" t="s">
        <v>3047</v>
      </c>
      <c r="D959" t="s">
        <v>3048</v>
      </c>
      <c r="E959" t="s">
        <v>3049</v>
      </c>
      <c r="F959" t="s">
        <v>179</v>
      </c>
      <c r="G959" t="s">
        <v>3050</v>
      </c>
      <c r="H959" t="s">
        <v>130</v>
      </c>
      <c r="I959" t="s">
        <v>97</v>
      </c>
      <c r="J959" t="s">
        <v>98</v>
      </c>
      <c r="K959" t="s">
        <v>69</v>
      </c>
      <c r="L959" t="s">
        <v>3051</v>
      </c>
      <c r="M959" t="s">
        <v>71</v>
      </c>
      <c r="N959" t="s">
        <v>198</v>
      </c>
      <c r="O959" t="s">
        <v>2893</v>
      </c>
      <c r="P959" t="s">
        <v>2894</v>
      </c>
      <c r="R959" t="s">
        <v>2518</v>
      </c>
      <c r="S959" t="s">
        <v>183</v>
      </c>
      <c r="T959" t="s">
        <v>291</v>
      </c>
      <c r="U959" t="s">
        <v>104</v>
      </c>
      <c r="V959" t="s">
        <v>593</v>
      </c>
      <c r="W959">
        <v>490</v>
      </c>
      <c r="X959">
        <v>22.99</v>
      </c>
      <c r="Y959">
        <v>60</v>
      </c>
      <c r="Z959">
        <v>355000</v>
      </c>
      <c r="AA959">
        <v>83300</v>
      </c>
      <c r="AB959">
        <v>150</v>
      </c>
      <c r="AD959" t="s">
        <v>238</v>
      </c>
      <c r="AE959">
        <v>1</v>
      </c>
      <c r="AF959">
        <v>0</v>
      </c>
      <c r="AI959">
        <v>0</v>
      </c>
      <c r="AJ959">
        <v>80</v>
      </c>
      <c r="AK959">
        <v>80</v>
      </c>
      <c r="AL959">
        <v>170</v>
      </c>
      <c r="AM959">
        <v>90</v>
      </c>
      <c r="AN959">
        <v>0</v>
      </c>
      <c r="AO959">
        <v>90</v>
      </c>
      <c r="AP959" t="s">
        <v>80</v>
      </c>
      <c r="AQ959" t="s">
        <v>1151</v>
      </c>
      <c r="AT959" t="s">
        <v>86</v>
      </c>
      <c r="AU959" t="s">
        <v>86</v>
      </c>
      <c r="AV959" t="s">
        <v>876</v>
      </c>
      <c r="AW959" t="s">
        <v>69</v>
      </c>
      <c r="AX959" t="s">
        <v>126</v>
      </c>
      <c r="AY959" t="s">
        <v>3052</v>
      </c>
      <c r="AZ959" t="s">
        <v>243</v>
      </c>
      <c r="BA959" t="s">
        <v>244</v>
      </c>
      <c r="BB959" t="s">
        <v>244</v>
      </c>
      <c r="BC959" t="s">
        <v>264</v>
      </c>
      <c r="BD959" t="s">
        <v>3055</v>
      </c>
      <c r="BE959" t="s">
        <v>3054</v>
      </c>
      <c r="BF959" t="s">
        <v>291</v>
      </c>
      <c r="BG959" t="s">
        <v>150</v>
      </c>
      <c r="BH959" t="str">
        <f>IF(COUNTIF(工作表1!A:A, $C959)&gt;0, "預購款", "非預購款")</f>
        <v>非預購款</v>
      </c>
    </row>
    <row r="960" spans="1:60" x14ac:dyDescent="0.25">
      <c r="A960" t="s">
        <v>3046</v>
      </c>
      <c r="B960" t="s">
        <v>315</v>
      </c>
      <c r="C960" t="s">
        <v>3047</v>
      </c>
      <c r="D960" t="s">
        <v>3048</v>
      </c>
      <c r="E960" t="s">
        <v>3049</v>
      </c>
      <c r="F960" t="s">
        <v>179</v>
      </c>
      <c r="G960" t="s">
        <v>3050</v>
      </c>
      <c r="H960" t="s">
        <v>132</v>
      </c>
      <c r="I960" t="s">
        <v>97</v>
      </c>
      <c r="J960" t="s">
        <v>98</v>
      </c>
      <c r="K960" t="s">
        <v>69</v>
      </c>
      <c r="L960" t="s">
        <v>3051</v>
      </c>
      <c r="M960" t="s">
        <v>71</v>
      </c>
      <c r="N960" t="s">
        <v>198</v>
      </c>
      <c r="O960" t="s">
        <v>2893</v>
      </c>
      <c r="P960" t="s">
        <v>2894</v>
      </c>
      <c r="R960" t="s">
        <v>2518</v>
      </c>
      <c r="S960" t="s">
        <v>183</v>
      </c>
      <c r="T960" t="s">
        <v>291</v>
      </c>
      <c r="U960" t="s">
        <v>104</v>
      </c>
      <c r="V960" t="s">
        <v>593</v>
      </c>
      <c r="W960">
        <v>490</v>
      </c>
      <c r="X960">
        <v>22.99</v>
      </c>
      <c r="Y960">
        <v>60</v>
      </c>
      <c r="Z960">
        <v>355000</v>
      </c>
      <c r="AA960">
        <v>83300</v>
      </c>
      <c r="AB960">
        <v>150</v>
      </c>
      <c r="AD960" t="s">
        <v>238</v>
      </c>
      <c r="AE960">
        <v>1</v>
      </c>
      <c r="AF960">
        <v>0</v>
      </c>
      <c r="AI960">
        <v>0</v>
      </c>
      <c r="AJ960">
        <v>50</v>
      </c>
      <c r="AK960">
        <v>50</v>
      </c>
      <c r="AL960">
        <v>170</v>
      </c>
      <c r="AM960">
        <v>60</v>
      </c>
      <c r="AN960">
        <v>0</v>
      </c>
      <c r="AO960">
        <v>60</v>
      </c>
      <c r="AP960" t="s">
        <v>80</v>
      </c>
      <c r="AQ960" t="s">
        <v>1151</v>
      </c>
      <c r="AT960" t="s">
        <v>86</v>
      </c>
      <c r="AU960" t="s">
        <v>86</v>
      </c>
      <c r="AV960" t="s">
        <v>876</v>
      </c>
      <c r="AW960" t="s">
        <v>69</v>
      </c>
      <c r="AX960" t="s">
        <v>126</v>
      </c>
      <c r="AY960" t="s">
        <v>3052</v>
      </c>
      <c r="AZ960" t="s">
        <v>243</v>
      </c>
      <c r="BA960" t="s">
        <v>244</v>
      </c>
      <c r="BB960" t="s">
        <v>244</v>
      </c>
      <c r="BC960" t="s">
        <v>264</v>
      </c>
      <c r="BD960" t="s">
        <v>3056</v>
      </c>
      <c r="BE960" t="s">
        <v>3054</v>
      </c>
      <c r="BF960" t="s">
        <v>291</v>
      </c>
      <c r="BG960" t="s">
        <v>150</v>
      </c>
      <c r="BH960" t="str">
        <f>IF(COUNTIF(工作表1!A:A, $C960)&gt;0, "預購款", "非預購款")</f>
        <v>非預購款</v>
      </c>
    </row>
    <row r="961" spans="1:60" x14ac:dyDescent="0.25">
      <c r="A961" t="s">
        <v>2732</v>
      </c>
      <c r="B961" t="s">
        <v>315</v>
      </c>
      <c r="C961" t="s">
        <v>2733</v>
      </c>
      <c r="D961" t="s">
        <v>2734</v>
      </c>
      <c r="E961" t="s">
        <v>2735</v>
      </c>
      <c r="F961" t="s">
        <v>179</v>
      </c>
      <c r="G961" t="s">
        <v>2736</v>
      </c>
      <c r="H961" t="s">
        <v>119</v>
      </c>
      <c r="I961" t="s">
        <v>88</v>
      </c>
      <c r="J961" t="s">
        <v>89</v>
      </c>
      <c r="K961" t="s">
        <v>69</v>
      </c>
      <c r="L961" t="s">
        <v>2737</v>
      </c>
      <c r="M961" t="s">
        <v>71</v>
      </c>
      <c r="N961" t="s">
        <v>198</v>
      </c>
      <c r="O961" t="s">
        <v>2597</v>
      </c>
      <c r="P961" t="s">
        <v>2598</v>
      </c>
      <c r="R961" t="s">
        <v>2599</v>
      </c>
      <c r="S961" t="s">
        <v>183</v>
      </c>
      <c r="T961" t="s">
        <v>76</v>
      </c>
      <c r="U961" t="s">
        <v>383</v>
      </c>
      <c r="V961" t="s">
        <v>384</v>
      </c>
      <c r="W961">
        <v>990</v>
      </c>
      <c r="X961">
        <v>39.99</v>
      </c>
      <c r="Y961">
        <v>129</v>
      </c>
      <c r="Z961">
        <v>709000</v>
      </c>
      <c r="AA961">
        <v>465300</v>
      </c>
      <c r="AB961">
        <v>424</v>
      </c>
      <c r="AD961" t="s">
        <v>238</v>
      </c>
      <c r="AE961">
        <v>2</v>
      </c>
      <c r="AF961">
        <v>0</v>
      </c>
      <c r="AI961">
        <v>80</v>
      </c>
      <c r="AJ961">
        <v>130</v>
      </c>
      <c r="AK961">
        <v>210</v>
      </c>
      <c r="AL961">
        <v>470</v>
      </c>
      <c r="AM961">
        <v>219</v>
      </c>
      <c r="AN961">
        <v>0</v>
      </c>
      <c r="AO961">
        <v>219</v>
      </c>
      <c r="AP961" t="s">
        <v>80</v>
      </c>
      <c r="AQ961" t="s">
        <v>190</v>
      </c>
      <c r="AR961" t="s">
        <v>240</v>
      </c>
      <c r="AS961" t="s">
        <v>240</v>
      </c>
      <c r="AT961" t="s">
        <v>240</v>
      </c>
      <c r="AU961" t="s">
        <v>240</v>
      </c>
      <c r="AV961" t="s">
        <v>2738</v>
      </c>
      <c r="AW961" t="s">
        <v>80</v>
      </c>
      <c r="AX961" t="s">
        <v>2739</v>
      </c>
      <c r="AY961" t="s">
        <v>2740</v>
      </c>
      <c r="AZ961" t="s">
        <v>264</v>
      </c>
      <c r="BA961" t="s">
        <v>245</v>
      </c>
      <c r="BB961" t="s">
        <v>244</v>
      </c>
      <c r="BC961" t="s">
        <v>244</v>
      </c>
      <c r="BD961" t="s">
        <v>2745</v>
      </c>
      <c r="BE961" t="s">
        <v>3065</v>
      </c>
      <c r="BF961" t="s">
        <v>86</v>
      </c>
      <c r="BG961" t="s">
        <v>110</v>
      </c>
      <c r="BH961" t="str">
        <f>IF(COUNTIF(工作表1!A:A, $C961)&gt;0, "預購款", "非預購款")</f>
        <v>非預購款</v>
      </c>
    </row>
    <row r="962" spans="1:60" x14ac:dyDescent="0.25">
      <c r="A962" t="s">
        <v>2732</v>
      </c>
      <c r="B962" t="s">
        <v>315</v>
      </c>
      <c r="C962" t="s">
        <v>2733</v>
      </c>
      <c r="D962" t="s">
        <v>2734</v>
      </c>
      <c r="E962" t="s">
        <v>2735</v>
      </c>
      <c r="F962" t="s">
        <v>179</v>
      </c>
      <c r="G962" t="s">
        <v>2736</v>
      </c>
      <c r="H962" t="s">
        <v>130</v>
      </c>
      <c r="I962" t="s">
        <v>88</v>
      </c>
      <c r="J962" t="s">
        <v>89</v>
      </c>
      <c r="K962" t="s">
        <v>69</v>
      </c>
      <c r="L962" t="s">
        <v>2737</v>
      </c>
      <c r="M962" t="s">
        <v>71</v>
      </c>
      <c r="N962" t="s">
        <v>198</v>
      </c>
      <c r="O962" t="s">
        <v>2597</v>
      </c>
      <c r="P962" t="s">
        <v>2598</v>
      </c>
      <c r="R962" t="s">
        <v>2599</v>
      </c>
      <c r="S962" t="s">
        <v>183</v>
      </c>
      <c r="T962" t="s">
        <v>76</v>
      </c>
      <c r="U962" t="s">
        <v>383</v>
      </c>
      <c r="V962" t="s">
        <v>384</v>
      </c>
      <c r="W962">
        <v>990</v>
      </c>
      <c r="X962">
        <v>39.99</v>
      </c>
      <c r="Y962">
        <v>129</v>
      </c>
      <c r="Z962">
        <v>709000</v>
      </c>
      <c r="AA962">
        <v>465300</v>
      </c>
      <c r="AB962">
        <v>424</v>
      </c>
      <c r="AD962" t="s">
        <v>238</v>
      </c>
      <c r="AE962">
        <v>2</v>
      </c>
      <c r="AF962">
        <v>0</v>
      </c>
      <c r="AI962">
        <v>80</v>
      </c>
      <c r="AJ962">
        <v>50</v>
      </c>
      <c r="AK962">
        <v>130</v>
      </c>
      <c r="AL962">
        <v>470</v>
      </c>
      <c r="AM962">
        <v>132</v>
      </c>
      <c r="AN962">
        <v>0</v>
      </c>
      <c r="AO962">
        <v>132</v>
      </c>
      <c r="AP962" t="s">
        <v>80</v>
      </c>
      <c r="AQ962" t="s">
        <v>190</v>
      </c>
      <c r="AR962" t="s">
        <v>240</v>
      </c>
      <c r="AS962" t="s">
        <v>240</v>
      </c>
      <c r="AT962" t="s">
        <v>240</v>
      </c>
      <c r="AU962" t="s">
        <v>240</v>
      </c>
      <c r="AV962" t="s">
        <v>2738</v>
      </c>
      <c r="AW962" t="s">
        <v>80</v>
      </c>
      <c r="AX962" t="s">
        <v>2739</v>
      </c>
      <c r="AY962" t="s">
        <v>2740</v>
      </c>
      <c r="AZ962" t="s">
        <v>264</v>
      </c>
      <c r="BA962" t="s">
        <v>245</v>
      </c>
      <c r="BB962" t="s">
        <v>244</v>
      </c>
      <c r="BC962" t="s">
        <v>244</v>
      </c>
      <c r="BD962" t="s">
        <v>2746</v>
      </c>
      <c r="BE962" t="s">
        <v>3065</v>
      </c>
      <c r="BF962" t="s">
        <v>86</v>
      </c>
      <c r="BG962" t="s">
        <v>110</v>
      </c>
      <c r="BH962" t="str">
        <f>IF(COUNTIF(工作表1!A:A, $C962)&gt;0, "預購款", "非預購款")</f>
        <v>非預購款</v>
      </c>
    </row>
    <row r="963" spans="1:60" x14ac:dyDescent="0.25">
      <c r="A963" t="s">
        <v>2732</v>
      </c>
      <c r="B963" t="s">
        <v>315</v>
      </c>
      <c r="C963" t="s">
        <v>2733</v>
      </c>
      <c r="D963" t="s">
        <v>2734</v>
      </c>
      <c r="E963" t="s">
        <v>2735</v>
      </c>
      <c r="F963" t="s">
        <v>179</v>
      </c>
      <c r="G963" t="s">
        <v>2736</v>
      </c>
      <c r="H963" t="s">
        <v>132</v>
      </c>
      <c r="I963" t="s">
        <v>88</v>
      </c>
      <c r="J963" t="s">
        <v>89</v>
      </c>
      <c r="K963" t="s">
        <v>69</v>
      </c>
      <c r="L963" t="s">
        <v>2737</v>
      </c>
      <c r="M963" t="s">
        <v>71</v>
      </c>
      <c r="N963" t="s">
        <v>198</v>
      </c>
      <c r="O963" t="s">
        <v>2597</v>
      </c>
      <c r="P963" t="s">
        <v>2598</v>
      </c>
      <c r="R963" t="s">
        <v>2599</v>
      </c>
      <c r="S963" t="s">
        <v>183</v>
      </c>
      <c r="T963" t="s">
        <v>76</v>
      </c>
      <c r="U963" t="s">
        <v>383</v>
      </c>
      <c r="V963" t="s">
        <v>384</v>
      </c>
      <c r="W963">
        <v>990</v>
      </c>
      <c r="X963">
        <v>39.99</v>
      </c>
      <c r="Y963">
        <v>129</v>
      </c>
      <c r="Z963">
        <v>709000</v>
      </c>
      <c r="AA963">
        <v>465300</v>
      </c>
      <c r="AB963">
        <v>424</v>
      </c>
      <c r="AD963" t="s">
        <v>238</v>
      </c>
      <c r="AE963">
        <v>2</v>
      </c>
      <c r="AF963">
        <v>0</v>
      </c>
      <c r="AI963">
        <v>60</v>
      </c>
      <c r="AJ963">
        <v>10</v>
      </c>
      <c r="AK963">
        <v>70</v>
      </c>
      <c r="AL963">
        <v>470</v>
      </c>
      <c r="AM963">
        <v>80</v>
      </c>
      <c r="AN963">
        <v>0</v>
      </c>
      <c r="AO963">
        <v>80</v>
      </c>
      <c r="AP963" t="s">
        <v>80</v>
      </c>
      <c r="AQ963" t="s">
        <v>190</v>
      </c>
      <c r="AR963" t="s">
        <v>240</v>
      </c>
      <c r="AS963" t="s">
        <v>240</v>
      </c>
      <c r="AT963" t="s">
        <v>240</v>
      </c>
      <c r="AU963" t="s">
        <v>240</v>
      </c>
      <c r="AV963" t="s">
        <v>2738</v>
      </c>
      <c r="AW963" t="s">
        <v>80</v>
      </c>
      <c r="AX963" t="s">
        <v>2739</v>
      </c>
      <c r="AY963" t="s">
        <v>2740</v>
      </c>
      <c r="AZ963" t="s">
        <v>264</v>
      </c>
      <c r="BA963" t="s">
        <v>245</v>
      </c>
      <c r="BB963" t="s">
        <v>244</v>
      </c>
      <c r="BC963" t="s">
        <v>244</v>
      </c>
      <c r="BD963" t="s">
        <v>2747</v>
      </c>
      <c r="BE963" t="s">
        <v>3065</v>
      </c>
      <c r="BF963" t="s">
        <v>86</v>
      </c>
      <c r="BG963" t="s">
        <v>110</v>
      </c>
      <c r="BH963" t="str">
        <f>IF(COUNTIF(工作表1!A:A, $C963)&gt;0, "預購款", "非預購款")</f>
        <v>非預購款</v>
      </c>
    </row>
    <row r="964" spans="1:60" x14ac:dyDescent="0.25">
      <c r="A964" t="s">
        <v>2748</v>
      </c>
      <c r="B964" t="s">
        <v>315</v>
      </c>
      <c r="C964" t="s">
        <v>2749</v>
      </c>
      <c r="D964" t="s">
        <v>2750</v>
      </c>
      <c r="E964" t="s">
        <v>2751</v>
      </c>
      <c r="F964" t="s">
        <v>179</v>
      </c>
      <c r="G964" t="s">
        <v>2752</v>
      </c>
      <c r="H964" t="s">
        <v>273</v>
      </c>
      <c r="I964" t="s">
        <v>88</v>
      </c>
      <c r="J964" t="s">
        <v>89</v>
      </c>
      <c r="K964" t="s">
        <v>69</v>
      </c>
      <c r="L964" t="s">
        <v>2737</v>
      </c>
      <c r="M964" t="s">
        <v>71</v>
      </c>
      <c r="N964" t="s">
        <v>198</v>
      </c>
      <c r="O964" t="s">
        <v>2597</v>
      </c>
      <c r="P964" t="s">
        <v>2598</v>
      </c>
      <c r="R964" t="s">
        <v>2599</v>
      </c>
      <c r="S964" t="s">
        <v>183</v>
      </c>
      <c r="T964" t="s">
        <v>274</v>
      </c>
      <c r="U964" t="s">
        <v>383</v>
      </c>
      <c r="V964" t="s">
        <v>384</v>
      </c>
      <c r="W964">
        <v>1080</v>
      </c>
      <c r="X964">
        <v>44.99</v>
      </c>
      <c r="Y964">
        <v>139</v>
      </c>
      <c r="Z964">
        <v>779000</v>
      </c>
      <c r="AA964">
        <v>313200</v>
      </c>
      <c r="AB964">
        <v>468</v>
      </c>
      <c r="AD964" t="s">
        <v>238</v>
      </c>
      <c r="AE964">
        <v>2</v>
      </c>
      <c r="AF964">
        <v>0</v>
      </c>
      <c r="AI964">
        <v>60</v>
      </c>
      <c r="AJ964">
        <v>70</v>
      </c>
      <c r="AK964">
        <v>130</v>
      </c>
      <c r="AL964">
        <v>290</v>
      </c>
      <c r="AM964">
        <v>138</v>
      </c>
      <c r="AN964">
        <v>0</v>
      </c>
      <c r="AO964">
        <v>138</v>
      </c>
      <c r="AP964" t="s">
        <v>69</v>
      </c>
      <c r="AS964" t="s">
        <v>86</v>
      </c>
      <c r="AT964" t="s">
        <v>86</v>
      </c>
      <c r="AU964" t="s">
        <v>86</v>
      </c>
      <c r="AV964" t="s">
        <v>2753</v>
      </c>
      <c r="AW964" t="s">
        <v>80</v>
      </c>
      <c r="AX964" t="s">
        <v>387</v>
      </c>
      <c r="AY964" t="s">
        <v>2754</v>
      </c>
      <c r="AZ964" t="s">
        <v>264</v>
      </c>
      <c r="BA964" t="s">
        <v>243</v>
      </c>
      <c r="BB964" t="s">
        <v>244</v>
      </c>
      <c r="BC964" t="s">
        <v>244</v>
      </c>
      <c r="BD964" t="s">
        <v>2759</v>
      </c>
      <c r="BE964" t="s">
        <v>3066</v>
      </c>
      <c r="BF964" t="s">
        <v>279</v>
      </c>
      <c r="BG964" t="s">
        <v>110</v>
      </c>
      <c r="BH964" t="str">
        <f>IF(COUNTIF(工作表1!A:A, $C964)&gt;0, "預購款", "非預購款")</f>
        <v>非預購款</v>
      </c>
    </row>
    <row r="965" spans="1:60" x14ac:dyDescent="0.25">
      <c r="A965" t="s">
        <v>3067</v>
      </c>
      <c r="B965" t="s">
        <v>2174</v>
      </c>
      <c r="C965" t="s">
        <v>3068</v>
      </c>
      <c r="D965" t="s">
        <v>3069</v>
      </c>
      <c r="E965" t="s">
        <v>3070</v>
      </c>
      <c r="F965" t="s">
        <v>179</v>
      </c>
      <c r="G965" t="s">
        <v>3071</v>
      </c>
      <c r="H965" t="s">
        <v>273</v>
      </c>
      <c r="I965" t="s">
        <v>171</v>
      </c>
      <c r="J965" t="s">
        <v>172</v>
      </c>
      <c r="K965" t="s">
        <v>69</v>
      </c>
      <c r="L965" t="s">
        <v>3072</v>
      </c>
      <c r="M965" t="s">
        <v>71</v>
      </c>
      <c r="N965" t="s">
        <v>198</v>
      </c>
      <c r="O965" t="s">
        <v>2893</v>
      </c>
      <c r="P965" t="s">
        <v>2894</v>
      </c>
      <c r="R965" t="s">
        <v>2518</v>
      </c>
      <c r="S965" t="s">
        <v>183</v>
      </c>
      <c r="T965" t="s">
        <v>274</v>
      </c>
      <c r="U965" t="s">
        <v>150</v>
      </c>
      <c r="V965" t="s">
        <v>641</v>
      </c>
      <c r="W965">
        <v>890</v>
      </c>
      <c r="X965">
        <v>39.99</v>
      </c>
      <c r="Y965">
        <v>115</v>
      </c>
      <c r="Z965">
        <v>639000</v>
      </c>
      <c r="AA965">
        <v>129050</v>
      </c>
      <c r="AB965">
        <v>272</v>
      </c>
      <c r="AD965" t="s">
        <v>238</v>
      </c>
      <c r="AE965">
        <v>1</v>
      </c>
      <c r="AF965">
        <v>5</v>
      </c>
      <c r="AI965">
        <v>0</v>
      </c>
      <c r="AJ965">
        <v>90</v>
      </c>
      <c r="AK965">
        <v>95</v>
      </c>
      <c r="AL965">
        <v>145</v>
      </c>
      <c r="AM965">
        <v>109</v>
      </c>
      <c r="AN965">
        <v>0</v>
      </c>
      <c r="AO965">
        <v>109</v>
      </c>
      <c r="AP965" t="s">
        <v>80</v>
      </c>
      <c r="AQ965" t="s">
        <v>2257</v>
      </c>
      <c r="AS965" t="s">
        <v>86</v>
      </c>
      <c r="AT965" t="s">
        <v>86</v>
      </c>
      <c r="AU965" t="s">
        <v>86</v>
      </c>
      <c r="AV965" t="s">
        <v>3073</v>
      </c>
      <c r="AW965" t="s">
        <v>69</v>
      </c>
      <c r="AX965" t="s">
        <v>3074</v>
      </c>
      <c r="AY965" t="s">
        <v>3075</v>
      </c>
      <c r="AZ965" t="s">
        <v>310</v>
      </c>
      <c r="BA965" t="s">
        <v>244</v>
      </c>
      <c r="BB965" t="s">
        <v>244</v>
      </c>
      <c r="BC965" t="s">
        <v>244</v>
      </c>
      <c r="BD965" t="s">
        <v>3076</v>
      </c>
      <c r="BE965" t="s">
        <v>3077</v>
      </c>
      <c r="BF965" t="s">
        <v>279</v>
      </c>
      <c r="BG965" t="s">
        <v>87</v>
      </c>
      <c r="BH965" t="str">
        <f>IF(COUNTIF(工作表1!A:A, $C965)&gt;0, "預購款", "非預購款")</f>
        <v>非預購款</v>
      </c>
    </row>
    <row r="966" spans="1:60" x14ac:dyDescent="0.25">
      <c r="A966" t="s">
        <v>3067</v>
      </c>
      <c r="B966" t="s">
        <v>2174</v>
      </c>
      <c r="C966" t="s">
        <v>3068</v>
      </c>
      <c r="D966" t="s">
        <v>3069</v>
      </c>
      <c r="E966" t="s">
        <v>3070</v>
      </c>
      <c r="F966" t="s">
        <v>179</v>
      </c>
      <c r="G966" t="s">
        <v>3071</v>
      </c>
      <c r="H966" t="s">
        <v>280</v>
      </c>
      <c r="I966" t="s">
        <v>171</v>
      </c>
      <c r="J966" t="s">
        <v>172</v>
      </c>
      <c r="K966" t="s">
        <v>69</v>
      </c>
      <c r="L966" t="s">
        <v>3072</v>
      </c>
      <c r="M966" t="s">
        <v>71</v>
      </c>
      <c r="N966" t="s">
        <v>198</v>
      </c>
      <c r="O966" t="s">
        <v>2893</v>
      </c>
      <c r="P966" t="s">
        <v>2894</v>
      </c>
      <c r="R966" t="s">
        <v>2518</v>
      </c>
      <c r="S966" t="s">
        <v>183</v>
      </c>
      <c r="T966" t="s">
        <v>274</v>
      </c>
      <c r="U966" t="s">
        <v>150</v>
      </c>
      <c r="V966" t="s">
        <v>641</v>
      </c>
      <c r="W966">
        <v>890</v>
      </c>
      <c r="X966">
        <v>39.99</v>
      </c>
      <c r="Y966">
        <v>115</v>
      </c>
      <c r="Z966">
        <v>639000</v>
      </c>
      <c r="AA966">
        <v>129050</v>
      </c>
      <c r="AB966">
        <v>272</v>
      </c>
      <c r="AD966" t="s">
        <v>238</v>
      </c>
      <c r="AE966">
        <v>1</v>
      </c>
      <c r="AF966">
        <v>0</v>
      </c>
      <c r="AI966">
        <v>0</v>
      </c>
      <c r="AJ966">
        <v>50</v>
      </c>
      <c r="AK966">
        <v>50</v>
      </c>
      <c r="AL966">
        <v>145</v>
      </c>
      <c r="AM966">
        <v>60</v>
      </c>
      <c r="AN966">
        <v>0</v>
      </c>
      <c r="AO966">
        <v>60</v>
      </c>
      <c r="AP966" t="s">
        <v>80</v>
      </c>
      <c r="AQ966" t="s">
        <v>2257</v>
      </c>
      <c r="AS966" t="s">
        <v>86</v>
      </c>
      <c r="AT966" t="s">
        <v>86</v>
      </c>
      <c r="AU966" t="s">
        <v>86</v>
      </c>
      <c r="AV966" t="s">
        <v>3073</v>
      </c>
      <c r="AW966" t="s">
        <v>69</v>
      </c>
      <c r="AX966" t="s">
        <v>3074</v>
      </c>
      <c r="AY966" t="s">
        <v>3075</v>
      </c>
      <c r="AZ966" t="s">
        <v>310</v>
      </c>
      <c r="BA966" t="s">
        <v>244</v>
      </c>
      <c r="BB966" t="s">
        <v>244</v>
      </c>
      <c r="BC966" t="s">
        <v>244</v>
      </c>
      <c r="BD966" t="s">
        <v>3078</v>
      </c>
      <c r="BE966" t="s">
        <v>3077</v>
      </c>
      <c r="BF966" t="s">
        <v>279</v>
      </c>
      <c r="BG966" t="s">
        <v>87</v>
      </c>
      <c r="BH966" t="str">
        <f>IF(COUNTIF(工作表1!A:A, $C966)&gt;0, "預購款", "非預購款")</f>
        <v>非預購款</v>
      </c>
    </row>
    <row r="967" spans="1:60" x14ac:dyDescent="0.25">
      <c r="A967" t="s">
        <v>3079</v>
      </c>
      <c r="B967" t="s">
        <v>2174</v>
      </c>
      <c r="C967" t="s">
        <v>3080</v>
      </c>
      <c r="D967" t="s">
        <v>3081</v>
      </c>
      <c r="E967" t="s">
        <v>3082</v>
      </c>
      <c r="F967" t="s">
        <v>179</v>
      </c>
      <c r="G967" t="s">
        <v>3083</v>
      </c>
      <c r="H967" t="s">
        <v>119</v>
      </c>
      <c r="I967" t="s">
        <v>97</v>
      </c>
      <c r="J967" t="s">
        <v>98</v>
      </c>
      <c r="K967" t="s">
        <v>69</v>
      </c>
      <c r="L967" t="s">
        <v>3084</v>
      </c>
      <c r="M967" t="s">
        <v>71</v>
      </c>
      <c r="N967" t="s">
        <v>100</v>
      </c>
      <c r="O967" t="s">
        <v>2893</v>
      </c>
      <c r="P967" t="s">
        <v>2894</v>
      </c>
      <c r="R967" t="s">
        <v>2518</v>
      </c>
      <c r="S967" t="s">
        <v>183</v>
      </c>
      <c r="T967" t="s">
        <v>76</v>
      </c>
      <c r="U967" t="s">
        <v>150</v>
      </c>
      <c r="V967" t="s">
        <v>641</v>
      </c>
      <c r="W967">
        <v>790</v>
      </c>
      <c r="X967">
        <v>34.99</v>
      </c>
      <c r="Y967">
        <v>99</v>
      </c>
      <c r="Z967">
        <v>569000</v>
      </c>
      <c r="AA967">
        <v>1271900</v>
      </c>
      <c r="AB967">
        <v>210</v>
      </c>
      <c r="AD967" t="s">
        <v>238</v>
      </c>
      <c r="AE967">
        <v>2</v>
      </c>
      <c r="AF967">
        <v>15</v>
      </c>
      <c r="AI967">
        <v>10</v>
      </c>
      <c r="AJ967">
        <v>330</v>
      </c>
      <c r="AK967">
        <v>355</v>
      </c>
      <c r="AL967">
        <v>1610</v>
      </c>
      <c r="AM967">
        <v>370</v>
      </c>
      <c r="AN967">
        <v>0</v>
      </c>
      <c r="AO967">
        <v>370</v>
      </c>
      <c r="AP967" t="s">
        <v>80</v>
      </c>
      <c r="AQ967" t="s">
        <v>2257</v>
      </c>
      <c r="AR967" t="s">
        <v>86</v>
      </c>
      <c r="AS967" t="s">
        <v>240</v>
      </c>
      <c r="AT967" t="s">
        <v>240</v>
      </c>
      <c r="AU967" t="s">
        <v>240</v>
      </c>
      <c r="AV967" t="s">
        <v>81</v>
      </c>
      <c r="AW967" t="s">
        <v>69</v>
      </c>
      <c r="AX967" t="s">
        <v>126</v>
      </c>
      <c r="AY967" t="s">
        <v>3085</v>
      </c>
      <c r="AZ967" t="s">
        <v>310</v>
      </c>
      <c r="BA967" t="s">
        <v>244</v>
      </c>
      <c r="BB967" t="s">
        <v>244</v>
      </c>
      <c r="BC967" t="s">
        <v>244</v>
      </c>
      <c r="BD967" t="s">
        <v>3086</v>
      </c>
      <c r="BE967" t="s">
        <v>3087</v>
      </c>
      <c r="BF967" t="s">
        <v>86</v>
      </c>
      <c r="BG967" t="s">
        <v>87</v>
      </c>
      <c r="BH967" t="str">
        <f>IF(COUNTIF(工作表1!A:A, $C967)&gt;0, "預購款", "非預購款")</f>
        <v>非預購款</v>
      </c>
    </row>
    <row r="968" spans="1:60" x14ac:dyDescent="0.25">
      <c r="A968" t="s">
        <v>3079</v>
      </c>
      <c r="B968" t="s">
        <v>2174</v>
      </c>
      <c r="C968" t="s">
        <v>3080</v>
      </c>
      <c r="D968" t="s">
        <v>3081</v>
      </c>
      <c r="E968" t="s">
        <v>3082</v>
      </c>
      <c r="F968" t="s">
        <v>179</v>
      </c>
      <c r="G968" t="s">
        <v>3083</v>
      </c>
      <c r="H968" t="s">
        <v>130</v>
      </c>
      <c r="I968" t="s">
        <v>97</v>
      </c>
      <c r="J968" t="s">
        <v>98</v>
      </c>
      <c r="K968" t="s">
        <v>69</v>
      </c>
      <c r="L968" t="s">
        <v>3084</v>
      </c>
      <c r="M968" t="s">
        <v>71</v>
      </c>
      <c r="N968" t="s">
        <v>100</v>
      </c>
      <c r="O968" t="s">
        <v>2893</v>
      </c>
      <c r="P968" t="s">
        <v>2894</v>
      </c>
      <c r="R968" t="s">
        <v>2518</v>
      </c>
      <c r="S968" t="s">
        <v>183</v>
      </c>
      <c r="T968" t="s">
        <v>76</v>
      </c>
      <c r="U968" t="s">
        <v>150</v>
      </c>
      <c r="V968" t="s">
        <v>641</v>
      </c>
      <c r="W968">
        <v>790</v>
      </c>
      <c r="X968">
        <v>34.99</v>
      </c>
      <c r="Y968">
        <v>99</v>
      </c>
      <c r="Z968">
        <v>569000</v>
      </c>
      <c r="AA968">
        <v>1271900</v>
      </c>
      <c r="AB968">
        <v>210</v>
      </c>
      <c r="AD968" t="s">
        <v>238</v>
      </c>
      <c r="AE968">
        <v>2</v>
      </c>
      <c r="AF968">
        <v>10</v>
      </c>
      <c r="AI968">
        <v>30</v>
      </c>
      <c r="AJ968">
        <v>420</v>
      </c>
      <c r="AK968">
        <v>460</v>
      </c>
      <c r="AL968">
        <v>1610</v>
      </c>
      <c r="AM968">
        <v>469</v>
      </c>
      <c r="AN968">
        <v>0</v>
      </c>
      <c r="AO968">
        <v>469</v>
      </c>
      <c r="AP968" t="s">
        <v>80</v>
      </c>
      <c r="AQ968" t="s">
        <v>2257</v>
      </c>
      <c r="AR968" t="s">
        <v>86</v>
      </c>
      <c r="AS968" t="s">
        <v>240</v>
      </c>
      <c r="AT968" t="s">
        <v>240</v>
      </c>
      <c r="AU968" t="s">
        <v>240</v>
      </c>
      <c r="AV968" t="s">
        <v>81</v>
      </c>
      <c r="AW968" t="s">
        <v>69</v>
      </c>
      <c r="AX968" t="s">
        <v>126</v>
      </c>
      <c r="AY968" t="s">
        <v>3085</v>
      </c>
      <c r="AZ968" t="s">
        <v>310</v>
      </c>
      <c r="BA968" t="s">
        <v>244</v>
      </c>
      <c r="BB968" t="s">
        <v>244</v>
      </c>
      <c r="BC968" t="s">
        <v>244</v>
      </c>
      <c r="BD968" t="s">
        <v>3088</v>
      </c>
      <c r="BE968" t="s">
        <v>3087</v>
      </c>
      <c r="BF968" t="s">
        <v>86</v>
      </c>
      <c r="BG968" t="s">
        <v>87</v>
      </c>
      <c r="BH968" t="str">
        <f>IF(COUNTIF(工作表1!A:A, $C968)&gt;0, "預購款", "非預購款")</f>
        <v>非預購款</v>
      </c>
    </row>
    <row r="969" spans="1:60" x14ac:dyDescent="0.25">
      <c r="A969" t="s">
        <v>3079</v>
      </c>
      <c r="B969" t="s">
        <v>2174</v>
      </c>
      <c r="C969" t="s">
        <v>3080</v>
      </c>
      <c r="D969" t="s">
        <v>3081</v>
      </c>
      <c r="E969" t="s">
        <v>3082</v>
      </c>
      <c r="F969" t="s">
        <v>179</v>
      </c>
      <c r="G969" t="s">
        <v>3083</v>
      </c>
      <c r="H969" t="s">
        <v>119</v>
      </c>
      <c r="I969" t="s">
        <v>171</v>
      </c>
      <c r="J969" t="s">
        <v>172</v>
      </c>
      <c r="K969" t="s">
        <v>69</v>
      </c>
      <c r="L969" t="s">
        <v>3084</v>
      </c>
      <c r="M969" t="s">
        <v>71</v>
      </c>
      <c r="N969" t="s">
        <v>100</v>
      </c>
      <c r="O969" t="s">
        <v>2893</v>
      </c>
      <c r="P969" t="s">
        <v>2894</v>
      </c>
      <c r="R969" t="s">
        <v>2518</v>
      </c>
      <c r="S969" t="s">
        <v>183</v>
      </c>
      <c r="T969" t="s">
        <v>76</v>
      </c>
      <c r="U969" t="s">
        <v>150</v>
      </c>
      <c r="V969" t="s">
        <v>641</v>
      </c>
      <c r="W969">
        <v>790</v>
      </c>
      <c r="X969">
        <v>34.99</v>
      </c>
      <c r="Y969">
        <v>99</v>
      </c>
      <c r="Z969">
        <v>569000</v>
      </c>
      <c r="AA969">
        <v>1271900</v>
      </c>
      <c r="AB969">
        <v>210</v>
      </c>
      <c r="AD969" t="s">
        <v>238</v>
      </c>
      <c r="AE969">
        <v>2</v>
      </c>
      <c r="AF969">
        <v>15</v>
      </c>
      <c r="AI969">
        <v>0</v>
      </c>
      <c r="AJ969">
        <v>370</v>
      </c>
      <c r="AK969">
        <v>385</v>
      </c>
      <c r="AL969">
        <v>1610</v>
      </c>
      <c r="AM969">
        <v>400</v>
      </c>
      <c r="AN969">
        <v>0</v>
      </c>
      <c r="AO969">
        <v>400</v>
      </c>
      <c r="AP969" t="s">
        <v>80</v>
      </c>
      <c r="AQ969" t="s">
        <v>2257</v>
      </c>
      <c r="AR969" t="s">
        <v>86</v>
      </c>
      <c r="AS969" t="s">
        <v>240</v>
      </c>
      <c r="AT969" t="s">
        <v>240</v>
      </c>
      <c r="AU969" t="s">
        <v>240</v>
      </c>
      <c r="AV969" t="s">
        <v>81</v>
      </c>
      <c r="AW969" t="s">
        <v>69</v>
      </c>
      <c r="AX969" t="s">
        <v>126</v>
      </c>
      <c r="AY969" t="s">
        <v>3085</v>
      </c>
      <c r="AZ969" t="s">
        <v>310</v>
      </c>
      <c r="BA969" t="s">
        <v>244</v>
      </c>
      <c r="BB969" t="s">
        <v>244</v>
      </c>
      <c r="BC969" t="s">
        <v>244</v>
      </c>
      <c r="BD969" t="s">
        <v>3089</v>
      </c>
      <c r="BE969" t="s">
        <v>3087</v>
      </c>
      <c r="BF969" t="s">
        <v>86</v>
      </c>
      <c r="BG969" t="s">
        <v>87</v>
      </c>
      <c r="BH969" t="str">
        <f>IF(COUNTIF(工作表1!A:A, $C969)&gt;0, "預購款", "非預購款")</f>
        <v>非預購款</v>
      </c>
    </row>
    <row r="970" spans="1:60" x14ac:dyDescent="0.25">
      <c r="A970" t="s">
        <v>3079</v>
      </c>
      <c r="B970" t="s">
        <v>2174</v>
      </c>
      <c r="C970" t="s">
        <v>3080</v>
      </c>
      <c r="D970" t="s">
        <v>3081</v>
      </c>
      <c r="E970" t="s">
        <v>3082</v>
      </c>
      <c r="F970" t="s">
        <v>179</v>
      </c>
      <c r="G970" t="s">
        <v>3083</v>
      </c>
      <c r="H970" t="s">
        <v>130</v>
      </c>
      <c r="I970" t="s">
        <v>171</v>
      </c>
      <c r="J970" t="s">
        <v>172</v>
      </c>
      <c r="K970" t="s">
        <v>69</v>
      </c>
      <c r="L970" t="s">
        <v>3084</v>
      </c>
      <c r="M970" t="s">
        <v>71</v>
      </c>
      <c r="N970" t="s">
        <v>100</v>
      </c>
      <c r="O970" t="s">
        <v>2893</v>
      </c>
      <c r="P970" t="s">
        <v>2894</v>
      </c>
      <c r="R970" t="s">
        <v>2518</v>
      </c>
      <c r="S970" t="s">
        <v>183</v>
      </c>
      <c r="T970" t="s">
        <v>76</v>
      </c>
      <c r="U970" t="s">
        <v>150</v>
      </c>
      <c r="V970" t="s">
        <v>641</v>
      </c>
      <c r="W970">
        <v>790</v>
      </c>
      <c r="X970">
        <v>34.99</v>
      </c>
      <c r="Y970">
        <v>99</v>
      </c>
      <c r="Z970">
        <v>569000</v>
      </c>
      <c r="AA970">
        <v>1271900</v>
      </c>
      <c r="AB970">
        <v>210</v>
      </c>
      <c r="AD970" t="s">
        <v>238</v>
      </c>
      <c r="AE970">
        <v>2</v>
      </c>
      <c r="AF970">
        <v>10</v>
      </c>
      <c r="AI970">
        <v>30</v>
      </c>
      <c r="AJ970">
        <v>370</v>
      </c>
      <c r="AK970">
        <v>410</v>
      </c>
      <c r="AL970">
        <v>1610</v>
      </c>
      <c r="AM970">
        <v>419</v>
      </c>
      <c r="AN970">
        <v>0</v>
      </c>
      <c r="AO970">
        <v>419</v>
      </c>
      <c r="AP970" t="s">
        <v>80</v>
      </c>
      <c r="AQ970" t="s">
        <v>2257</v>
      </c>
      <c r="AR970" t="s">
        <v>86</v>
      </c>
      <c r="AS970" t="s">
        <v>240</v>
      </c>
      <c r="AT970" t="s">
        <v>240</v>
      </c>
      <c r="AU970" t="s">
        <v>240</v>
      </c>
      <c r="AV970" t="s">
        <v>81</v>
      </c>
      <c r="AW970" t="s">
        <v>69</v>
      </c>
      <c r="AX970" t="s">
        <v>126</v>
      </c>
      <c r="AY970" t="s">
        <v>3085</v>
      </c>
      <c r="AZ970" t="s">
        <v>310</v>
      </c>
      <c r="BA970" t="s">
        <v>244</v>
      </c>
      <c r="BB970" t="s">
        <v>244</v>
      </c>
      <c r="BC970" t="s">
        <v>244</v>
      </c>
      <c r="BD970" t="s">
        <v>3090</v>
      </c>
      <c r="BE970" t="s">
        <v>3087</v>
      </c>
      <c r="BF970" t="s">
        <v>86</v>
      </c>
      <c r="BG970" t="s">
        <v>87</v>
      </c>
      <c r="BH970" t="str">
        <f>IF(COUNTIF(工作表1!A:A, $C970)&gt;0, "預購款", "非預購款")</f>
        <v>非預購款</v>
      </c>
    </row>
    <row r="971" spans="1:60" x14ac:dyDescent="0.25">
      <c r="A971" t="s">
        <v>3091</v>
      </c>
      <c r="B971" t="s">
        <v>2174</v>
      </c>
      <c r="C971" t="s">
        <v>3092</v>
      </c>
      <c r="D971" t="s">
        <v>3093</v>
      </c>
      <c r="E971" t="s">
        <v>3094</v>
      </c>
      <c r="F971" t="s">
        <v>179</v>
      </c>
      <c r="G971" t="s">
        <v>3095</v>
      </c>
      <c r="H971" t="s">
        <v>273</v>
      </c>
      <c r="I971" t="s">
        <v>97</v>
      </c>
      <c r="J971" t="s">
        <v>98</v>
      </c>
      <c r="K971" t="s">
        <v>69</v>
      </c>
      <c r="L971" t="s">
        <v>3096</v>
      </c>
      <c r="M971" t="s">
        <v>71</v>
      </c>
      <c r="N971" t="s">
        <v>198</v>
      </c>
      <c r="O971" t="s">
        <v>2893</v>
      </c>
      <c r="P971" t="s">
        <v>2894</v>
      </c>
      <c r="R971" t="s">
        <v>2518</v>
      </c>
      <c r="S971" t="s">
        <v>183</v>
      </c>
      <c r="T971" t="s">
        <v>274</v>
      </c>
      <c r="U971" t="s">
        <v>150</v>
      </c>
      <c r="V971" t="s">
        <v>641</v>
      </c>
      <c r="W971">
        <v>890</v>
      </c>
      <c r="X971">
        <v>39.99</v>
      </c>
      <c r="Y971">
        <v>115</v>
      </c>
      <c r="Z971">
        <v>639000</v>
      </c>
      <c r="AA971">
        <v>282130</v>
      </c>
      <c r="AB971">
        <v>272</v>
      </c>
      <c r="AD971" t="s">
        <v>238</v>
      </c>
      <c r="AE971">
        <v>1</v>
      </c>
      <c r="AF971">
        <v>5</v>
      </c>
      <c r="AI971">
        <v>0</v>
      </c>
      <c r="AJ971">
        <v>180</v>
      </c>
      <c r="AK971">
        <v>185</v>
      </c>
      <c r="AL971">
        <v>317</v>
      </c>
      <c r="AM971">
        <v>200</v>
      </c>
      <c r="AN971">
        <v>0</v>
      </c>
      <c r="AO971">
        <v>200</v>
      </c>
      <c r="AP971" t="s">
        <v>80</v>
      </c>
      <c r="AQ971" t="s">
        <v>2257</v>
      </c>
      <c r="AS971" t="s">
        <v>86</v>
      </c>
      <c r="AT971" t="s">
        <v>86</v>
      </c>
      <c r="AU971" t="s">
        <v>86</v>
      </c>
      <c r="AV971" t="s">
        <v>3097</v>
      </c>
      <c r="AW971" t="s">
        <v>69</v>
      </c>
      <c r="AX971" t="s">
        <v>3098</v>
      </c>
      <c r="AY971" t="s">
        <v>3075</v>
      </c>
      <c r="AZ971" t="s">
        <v>310</v>
      </c>
      <c r="BA971" t="s">
        <v>244</v>
      </c>
      <c r="BB971" t="s">
        <v>244</v>
      </c>
      <c r="BC971" t="s">
        <v>244</v>
      </c>
      <c r="BD971" t="s">
        <v>3099</v>
      </c>
      <c r="BE971" t="s">
        <v>3100</v>
      </c>
      <c r="BF971" t="s">
        <v>279</v>
      </c>
      <c r="BG971" t="s">
        <v>87</v>
      </c>
      <c r="BH971" t="str">
        <f>IF(COUNTIF(工作表1!A:A, $C971)&gt;0, "預購款", "非預購款")</f>
        <v>非預購款</v>
      </c>
    </row>
    <row r="972" spans="1:60" x14ac:dyDescent="0.25">
      <c r="A972" t="s">
        <v>3091</v>
      </c>
      <c r="B972" t="s">
        <v>2174</v>
      </c>
      <c r="C972" t="s">
        <v>3092</v>
      </c>
      <c r="D972" t="s">
        <v>3093</v>
      </c>
      <c r="E972" t="s">
        <v>3094</v>
      </c>
      <c r="F972" t="s">
        <v>179</v>
      </c>
      <c r="G972" t="s">
        <v>3095</v>
      </c>
      <c r="H972" t="s">
        <v>280</v>
      </c>
      <c r="I972" t="s">
        <v>97</v>
      </c>
      <c r="J972" t="s">
        <v>98</v>
      </c>
      <c r="K972" t="s">
        <v>69</v>
      </c>
      <c r="L972" t="s">
        <v>3096</v>
      </c>
      <c r="M972" t="s">
        <v>71</v>
      </c>
      <c r="N972" t="s">
        <v>198</v>
      </c>
      <c r="O972" t="s">
        <v>2893</v>
      </c>
      <c r="P972" t="s">
        <v>2894</v>
      </c>
      <c r="R972" t="s">
        <v>2518</v>
      </c>
      <c r="S972" t="s">
        <v>183</v>
      </c>
      <c r="T972" t="s">
        <v>274</v>
      </c>
      <c r="U972" t="s">
        <v>150</v>
      </c>
      <c r="V972" t="s">
        <v>641</v>
      </c>
      <c r="W972">
        <v>890</v>
      </c>
      <c r="X972">
        <v>39.99</v>
      </c>
      <c r="Y972">
        <v>115</v>
      </c>
      <c r="Z972">
        <v>639000</v>
      </c>
      <c r="AA972">
        <v>282130</v>
      </c>
      <c r="AB972">
        <v>272</v>
      </c>
      <c r="AD972" t="s">
        <v>238</v>
      </c>
      <c r="AE972">
        <v>1</v>
      </c>
      <c r="AF972">
        <v>2</v>
      </c>
      <c r="AI972">
        <v>0</v>
      </c>
      <c r="AJ972">
        <v>130</v>
      </c>
      <c r="AK972">
        <v>132</v>
      </c>
      <c r="AL972">
        <v>317</v>
      </c>
      <c r="AM972">
        <v>150</v>
      </c>
      <c r="AN972">
        <v>0</v>
      </c>
      <c r="AO972">
        <v>150</v>
      </c>
      <c r="AP972" t="s">
        <v>80</v>
      </c>
      <c r="AQ972" t="s">
        <v>2257</v>
      </c>
      <c r="AS972" t="s">
        <v>86</v>
      </c>
      <c r="AT972" t="s">
        <v>86</v>
      </c>
      <c r="AU972" t="s">
        <v>86</v>
      </c>
      <c r="AV972" t="s">
        <v>3097</v>
      </c>
      <c r="AW972" t="s">
        <v>69</v>
      </c>
      <c r="AX972" t="s">
        <v>3098</v>
      </c>
      <c r="AY972" t="s">
        <v>3075</v>
      </c>
      <c r="AZ972" t="s">
        <v>310</v>
      </c>
      <c r="BA972" t="s">
        <v>244</v>
      </c>
      <c r="BB972" t="s">
        <v>244</v>
      </c>
      <c r="BC972" t="s">
        <v>244</v>
      </c>
      <c r="BD972" t="s">
        <v>3101</v>
      </c>
      <c r="BE972" t="s">
        <v>3100</v>
      </c>
      <c r="BF972" t="s">
        <v>279</v>
      </c>
      <c r="BG972" t="s">
        <v>87</v>
      </c>
      <c r="BH972" t="str">
        <f>IF(COUNTIF(工作表1!A:A, $C972)&gt;0, "預購款", "非預購款")</f>
        <v>非預購款</v>
      </c>
    </row>
    <row r="973" spans="1:60" x14ac:dyDescent="0.25">
      <c r="A973" t="s">
        <v>3102</v>
      </c>
      <c r="B973" t="s">
        <v>2174</v>
      </c>
      <c r="C973" t="s">
        <v>3103</v>
      </c>
      <c r="D973" t="s">
        <v>3104</v>
      </c>
      <c r="E973" t="s">
        <v>3105</v>
      </c>
      <c r="F973" t="s">
        <v>179</v>
      </c>
      <c r="G973" t="s">
        <v>3106</v>
      </c>
      <c r="H973" t="s">
        <v>119</v>
      </c>
      <c r="I973" t="s">
        <v>97</v>
      </c>
      <c r="J973" t="s">
        <v>98</v>
      </c>
      <c r="K973" t="s">
        <v>69</v>
      </c>
      <c r="L973" t="s">
        <v>3107</v>
      </c>
      <c r="M973" t="s">
        <v>71</v>
      </c>
      <c r="N973" t="s">
        <v>198</v>
      </c>
      <c r="O973" t="s">
        <v>2893</v>
      </c>
      <c r="P973" t="s">
        <v>2894</v>
      </c>
      <c r="R973" t="s">
        <v>2518</v>
      </c>
      <c r="S973" t="s">
        <v>183</v>
      </c>
      <c r="T973" t="s">
        <v>258</v>
      </c>
      <c r="U973" t="s">
        <v>150</v>
      </c>
      <c r="V973" t="s">
        <v>641</v>
      </c>
      <c r="W973">
        <v>690</v>
      </c>
      <c r="X973">
        <v>29.99</v>
      </c>
      <c r="Y973">
        <v>89</v>
      </c>
      <c r="Z973">
        <v>499000</v>
      </c>
      <c r="AA973">
        <v>574770</v>
      </c>
      <c r="AB973">
        <v>205</v>
      </c>
      <c r="AD973" t="s">
        <v>238</v>
      </c>
      <c r="AE973">
        <v>3</v>
      </c>
      <c r="AF973">
        <v>10</v>
      </c>
      <c r="AI973">
        <v>20</v>
      </c>
      <c r="AJ973">
        <v>70</v>
      </c>
      <c r="AK973">
        <v>100</v>
      </c>
      <c r="AL973">
        <v>833</v>
      </c>
      <c r="AM973">
        <v>108</v>
      </c>
      <c r="AN973">
        <v>0</v>
      </c>
      <c r="AO973">
        <v>108</v>
      </c>
      <c r="AP973" t="s">
        <v>80</v>
      </c>
      <c r="AQ973" t="s">
        <v>2257</v>
      </c>
      <c r="AR973" t="s">
        <v>86</v>
      </c>
      <c r="AS973" t="s">
        <v>86</v>
      </c>
      <c r="AT973" t="s">
        <v>240</v>
      </c>
      <c r="AU973" t="s">
        <v>86</v>
      </c>
      <c r="AV973" t="s">
        <v>81</v>
      </c>
      <c r="AW973" t="s">
        <v>69</v>
      </c>
      <c r="AX973" t="s">
        <v>262</v>
      </c>
      <c r="AY973" t="s">
        <v>3108</v>
      </c>
      <c r="AZ973" t="s">
        <v>245</v>
      </c>
      <c r="BA973" t="s">
        <v>244</v>
      </c>
      <c r="BB973" t="s">
        <v>244</v>
      </c>
      <c r="BC973" t="s">
        <v>244</v>
      </c>
      <c r="BD973" t="s">
        <v>3109</v>
      </c>
      <c r="BE973" t="s">
        <v>3110</v>
      </c>
      <c r="BF973" t="s">
        <v>240</v>
      </c>
      <c r="BG973" t="s">
        <v>87</v>
      </c>
      <c r="BH973" t="str">
        <f>IF(COUNTIF(工作表1!A:A, $C973)&gt;0, "預購款", "非預購款")</f>
        <v>非預購款</v>
      </c>
    </row>
    <row r="974" spans="1:60" x14ac:dyDescent="0.25">
      <c r="A974" t="s">
        <v>3102</v>
      </c>
      <c r="B974" t="s">
        <v>2174</v>
      </c>
      <c r="C974" t="s">
        <v>3103</v>
      </c>
      <c r="D974" t="s">
        <v>3104</v>
      </c>
      <c r="E974" t="s">
        <v>3105</v>
      </c>
      <c r="F974" t="s">
        <v>179</v>
      </c>
      <c r="G974" t="s">
        <v>3106</v>
      </c>
      <c r="H974" t="s">
        <v>130</v>
      </c>
      <c r="I974" t="s">
        <v>97</v>
      </c>
      <c r="J974" t="s">
        <v>98</v>
      </c>
      <c r="K974" t="s">
        <v>69</v>
      </c>
      <c r="L974" t="s">
        <v>3107</v>
      </c>
      <c r="M974" t="s">
        <v>71</v>
      </c>
      <c r="N974" t="s">
        <v>198</v>
      </c>
      <c r="O974" t="s">
        <v>2893</v>
      </c>
      <c r="P974" t="s">
        <v>2894</v>
      </c>
      <c r="R974" t="s">
        <v>2518</v>
      </c>
      <c r="S974" t="s">
        <v>183</v>
      </c>
      <c r="T974" t="s">
        <v>258</v>
      </c>
      <c r="U974" t="s">
        <v>150</v>
      </c>
      <c r="V974" t="s">
        <v>641</v>
      </c>
      <c r="W974">
        <v>690</v>
      </c>
      <c r="X974">
        <v>29.99</v>
      </c>
      <c r="Y974">
        <v>89</v>
      </c>
      <c r="Z974">
        <v>499000</v>
      </c>
      <c r="AA974">
        <v>574770</v>
      </c>
      <c r="AB974">
        <v>205</v>
      </c>
      <c r="AD974" t="s">
        <v>238</v>
      </c>
      <c r="AE974">
        <v>3</v>
      </c>
      <c r="AF974">
        <v>5</v>
      </c>
      <c r="AI974">
        <v>20</v>
      </c>
      <c r="AJ974">
        <v>140</v>
      </c>
      <c r="AK974">
        <v>165</v>
      </c>
      <c r="AL974">
        <v>833</v>
      </c>
      <c r="AM974">
        <v>180</v>
      </c>
      <c r="AN974">
        <v>0</v>
      </c>
      <c r="AO974">
        <v>180</v>
      </c>
      <c r="AP974" t="s">
        <v>80</v>
      </c>
      <c r="AQ974" t="s">
        <v>2257</v>
      </c>
      <c r="AR974" t="s">
        <v>86</v>
      </c>
      <c r="AS974" t="s">
        <v>86</v>
      </c>
      <c r="AT974" t="s">
        <v>240</v>
      </c>
      <c r="AU974" t="s">
        <v>86</v>
      </c>
      <c r="AV974" t="s">
        <v>81</v>
      </c>
      <c r="AW974" t="s">
        <v>69</v>
      </c>
      <c r="AX974" t="s">
        <v>262</v>
      </c>
      <c r="AY974" t="s">
        <v>3108</v>
      </c>
      <c r="AZ974" t="s">
        <v>245</v>
      </c>
      <c r="BA974" t="s">
        <v>244</v>
      </c>
      <c r="BB974" t="s">
        <v>244</v>
      </c>
      <c r="BC974" t="s">
        <v>244</v>
      </c>
      <c r="BD974" t="s">
        <v>3111</v>
      </c>
      <c r="BE974" t="s">
        <v>3110</v>
      </c>
      <c r="BF974" t="s">
        <v>240</v>
      </c>
      <c r="BG974" t="s">
        <v>87</v>
      </c>
      <c r="BH974" t="str">
        <f>IF(COUNTIF(工作表1!A:A, $C974)&gt;0, "預購款", "非預購款")</f>
        <v>非預購款</v>
      </c>
    </row>
    <row r="975" spans="1:60" x14ac:dyDescent="0.25">
      <c r="A975" t="s">
        <v>3102</v>
      </c>
      <c r="B975" t="s">
        <v>2174</v>
      </c>
      <c r="C975" t="s">
        <v>3103</v>
      </c>
      <c r="D975" t="s">
        <v>3104</v>
      </c>
      <c r="E975" t="s">
        <v>3105</v>
      </c>
      <c r="F975" t="s">
        <v>179</v>
      </c>
      <c r="G975" t="s">
        <v>3106</v>
      </c>
      <c r="H975" t="s">
        <v>119</v>
      </c>
      <c r="I975" t="s">
        <v>162</v>
      </c>
      <c r="J975" t="s">
        <v>163</v>
      </c>
      <c r="K975" t="s">
        <v>69</v>
      </c>
      <c r="L975" t="s">
        <v>3107</v>
      </c>
      <c r="M975" t="s">
        <v>71</v>
      </c>
      <c r="N975" t="s">
        <v>198</v>
      </c>
      <c r="O975" t="s">
        <v>2893</v>
      </c>
      <c r="P975" t="s">
        <v>2894</v>
      </c>
      <c r="R975" t="s">
        <v>2518</v>
      </c>
      <c r="S975" t="s">
        <v>183</v>
      </c>
      <c r="T975" t="s">
        <v>258</v>
      </c>
      <c r="U975" t="s">
        <v>150</v>
      </c>
      <c r="V975" t="s">
        <v>641</v>
      </c>
      <c r="W975">
        <v>690</v>
      </c>
      <c r="X975">
        <v>29.99</v>
      </c>
      <c r="Y975">
        <v>89</v>
      </c>
      <c r="Z975">
        <v>499000</v>
      </c>
      <c r="AA975">
        <v>574770</v>
      </c>
      <c r="AB975">
        <v>205</v>
      </c>
      <c r="AD975" t="s">
        <v>238</v>
      </c>
      <c r="AE975">
        <v>3</v>
      </c>
      <c r="AF975">
        <v>6</v>
      </c>
      <c r="AI975">
        <v>20</v>
      </c>
      <c r="AJ975">
        <v>90</v>
      </c>
      <c r="AK975">
        <v>116</v>
      </c>
      <c r="AL975">
        <v>833</v>
      </c>
      <c r="AM975">
        <v>119</v>
      </c>
      <c r="AN975">
        <v>0</v>
      </c>
      <c r="AO975">
        <v>119</v>
      </c>
      <c r="AP975" t="s">
        <v>80</v>
      </c>
      <c r="AQ975" t="s">
        <v>2257</v>
      </c>
      <c r="AR975" t="s">
        <v>86</v>
      </c>
      <c r="AS975" t="s">
        <v>86</v>
      </c>
      <c r="AT975" t="s">
        <v>240</v>
      </c>
      <c r="AU975" t="s">
        <v>86</v>
      </c>
      <c r="AV975" t="s">
        <v>81</v>
      </c>
      <c r="AW975" t="s">
        <v>69</v>
      </c>
      <c r="AX975" t="s">
        <v>262</v>
      </c>
      <c r="AY975" t="s">
        <v>3108</v>
      </c>
      <c r="AZ975" t="s">
        <v>245</v>
      </c>
      <c r="BA975" t="s">
        <v>244</v>
      </c>
      <c r="BB975" t="s">
        <v>244</v>
      </c>
      <c r="BC975" t="s">
        <v>244</v>
      </c>
      <c r="BD975" t="s">
        <v>3112</v>
      </c>
      <c r="BE975" t="s">
        <v>3110</v>
      </c>
      <c r="BF975" t="s">
        <v>240</v>
      </c>
      <c r="BG975" t="s">
        <v>87</v>
      </c>
      <c r="BH975" t="str">
        <f>IF(COUNTIF(工作表1!A:A, $C975)&gt;0, "預購款", "非預購款")</f>
        <v>非預購款</v>
      </c>
    </row>
    <row r="976" spans="1:60" x14ac:dyDescent="0.25">
      <c r="A976" t="s">
        <v>3102</v>
      </c>
      <c r="B976" t="s">
        <v>2174</v>
      </c>
      <c r="C976" t="s">
        <v>3103</v>
      </c>
      <c r="D976" t="s">
        <v>3104</v>
      </c>
      <c r="E976" t="s">
        <v>3105</v>
      </c>
      <c r="F976" t="s">
        <v>179</v>
      </c>
      <c r="G976" t="s">
        <v>3106</v>
      </c>
      <c r="H976" t="s">
        <v>130</v>
      </c>
      <c r="I976" t="s">
        <v>162</v>
      </c>
      <c r="J976" t="s">
        <v>163</v>
      </c>
      <c r="K976" t="s">
        <v>69</v>
      </c>
      <c r="L976" t="s">
        <v>3107</v>
      </c>
      <c r="M976" t="s">
        <v>71</v>
      </c>
      <c r="N976" t="s">
        <v>198</v>
      </c>
      <c r="O976" t="s">
        <v>2893</v>
      </c>
      <c r="P976" t="s">
        <v>2894</v>
      </c>
      <c r="R976" t="s">
        <v>2518</v>
      </c>
      <c r="S976" t="s">
        <v>183</v>
      </c>
      <c r="T976" t="s">
        <v>258</v>
      </c>
      <c r="U976" t="s">
        <v>150</v>
      </c>
      <c r="V976" t="s">
        <v>641</v>
      </c>
      <c r="W976">
        <v>690</v>
      </c>
      <c r="X976">
        <v>29.99</v>
      </c>
      <c r="Y976">
        <v>89</v>
      </c>
      <c r="Z976">
        <v>499000</v>
      </c>
      <c r="AA976">
        <v>574770</v>
      </c>
      <c r="AB976">
        <v>205</v>
      </c>
      <c r="AD976" t="s">
        <v>238</v>
      </c>
      <c r="AE976">
        <v>3</v>
      </c>
      <c r="AF976">
        <v>3</v>
      </c>
      <c r="AI976">
        <v>20</v>
      </c>
      <c r="AJ976">
        <v>170</v>
      </c>
      <c r="AK976">
        <v>193</v>
      </c>
      <c r="AL976">
        <v>833</v>
      </c>
      <c r="AM976">
        <v>204</v>
      </c>
      <c r="AN976">
        <v>0</v>
      </c>
      <c r="AO976">
        <v>204</v>
      </c>
      <c r="AP976" t="s">
        <v>80</v>
      </c>
      <c r="AQ976" t="s">
        <v>2257</v>
      </c>
      <c r="AR976" t="s">
        <v>86</v>
      </c>
      <c r="AS976" t="s">
        <v>86</v>
      </c>
      <c r="AT976" t="s">
        <v>240</v>
      </c>
      <c r="AU976" t="s">
        <v>86</v>
      </c>
      <c r="AV976" t="s">
        <v>81</v>
      </c>
      <c r="AW976" t="s">
        <v>69</v>
      </c>
      <c r="AX976" t="s">
        <v>262</v>
      </c>
      <c r="AY976" t="s">
        <v>3108</v>
      </c>
      <c r="AZ976" t="s">
        <v>245</v>
      </c>
      <c r="BA976" t="s">
        <v>244</v>
      </c>
      <c r="BB976" t="s">
        <v>244</v>
      </c>
      <c r="BC976" t="s">
        <v>244</v>
      </c>
      <c r="BD976" t="s">
        <v>3113</v>
      </c>
      <c r="BE976" t="s">
        <v>3110</v>
      </c>
      <c r="BF976" t="s">
        <v>240</v>
      </c>
      <c r="BG976" t="s">
        <v>87</v>
      </c>
      <c r="BH976" t="str">
        <f>IF(COUNTIF(工作表1!A:A, $C976)&gt;0, "預購款", "非預購款")</f>
        <v>非預購款</v>
      </c>
    </row>
    <row r="977" spans="1:60" x14ac:dyDescent="0.25">
      <c r="A977" t="s">
        <v>3102</v>
      </c>
      <c r="B977" t="s">
        <v>2174</v>
      </c>
      <c r="C977" t="s">
        <v>3103</v>
      </c>
      <c r="D977" t="s">
        <v>3104</v>
      </c>
      <c r="E977" t="s">
        <v>3105</v>
      </c>
      <c r="F977" t="s">
        <v>179</v>
      </c>
      <c r="G977" t="s">
        <v>3106</v>
      </c>
      <c r="H977" t="s">
        <v>119</v>
      </c>
      <c r="I977" t="s">
        <v>1228</v>
      </c>
      <c r="J977" t="s">
        <v>1229</v>
      </c>
      <c r="K977" t="s">
        <v>69</v>
      </c>
      <c r="L977" t="s">
        <v>3107</v>
      </c>
      <c r="M977" t="s">
        <v>71</v>
      </c>
      <c r="N977" t="s">
        <v>198</v>
      </c>
      <c r="O977" t="s">
        <v>2893</v>
      </c>
      <c r="P977" t="s">
        <v>2894</v>
      </c>
      <c r="R977" t="s">
        <v>2518</v>
      </c>
      <c r="S977" t="s">
        <v>183</v>
      </c>
      <c r="T977" t="s">
        <v>258</v>
      </c>
      <c r="U977" t="s">
        <v>150</v>
      </c>
      <c r="V977" t="s">
        <v>641</v>
      </c>
      <c r="W977">
        <v>690</v>
      </c>
      <c r="X977">
        <v>29.99</v>
      </c>
      <c r="Y977">
        <v>89</v>
      </c>
      <c r="Z977">
        <v>499000</v>
      </c>
      <c r="AA977">
        <v>574770</v>
      </c>
      <c r="AB977">
        <v>205</v>
      </c>
      <c r="AD977" t="s">
        <v>238</v>
      </c>
      <c r="AE977">
        <v>3</v>
      </c>
      <c r="AF977">
        <v>6</v>
      </c>
      <c r="AI977">
        <v>20</v>
      </c>
      <c r="AJ977">
        <v>80</v>
      </c>
      <c r="AK977">
        <v>106</v>
      </c>
      <c r="AL977">
        <v>833</v>
      </c>
      <c r="AM977">
        <v>108</v>
      </c>
      <c r="AN977">
        <v>0</v>
      </c>
      <c r="AO977">
        <v>108</v>
      </c>
      <c r="AP977" t="s">
        <v>80</v>
      </c>
      <c r="AQ977" t="s">
        <v>2257</v>
      </c>
      <c r="AR977" t="s">
        <v>86</v>
      </c>
      <c r="AS977" t="s">
        <v>86</v>
      </c>
      <c r="AT977" t="s">
        <v>240</v>
      </c>
      <c r="AU977" t="s">
        <v>86</v>
      </c>
      <c r="AV977" t="s">
        <v>81</v>
      </c>
      <c r="AW977" t="s">
        <v>69</v>
      </c>
      <c r="AX977" t="s">
        <v>262</v>
      </c>
      <c r="AY977" t="s">
        <v>3108</v>
      </c>
      <c r="AZ977" t="s">
        <v>245</v>
      </c>
      <c r="BA977" t="s">
        <v>244</v>
      </c>
      <c r="BB977" t="s">
        <v>244</v>
      </c>
      <c r="BC977" t="s">
        <v>244</v>
      </c>
      <c r="BD977" t="s">
        <v>3114</v>
      </c>
      <c r="BE977" t="s">
        <v>3110</v>
      </c>
      <c r="BF977" t="s">
        <v>240</v>
      </c>
      <c r="BG977" t="s">
        <v>87</v>
      </c>
      <c r="BH977" t="str">
        <f>IF(COUNTIF(工作表1!A:A, $C977)&gt;0, "預購款", "非預購款")</f>
        <v>非預購款</v>
      </c>
    </row>
    <row r="978" spans="1:60" x14ac:dyDescent="0.25">
      <c r="A978" t="s">
        <v>3102</v>
      </c>
      <c r="B978" t="s">
        <v>2174</v>
      </c>
      <c r="C978" t="s">
        <v>3103</v>
      </c>
      <c r="D978" t="s">
        <v>3104</v>
      </c>
      <c r="E978" t="s">
        <v>3105</v>
      </c>
      <c r="F978" t="s">
        <v>179</v>
      </c>
      <c r="G978" t="s">
        <v>3106</v>
      </c>
      <c r="H978" t="s">
        <v>130</v>
      </c>
      <c r="I978" t="s">
        <v>1228</v>
      </c>
      <c r="J978" t="s">
        <v>1229</v>
      </c>
      <c r="K978" t="s">
        <v>69</v>
      </c>
      <c r="L978" t="s">
        <v>3107</v>
      </c>
      <c r="M978" t="s">
        <v>71</v>
      </c>
      <c r="N978" t="s">
        <v>198</v>
      </c>
      <c r="O978" t="s">
        <v>2893</v>
      </c>
      <c r="P978" t="s">
        <v>2894</v>
      </c>
      <c r="R978" t="s">
        <v>2518</v>
      </c>
      <c r="S978" t="s">
        <v>183</v>
      </c>
      <c r="T978" t="s">
        <v>258</v>
      </c>
      <c r="U978" t="s">
        <v>150</v>
      </c>
      <c r="V978" t="s">
        <v>641</v>
      </c>
      <c r="W978">
        <v>690</v>
      </c>
      <c r="X978">
        <v>29.99</v>
      </c>
      <c r="Y978">
        <v>89</v>
      </c>
      <c r="Z978">
        <v>499000</v>
      </c>
      <c r="AA978">
        <v>574770</v>
      </c>
      <c r="AB978">
        <v>205</v>
      </c>
      <c r="AD978" t="s">
        <v>238</v>
      </c>
      <c r="AE978">
        <v>3</v>
      </c>
      <c r="AF978">
        <v>3</v>
      </c>
      <c r="AI978">
        <v>20</v>
      </c>
      <c r="AJ978">
        <v>130</v>
      </c>
      <c r="AK978">
        <v>153</v>
      </c>
      <c r="AL978">
        <v>833</v>
      </c>
      <c r="AM978">
        <v>167</v>
      </c>
      <c r="AN978">
        <v>0</v>
      </c>
      <c r="AO978">
        <v>167</v>
      </c>
      <c r="AP978" t="s">
        <v>80</v>
      </c>
      <c r="AQ978" t="s">
        <v>2257</v>
      </c>
      <c r="AR978" t="s">
        <v>86</v>
      </c>
      <c r="AS978" t="s">
        <v>86</v>
      </c>
      <c r="AT978" t="s">
        <v>240</v>
      </c>
      <c r="AU978" t="s">
        <v>86</v>
      </c>
      <c r="AV978" t="s">
        <v>81</v>
      </c>
      <c r="AW978" t="s">
        <v>69</v>
      </c>
      <c r="AX978" t="s">
        <v>262</v>
      </c>
      <c r="AY978" t="s">
        <v>3108</v>
      </c>
      <c r="AZ978" t="s">
        <v>245</v>
      </c>
      <c r="BA978" t="s">
        <v>244</v>
      </c>
      <c r="BB978" t="s">
        <v>244</v>
      </c>
      <c r="BC978" t="s">
        <v>244</v>
      </c>
      <c r="BD978" t="s">
        <v>3115</v>
      </c>
      <c r="BE978" t="s">
        <v>3110</v>
      </c>
      <c r="BF978" t="s">
        <v>240</v>
      </c>
      <c r="BG978" t="s">
        <v>87</v>
      </c>
      <c r="BH978" t="str">
        <f>IF(COUNTIF(工作表1!A:A, $C978)&gt;0, "預購款", "非預購款")</f>
        <v>非預購款</v>
      </c>
    </row>
    <row r="979" spans="1:60" x14ac:dyDescent="0.25">
      <c r="A979" t="s">
        <v>3116</v>
      </c>
      <c r="B979" t="s">
        <v>2174</v>
      </c>
      <c r="C979" t="s">
        <v>3117</v>
      </c>
      <c r="D979" t="s">
        <v>3118</v>
      </c>
      <c r="E979" t="s">
        <v>3119</v>
      </c>
      <c r="F979" t="s">
        <v>179</v>
      </c>
      <c r="G979" t="s">
        <v>3120</v>
      </c>
      <c r="H979" t="s">
        <v>273</v>
      </c>
      <c r="I979" t="s">
        <v>162</v>
      </c>
      <c r="J979" t="s">
        <v>163</v>
      </c>
      <c r="K979" t="s">
        <v>69</v>
      </c>
      <c r="L979" t="s">
        <v>3107</v>
      </c>
      <c r="M979" t="s">
        <v>71</v>
      </c>
      <c r="N979" t="s">
        <v>198</v>
      </c>
      <c r="O979" t="s">
        <v>2893</v>
      </c>
      <c r="P979" t="s">
        <v>2894</v>
      </c>
      <c r="R979" t="s">
        <v>2518</v>
      </c>
      <c r="S979" t="s">
        <v>183</v>
      </c>
      <c r="T979" t="s">
        <v>274</v>
      </c>
      <c r="U979" t="s">
        <v>150</v>
      </c>
      <c r="V979" t="s">
        <v>641</v>
      </c>
      <c r="W979">
        <v>790</v>
      </c>
      <c r="X979">
        <v>34.99</v>
      </c>
      <c r="Y979">
        <v>99</v>
      </c>
      <c r="Z979">
        <v>569000</v>
      </c>
      <c r="AA979">
        <v>428180</v>
      </c>
      <c r="AB979">
        <v>284</v>
      </c>
      <c r="AD979" t="s">
        <v>238</v>
      </c>
      <c r="AE979">
        <v>3</v>
      </c>
      <c r="AF979">
        <v>2</v>
      </c>
      <c r="AI979">
        <v>15</v>
      </c>
      <c r="AJ979">
        <v>100</v>
      </c>
      <c r="AK979">
        <v>117</v>
      </c>
      <c r="AL979">
        <v>542</v>
      </c>
      <c r="AM979">
        <v>119</v>
      </c>
      <c r="AN979">
        <v>0</v>
      </c>
      <c r="AO979">
        <v>119</v>
      </c>
      <c r="AP979" t="s">
        <v>80</v>
      </c>
      <c r="AQ979" t="s">
        <v>2257</v>
      </c>
      <c r="AS979" t="s">
        <v>86</v>
      </c>
      <c r="AT979" t="s">
        <v>240</v>
      </c>
      <c r="AU979" t="s">
        <v>86</v>
      </c>
      <c r="AV979" t="s">
        <v>2952</v>
      </c>
      <c r="AW979" t="s">
        <v>69</v>
      </c>
      <c r="AX979" t="s">
        <v>126</v>
      </c>
      <c r="AY979" t="s">
        <v>3075</v>
      </c>
      <c r="AZ979" t="s">
        <v>245</v>
      </c>
      <c r="BA979" t="s">
        <v>244</v>
      </c>
      <c r="BB979" t="s">
        <v>244</v>
      </c>
      <c r="BC979" t="s">
        <v>244</v>
      </c>
      <c r="BD979" t="s">
        <v>3124</v>
      </c>
      <c r="BE979" t="s">
        <v>3122</v>
      </c>
      <c r="BF979" t="s">
        <v>279</v>
      </c>
      <c r="BG979" t="s">
        <v>87</v>
      </c>
      <c r="BH979" t="str">
        <f>IF(COUNTIF(工作表1!A:A, $C979)&gt;0, "預購款", "非預購款")</f>
        <v>非預購款</v>
      </c>
    </row>
    <row r="980" spans="1:60" x14ac:dyDescent="0.25">
      <c r="A980" t="s">
        <v>3116</v>
      </c>
      <c r="B980" t="s">
        <v>2174</v>
      </c>
      <c r="C980" t="s">
        <v>3117</v>
      </c>
      <c r="D980" t="s">
        <v>3118</v>
      </c>
      <c r="E980" t="s">
        <v>3119</v>
      </c>
      <c r="F980" t="s">
        <v>179</v>
      </c>
      <c r="G980" t="s">
        <v>3120</v>
      </c>
      <c r="H980" t="s">
        <v>280</v>
      </c>
      <c r="I980" t="s">
        <v>162</v>
      </c>
      <c r="J980" t="s">
        <v>163</v>
      </c>
      <c r="K980" t="s">
        <v>69</v>
      </c>
      <c r="L980" t="s">
        <v>3107</v>
      </c>
      <c r="M980" t="s">
        <v>71</v>
      </c>
      <c r="N980" t="s">
        <v>198</v>
      </c>
      <c r="O980" t="s">
        <v>2893</v>
      </c>
      <c r="P980" t="s">
        <v>2894</v>
      </c>
      <c r="R980" t="s">
        <v>2518</v>
      </c>
      <c r="S980" t="s">
        <v>183</v>
      </c>
      <c r="T980" t="s">
        <v>274</v>
      </c>
      <c r="U980" t="s">
        <v>150</v>
      </c>
      <c r="V980" t="s">
        <v>641</v>
      </c>
      <c r="W980">
        <v>790</v>
      </c>
      <c r="X980">
        <v>34.99</v>
      </c>
      <c r="Y980">
        <v>99</v>
      </c>
      <c r="Z980">
        <v>569000</v>
      </c>
      <c r="AA980">
        <v>428180</v>
      </c>
      <c r="AB980">
        <v>284</v>
      </c>
      <c r="AD980" t="s">
        <v>238</v>
      </c>
      <c r="AE980">
        <v>3</v>
      </c>
      <c r="AF980">
        <v>0</v>
      </c>
      <c r="AI980">
        <v>15</v>
      </c>
      <c r="AJ980">
        <v>120</v>
      </c>
      <c r="AK980">
        <v>135</v>
      </c>
      <c r="AL980">
        <v>542</v>
      </c>
      <c r="AM980">
        <v>149</v>
      </c>
      <c r="AN980">
        <v>0</v>
      </c>
      <c r="AO980">
        <v>149</v>
      </c>
      <c r="AP980" t="s">
        <v>80</v>
      </c>
      <c r="AQ980" t="s">
        <v>2257</v>
      </c>
      <c r="AS980" t="s">
        <v>86</v>
      </c>
      <c r="AT980" t="s">
        <v>240</v>
      </c>
      <c r="AU980" t="s">
        <v>86</v>
      </c>
      <c r="AV980" t="s">
        <v>2952</v>
      </c>
      <c r="AW980" t="s">
        <v>69</v>
      </c>
      <c r="AX980" t="s">
        <v>126</v>
      </c>
      <c r="AY980" t="s">
        <v>3075</v>
      </c>
      <c r="AZ980" t="s">
        <v>245</v>
      </c>
      <c r="BA980" t="s">
        <v>244</v>
      </c>
      <c r="BB980" t="s">
        <v>244</v>
      </c>
      <c r="BC980" t="s">
        <v>244</v>
      </c>
      <c r="BD980" t="s">
        <v>3125</v>
      </c>
      <c r="BE980" t="s">
        <v>3122</v>
      </c>
      <c r="BF980" t="s">
        <v>279</v>
      </c>
      <c r="BG980" t="s">
        <v>87</v>
      </c>
      <c r="BH980" t="str">
        <f>IF(COUNTIF(工作表1!A:A, $C980)&gt;0, "預購款", "非預購款")</f>
        <v>非預購款</v>
      </c>
    </row>
    <row r="981" spans="1:60" x14ac:dyDescent="0.25">
      <c r="A981" t="s">
        <v>3116</v>
      </c>
      <c r="B981" t="s">
        <v>2174</v>
      </c>
      <c r="C981" t="s">
        <v>3117</v>
      </c>
      <c r="D981" t="s">
        <v>3118</v>
      </c>
      <c r="E981" t="s">
        <v>3119</v>
      </c>
      <c r="F981" t="s">
        <v>179</v>
      </c>
      <c r="G981" t="s">
        <v>3120</v>
      </c>
      <c r="H981" t="s">
        <v>273</v>
      </c>
      <c r="I981" t="s">
        <v>1228</v>
      </c>
      <c r="J981" t="s">
        <v>1229</v>
      </c>
      <c r="K981" t="s">
        <v>69</v>
      </c>
      <c r="L981" t="s">
        <v>3107</v>
      </c>
      <c r="M981" t="s">
        <v>71</v>
      </c>
      <c r="N981" t="s">
        <v>198</v>
      </c>
      <c r="O981" t="s">
        <v>2893</v>
      </c>
      <c r="P981" t="s">
        <v>2894</v>
      </c>
      <c r="R981" t="s">
        <v>2518</v>
      </c>
      <c r="S981" t="s">
        <v>183</v>
      </c>
      <c r="T981" t="s">
        <v>274</v>
      </c>
      <c r="U981" t="s">
        <v>150</v>
      </c>
      <c r="V981" t="s">
        <v>641</v>
      </c>
      <c r="W981">
        <v>790</v>
      </c>
      <c r="X981">
        <v>34.99</v>
      </c>
      <c r="Y981">
        <v>99</v>
      </c>
      <c r="Z981">
        <v>569000</v>
      </c>
      <c r="AA981">
        <v>428180</v>
      </c>
      <c r="AB981">
        <v>284</v>
      </c>
      <c r="AD981" t="s">
        <v>238</v>
      </c>
      <c r="AE981">
        <v>3</v>
      </c>
      <c r="AF981">
        <v>0</v>
      </c>
      <c r="AI981">
        <v>30</v>
      </c>
      <c r="AJ981">
        <v>90</v>
      </c>
      <c r="AK981">
        <v>120</v>
      </c>
      <c r="AL981">
        <v>542</v>
      </c>
      <c r="AM981">
        <v>129</v>
      </c>
      <c r="AN981">
        <v>0</v>
      </c>
      <c r="AO981">
        <v>129</v>
      </c>
      <c r="AP981" t="s">
        <v>80</v>
      </c>
      <c r="AQ981" t="s">
        <v>2257</v>
      </c>
      <c r="AS981" t="s">
        <v>86</v>
      </c>
      <c r="AT981" t="s">
        <v>240</v>
      </c>
      <c r="AU981" t="s">
        <v>86</v>
      </c>
      <c r="AV981" t="s">
        <v>2952</v>
      </c>
      <c r="AW981" t="s">
        <v>69</v>
      </c>
      <c r="AX981" t="s">
        <v>126</v>
      </c>
      <c r="AY981" t="s">
        <v>3075</v>
      </c>
      <c r="AZ981" t="s">
        <v>245</v>
      </c>
      <c r="BA981" t="s">
        <v>244</v>
      </c>
      <c r="BB981" t="s">
        <v>244</v>
      </c>
      <c r="BC981" t="s">
        <v>244</v>
      </c>
      <c r="BD981" t="s">
        <v>3126</v>
      </c>
      <c r="BE981" t="s">
        <v>3122</v>
      </c>
      <c r="BF981" t="s">
        <v>279</v>
      </c>
      <c r="BG981" t="s">
        <v>87</v>
      </c>
      <c r="BH981" t="str">
        <f>IF(COUNTIF(工作表1!A:A, $C981)&gt;0, "預購款", "非預購款")</f>
        <v>非預購款</v>
      </c>
    </row>
    <row r="982" spans="1:60" x14ac:dyDescent="0.25">
      <c r="A982" t="s">
        <v>3116</v>
      </c>
      <c r="B982" t="s">
        <v>2174</v>
      </c>
      <c r="C982" t="s">
        <v>3117</v>
      </c>
      <c r="D982" t="s">
        <v>3118</v>
      </c>
      <c r="E982" t="s">
        <v>3119</v>
      </c>
      <c r="F982" t="s">
        <v>179</v>
      </c>
      <c r="G982" t="s">
        <v>3120</v>
      </c>
      <c r="H982" t="s">
        <v>280</v>
      </c>
      <c r="I982" t="s">
        <v>1228</v>
      </c>
      <c r="J982" t="s">
        <v>1229</v>
      </c>
      <c r="K982" t="s">
        <v>69</v>
      </c>
      <c r="L982" t="s">
        <v>3107</v>
      </c>
      <c r="M982" t="s">
        <v>71</v>
      </c>
      <c r="N982" t="s">
        <v>198</v>
      </c>
      <c r="O982" t="s">
        <v>2893</v>
      </c>
      <c r="P982" t="s">
        <v>2894</v>
      </c>
      <c r="R982" t="s">
        <v>2518</v>
      </c>
      <c r="S982" t="s">
        <v>183</v>
      </c>
      <c r="T982" t="s">
        <v>274</v>
      </c>
      <c r="U982" t="s">
        <v>150</v>
      </c>
      <c r="V982" t="s">
        <v>641</v>
      </c>
      <c r="W982">
        <v>790</v>
      </c>
      <c r="X982">
        <v>34.99</v>
      </c>
      <c r="Y982">
        <v>99</v>
      </c>
      <c r="Z982">
        <v>569000</v>
      </c>
      <c r="AA982">
        <v>428180</v>
      </c>
      <c r="AB982">
        <v>284</v>
      </c>
      <c r="AD982" t="s">
        <v>238</v>
      </c>
      <c r="AE982">
        <v>3</v>
      </c>
      <c r="AF982">
        <v>0</v>
      </c>
      <c r="AI982">
        <v>20</v>
      </c>
      <c r="AJ982">
        <v>50</v>
      </c>
      <c r="AK982">
        <v>70</v>
      </c>
      <c r="AL982">
        <v>542</v>
      </c>
      <c r="AM982">
        <v>80</v>
      </c>
      <c r="AN982">
        <v>0</v>
      </c>
      <c r="AO982">
        <v>80</v>
      </c>
      <c r="AP982" t="s">
        <v>80</v>
      </c>
      <c r="AQ982" t="s">
        <v>2257</v>
      </c>
      <c r="AS982" t="s">
        <v>86</v>
      </c>
      <c r="AT982" t="s">
        <v>240</v>
      </c>
      <c r="AU982" t="s">
        <v>86</v>
      </c>
      <c r="AV982" t="s">
        <v>2952</v>
      </c>
      <c r="AW982" t="s">
        <v>69</v>
      </c>
      <c r="AX982" t="s">
        <v>126</v>
      </c>
      <c r="AY982" t="s">
        <v>3075</v>
      </c>
      <c r="AZ982" t="s">
        <v>245</v>
      </c>
      <c r="BA982" t="s">
        <v>244</v>
      </c>
      <c r="BB982" t="s">
        <v>244</v>
      </c>
      <c r="BC982" t="s">
        <v>244</v>
      </c>
      <c r="BD982" t="s">
        <v>3127</v>
      </c>
      <c r="BE982" t="s">
        <v>3122</v>
      </c>
      <c r="BF982" t="s">
        <v>279</v>
      </c>
      <c r="BG982" t="s">
        <v>87</v>
      </c>
      <c r="BH982" t="str">
        <f>IF(COUNTIF(工作表1!A:A, $C982)&gt;0, "預購款", "非預購款")</f>
        <v>非預購款</v>
      </c>
    </row>
    <row r="983" spans="1:60" x14ac:dyDescent="0.25">
      <c r="A983" t="s">
        <v>3128</v>
      </c>
      <c r="B983" t="s">
        <v>576</v>
      </c>
      <c r="C983" t="s">
        <v>3129</v>
      </c>
      <c r="D983" t="s">
        <v>3130</v>
      </c>
      <c r="E983" t="s">
        <v>3131</v>
      </c>
      <c r="F983" t="s">
        <v>179</v>
      </c>
      <c r="G983" t="s">
        <v>3132</v>
      </c>
      <c r="H983" t="s">
        <v>119</v>
      </c>
      <c r="I983" t="s">
        <v>171</v>
      </c>
      <c r="J983" t="s">
        <v>172</v>
      </c>
      <c r="K983" t="s">
        <v>80</v>
      </c>
      <c r="L983" t="s">
        <v>3133</v>
      </c>
      <c r="M983" t="s">
        <v>71</v>
      </c>
      <c r="N983" t="s">
        <v>198</v>
      </c>
      <c r="O983" t="s">
        <v>2893</v>
      </c>
      <c r="P983" t="s">
        <v>2894</v>
      </c>
      <c r="R983" t="s">
        <v>2518</v>
      </c>
      <c r="S983" t="s">
        <v>183</v>
      </c>
      <c r="T983" t="s">
        <v>291</v>
      </c>
      <c r="U983" t="s">
        <v>502</v>
      </c>
      <c r="V983" t="s">
        <v>765</v>
      </c>
      <c r="W983">
        <v>1180</v>
      </c>
      <c r="X983">
        <v>49.99</v>
      </c>
      <c r="Y983">
        <v>155</v>
      </c>
      <c r="Z983">
        <v>859000</v>
      </c>
      <c r="AA983">
        <v>224200</v>
      </c>
      <c r="AB983">
        <v>500</v>
      </c>
      <c r="AD983" t="s">
        <v>238</v>
      </c>
      <c r="AE983">
        <v>1</v>
      </c>
      <c r="AF983">
        <v>0</v>
      </c>
      <c r="AI983">
        <v>20</v>
      </c>
      <c r="AJ983">
        <v>40</v>
      </c>
      <c r="AK983">
        <v>60</v>
      </c>
      <c r="AL983">
        <v>190</v>
      </c>
      <c r="AM983">
        <v>70</v>
      </c>
      <c r="AN983">
        <v>0</v>
      </c>
      <c r="AO983">
        <v>70</v>
      </c>
      <c r="AP983" t="s">
        <v>80</v>
      </c>
      <c r="AQ983" t="s">
        <v>184</v>
      </c>
      <c r="AT983" t="s">
        <v>86</v>
      </c>
      <c r="AU983" t="s">
        <v>86</v>
      </c>
      <c r="AV983" t="s">
        <v>2466</v>
      </c>
      <c r="AW983" t="s">
        <v>69</v>
      </c>
      <c r="AX983" t="s">
        <v>218</v>
      </c>
      <c r="AY983" t="s">
        <v>3134</v>
      </c>
      <c r="AZ983" t="s">
        <v>244</v>
      </c>
      <c r="BA983" t="s">
        <v>244</v>
      </c>
      <c r="BB983" t="s">
        <v>244</v>
      </c>
      <c r="BC983" t="s">
        <v>244</v>
      </c>
      <c r="BD983" t="s">
        <v>3135</v>
      </c>
      <c r="BE983" t="s">
        <v>3136</v>
      </c>
      <c r="BF983" t="s">
        <v>291</v>
      </c>
      <c r="BG983" t="s">
        <v>110</v>
      </c>
      <c r="BH983" t="str">
        <f>IF(COUNTIF(工作表1!A:A, $C983)&gt;0, "預購款", "非預購款")</f>
        <v>非預購款</v>
      </c>
    </row>
    <row r="984" spans="1:60" x14ac:dyDescent="0.25">
      <c r="A984" t="s">
        <v>3128</v>
      </c>
      <c r="B984" t="s">
        <v>576</v>
      </c>
      <c r="C984" t="s">
        <v>3129</v>
      </c>
      <c r="D984" t="s">
        <v>3130</v>
      </c>
      <c r="E984" t="s">
        <v>3131</v>
      </c>
      <c r="F984" t="s">
        <v>179</v>
      </c>
      <c r="G984" t="s">
        <v>3132</v>
      </c>
      <c r="H984" t="s">
        <v>130</v>
      </c>
      <c r="I984" t="s">
        <v>171</v>
      </c>
      <c r="J984" t="s">
        <v>172</v>
      </c>
      <c r="K984" t="s">
        <v>80</v>
      </c>
      <c r="L984" t="s">
        <v>3133</v>
      </c>
      <c r="M984" t="s">
        <v>71</v>
      </c>
      <c r="N984" t="s">
        <v>198</v>
      </c>
      <c r="O984" t="s">
        <v>2893</v>
      </c>
      <c r="P984" t="s">
        <v>2894</v>
      </c>
      <c r="R984" t="s">
        <v>2518</v>
      </c>
      <c r="S984" t="s">
        <v>183</v>
      </c>
      <c r="T984" t="s">
        <v>291</v>
      </c>
      <c r="U984" t="s">
        <v>502</v>
      </c>
      <c r="V984" t="s">
        <v>765</v>
      </c>
      <c r="W984">
        <v>1180</v>
      </c>
      <c r="X984">
        <v>49.99</v>
      </c>
      <c r="Y984">
        <v>155</v>
      </c>
      <c r="Z984">
        <v>859000</v>
      </c>
      <c r="AA984">
        <v>224200</v>
      </c>
      <c r="AB984">
        <v>500</v>
      </c>
      <c r="AD984" t="s">
        <v>238</v>
      </c>
      <c r="AE984">
        <v>1</v>
      </c>
      <c r="AF984">
        <v>0</v>
      </c>
      <c r="AI984">
        <v>30</v>
      </c>
      <c r="AJ984">
        <v>60</v>
      </c>
      <c r="AK984">
        <v>90</v>
      </c>
      <c r="AL984">
        <v>190</v>
      </c>
      <c r="AM984">
        <v>100</v>
      </c>
      <c r="AN984">
        <v>0</v>
      </c>
      <c r="AO984">
        <v>100</v>
      </c>
      <c r="AP984" t="s">
        <v>80</v>
      </c>
      <c r="AQ984" t="s">
        <v>184</v>
      </c>
      <c r="AT984" t="s">
        <v>86</v>
      </c>
      <c r="AU984" t="s">
        <v>86</v>
      </c>
      <c r="AV984" t="s">
        <v>2466</v>
      </c>
      <c r="AW984" t="s">
        <v>69</v>
      </c>
      <c r="AX984" t="s">
        <v>218</v>
      </c>
      <c r="AY984" t="s">
        <v>3134</v>
      </c>
      <c r="AZ984" t="s">
        <v>244</v>
      </c>
      <c r="BA984" t="s">
        <v>244</v>
      </c>
      <c r="BB984" t="s">
        <v>244</v>
      </c>
      <c r="BC984" t="s">
        <v>244</v>
      </c>
      <c r="BD984" t="s">
        <v>3137</v>
      </c>
      <c r="BE984" t="s">
        <v>3136</v>
      </c>
      <c r="BF984" t="s">
        <v>291</v>
      </c>
      <c r="BG984" t="s">
        <v>110</v>
      </c>
      <c r="BH984" t="str">
        <f>IF(COUNTIF(工作表1!A:A, $C984)&gt;0, "預購款", "非預購款")</f>
        <v>非預購款</v>
      </c>
    </row>
    <row r="985" spans="1:60" x14ac:dyDescent="0.25">
      <c r="A985" t="s">
        <v>3128</v>
      </c>
      <c r="B985" t="s">
        <v>576</v>
      </c>
      <c r="C985" t="s">
        <v>3129</v>
      </c>
      <c r="D985" t="s">
        <v>3130</v>
      </c>
      <c r="E985" t="s">
        <v>3131</v>
      </c>
      <c r="F985" t="s">
        <v>179</v>
      </c>
      <c r="G985" t="s">
        <v>3132</v>
      </c>
      <c r="H985" t="s">
        <v>132</v>
      </c>
      <c r="I985" t="s">
        <v>171</v>
      </c>
      <c r="J985" t="s">
        <v>172</v>
      </c>
      <c r="K985" t="s">
        <v>80</v>
      </c>
      <c r="L985" t="s">
        <v>3133</v>
      </c>
      <c r="M985" t="s">
        <v>71</v>
      </c>
      <c r="N985" t="s">
        <v>198</v>
      </c>
      <c r="O985" t="s">
        <v>2893</v>
      </c>
      <c r="P985" t="s">
        <v>2894</v>
      </c>
      <c r="R985" t="s">
        <v>2518</v>
      </c>
      <c r="S985" t="s">
        <v>183</v>
      </c>
      <c r="T985" t="s">
        <v>291</v>
      </c>
      <c r="U985" t="s">
        <v>502</v>
      </c>
      <c r="V985" t="s">
        <v>765</v>
      </c>
      <c r="W985">
        <v>1180</v>
      </c>
      <c r="X985">
        <v>49.99</v>
      </c>
      <c r="Y985">
        <v>155</v>
      </c>
      <c r="Z985">
        <v>859000</v>
      </c>
      <c r="AA985">
        <v>224200</v>
      </c>
      <c r="AB985">
        <v>500</v>
      </c>
      <c r="AD985" t="s">
        <v>238</v>
      </c>
      <c r="AE985">
        <v>1</v>
      </c>
      <c r="AF985">
        <v>0</v>
      </c>
      <c r="AI985">
        <v>20</v>
      </c>
      <c r="AJ985">
        <v>20</v>
      </c>
      <c r="AK985">
        <v>40</v>
      </c>
      <c r="AL985">
        <v>190</v>
      </c>
      <c r="AM985">
        <v>50</v>
      </c>
      <c r="AN985">
        <v>0</v>
      </c>
      <c r="AO985">
        <v>50</v>
      </c>
      <c r="AP985" t="s">
        <v>80</v>
      </c>
      <c r="AQ985" t="s">
        <v>184</v>
      </c>
      <c r="AT985" t="s">
        <v>86</v>
      </c>
      <c r="AU985" t="s">
        <v>86</v>
      </c>
      <c r="AV985" t="s">
        <v>2466</v>
      </c>
      <c r="AW985" t="s">
        <v>69</v>
      </c>
      <c r="AX985" t="s">
        <v>218</v>
      </c>
      <c r="AY985" t="s">
        <v>3134</v>
      </c>
      <c r="AZ985" t="s">
        <v>244</v>
      </c>
      <c r="BA985" t="s">
        <v>244</v>
      </c>
      <c r="BB985" t="s">
        <v>244</v>
      </c>
      <c r="BC985" t="s">
        <v>244</v>
      </c>
      <c r="BD985" t="s">
        <v>3138</v>
      </c>
      <c r="BE985" t="s">
        <v>3136</v>
      </c>
      <c r="BF985" t="s">
        <v>291</v>
      </c>
      <c r="BG985" t="s">
        <v>110</v>
      </c>
      <c r="BH985" t="str">
        <f>IF(COUNTIF(工作表1!A:A, $C985)&gt;0, "預購款", "非預購款")</f>
        <v>非預購款</v>
      </c>
    </row>
    <row r="986" spans="1:60" x14ac:dyDescent="0.25">
      <c r="A986" t="s">
        <v>1089</v>
      </c>
      <c r="B986" t="s">
        <v>535</v>
      </c>
      <c r="C986" t="s">
        <v>1090</v>
      </c>
      <c r="D986" t="s">
        <v>1091</v>
      </c>
      <c r="E986" t="s">
        <v>1092</v>
      </c>
      <c r="F986" t="s">
        <v>160</v>
      </c>
      <c r="G986" t="s">
        <v>1093</v>
      </c>
      <c r="H986" t="s">
        <v>119</v>
      </c>
      <c r="I986" t="s">
        <v>162</v>
      </c>
      <c r="J986" t="s">
        <v>163</v>
      </c>
      <c r="K986" t="s">
        <v>69</v>
      </c>
      <c r="L986" t="s">
        <v>1094</v>
      </c>
      <c r="M986" t="s">
        <v>71</v>
      </c>
      <c r="N986" t="s">
        <v>100</v>
      </c>
      <c r="O986" t="s">
        <v>980</v>
      </c>
      <c r="P986" t="s">
        <v>981</v>
      </c>
      <c r="R986" t="s">
        <v>1095</v>
      </c>
      <c r="S986" t="s">
        <v>165</v>
      </c>
      <c r="T986" t="s">
        <v>76</v>
      </c>
      <c r="U986" t="s">
        <v>104</v>
      </c>
      <c r="V986" t="s">
        <v>965</v>
      </c>
      <c r="W986">
        <v>390</v>
      </c>
      <c r="X986">
        <v>16.989999999999998</v>
      </c>
      <c r="Y986">
        <v>49</v>
      </c>
      <c r="Z986">
        <v>279000</v>
      </c>
      <c r="AA986">
        <v>21450</v>
      </c>
      <c r="AB986">
        <v>192</v>
      </c>
      <c r="AD986" t="s">
        <v>238</v>
      </c>
      <c r="AE986">
        <v>2</v>
      </c>
      <c r="AF986">
        <v>0</v>
      </c>
      <c r="AI986">
        <v>0</v>
      </c>
      <c r="AJ986">
        <v>14</v>
      </c>
      <c r="AK986">
        <v>14</v>
      </c>
      <c r="AL986">
        <v>55</v>
      </c>
      <c r="AM986">
        <v>14</v>
      </c>
      <c r="AN986">
        <v>0</v>
      </c>
      <c r="AO986">
        <v>14</v>
      </c>
      <c r="AP986" t="s">
        <v>80</v>
      </c>
      <c r="AQ986" t="s">
        <v>176</v>
      </c>
      <c r="AR986" t="s">
        <v>86</v>
      </c>
      <c r="AS986" t="s">
        <v>86</v>
      </c>
      <c r="AT986" t="s">
        <v>264</v>
      </c>
      <c r="AU986" t="s">
        <v>264</v>
      </c>
      <c r="AV986" t="s">
        <v>1096</v>
      </c>
      <c r="AW986" t="s">
        <v>69</v>
      </c>
      <c r="AX986" t="s">
        <v>1097</v>
      </c>
      <c r="AY986" t="s">
        <v>1098</v>
      </c>
      <c r="AZ986" t="s">
        <v>243</v>
      </c>
      <c r="BA986" t="s">
        <v>264</v>
      </c>
      <c r="BB986" t="s">
        <v>244</v>
      </c>
      <c r="BC986" t="s">
        <v>244</v>
      </c>
      <c r="BD986" t="s">
        <v>1099</v>
      </c>
      <c r="BE986" t="s">
        <v>3139</v>
      </c>
      <c r="BF986" t="s">
        <v>86</v>
      </c>
      <c r="BG986" t="s">
        <v>150</v>
      </c>
      <c r="BH986" t="str">
        <f>IF(COUNTIF(工作表1!A:A, $C986)&gt;0, "預購款", "非預購款")</f>
        <v>非預購款</v>
      </c>
    </row>
    <row r="987" spans="1:60" x14ac:dyDescent="0.25">
      <c r="A987" t="s">
        <v>1089</v>
      </c>
      <c r="B987" t="s">
        <v>535</v>
      </c>
      <c r="C987" t="s">
        <v>1090</v>
      </c>
      <c r="D987" t="s">
        <v>1091</v>
      </c>
      <c r="E987" t="s">
        <v>1092</v>
      </c>
      <c r="F987" t="s">
        <v>160</v>
      </c>
      <c r="G987" t="s">
        <v>1093</v>
      </c>
      <c r="H987" t="s">
        <v>130</v>
      </c>
      <c r="I987" t="s">
        <v>162</v>
      </c>
      <c r="J987" t="s">
        <v>163</v>
      </c>
      <c r="K987" t="s">
        <v>69</v>
      </c>
      <c r="L987" t="s">
        <v>1094</v>
      </c>
      <c r="M987" t="s">
        <v>71</v>
      </c>
      <c r="N987" t="s">
        <v>100</v>
      </c>
      <c r="O987" t="s">
        <v>980</v>
      </c>
      <c r="P987" t="s">
        <v>981</v>
      </c>
      <c r="R987" t="s">
        <v>1095</v>
      </c>
      <c r="S987" t="s">
        <v>165</v>
      </c>
      <c r="T987" t="s">
        <v>76</v>
      </c>
      <c r="U987" t="s">
        <v>104</v>
      </c>
      <c r="V987" t="s">
        <v>965</v>
      </c>
      <c r="W987">
        <v>390</v>
      </c>
      <c r="X987">
        <v>16.989999999999998</v>
      </c>
      <c r="Y987">
        <v>49</v>
      </c>
      <c r="Z987">
        <v>279000</v>
      </c>
      <c r="AA987">
        <v>21450</v>
      </c>
      <c r="AB987">
        <v>192</v>
      </c>
      <c r="AD987" t="s">
        <v>238</v>
      </c>
      <c r="AE987">
        <v>2</v>
      </c>
      <c r="AF987">
        <v>0</v>
      </c>
      <c r="AI987">
        <v>0</v>
      </c>
      <c r="AJ987">
        <v>27</v>
      </c>
      <c r="AK987">
        <v>27</v>
      </c>
      <c r="AL987">
        <v>55</v>
      </c>
      <c r="AM987">
        <v>27</v>
      </c>
      <c r="AN987">
        <v>0</v>
      </c>
      <c r="AO987">
        <v>27</v>
      </c>
      <c r="AP987" t="s">
        <v>80</v>
      </c>
      <c r="AQ987" t="s">
        <v>176</v>
      </c>
      <c r="AR987" t="s">
        <v>86</v>
      </c>
      <c r="AS987" t="s">
        <v>86</v>
      </c>
      <c r="AT987" t="s">
        <v>264</v>
      </c>
      <c r="AU987" t="s">
        <v>264</v>
      </c>
      <c r="AV987" t="s">
        <v>1096</v>
      </c>
      <c r="AW987" t="s">
        <v>69</v>
      </c>
      <c r="AX987" t="s">
        <v>1097</v>
      </c>
      <c r="AY987" t="s">
        <v>1098</v>
      </c>
      <c r="AZ987" t="s">
        <v>243</v>
      </c>
      <c r="BA987" t="s">
        <v>264</v>
      </c>
      <c r="BB987" t="s">
        <v>244</v>
      </c>
      <c r="BC987" t="s">
        <v>244</v>
      </c>
      <c r="BD987" t="s">
        <v>1101</v>
      </c>
      <c r="BE987" t="s">
        <v>3139</v>
      </c>
      <c r="BF987" t="s">
        <v>86</v>
      </c>
      <c r="BG987" t="s">
        <v>150</v>
      </c>
      <c r="BH987" t="str">
        <f>IF(COUNTIF(工作表1!A:A, $C987)&gt;0, "預購款", "非預購款")</f>
        <v>非預購款</v>
      </c>
    </row>
    <row r="988" spans="1:60" x14ac:dyDescent="0.25">
      <c r="A988" t="s">
        <v>1089</v>
      </c>
      <c r="B988" t="s">
        <v>535</v>
      </c>
      <c r="C988" t="s">
        <v>1090</v>
      </c>
      <c r="D988" t="s">
        <v>1091</v>
      </c>
      <c r="E988" t="s">
        <v>1092</v>
      </c>
      <c r="F988" t="s">
        <v>160</v>
      </c>
      <c r="G988" t="s">
        <v>1093</v>
      </c>
      <c r="H988" t="s">
        <v>132</v>
      </c>
      <c r="I988" t="s">
        <v>162</v>
      </c>
      <c r="J988" t="s">
        <v>163</v>
      </c>
      <c r="K988" t="s">
        <v>69</v>
      </c>
      <c r="L988" t="s">
        <v>1094</v>
      </c>
      <c r="M988" t="s">
        <v>71</v>
      </c>
      <c r="N988" t="s">
        <v>100</v>
      </c>
      <c r="O988" t="s">
        <v>980</v>
      </c>
      <c r="P988" t="s">
        <v>981</v>
      </c>
      <c r="R988" t="s">
        <v>1095</v>
      </c>
      <c r="S988" t="s">
        <v>165</v>
      </c>
      <c r="T988" t="s">
        <v>76</v>
      </c>
      <c r="U988" t="s">
        <v>104</v>
      </c>
      <c r="V988" t="s">
        <v>965</v>
      </c>
      <c r="W988">
        <v>390</v>
      </c>
      <c r="X988">
        <v>16.989999999999998</v>
      </c>
      <c r="Y988">
        <v>49</v>
      </c>
      <c r="Z988">
        <v>279000</v>
      </c>
      <c r="AA988">
        <v>21450</v>
      </c>
      <c r="AB988">
        <v>192</v>
      </c>
      <c r="AD988" t="s">
        <v>238</v>
      </c>
      <c r="AE988">
        <v>2</v>
      </c>
      <c r="AF988">
        <v>0</v>
      </c>
      <c r="AI988">
        <v>0</v>
      </c>
      <c r="AJ988">
        <v>7</v>
      </c>
      <c r="AK988">
        <v>7</v>
      </c>
      <c r="AL988">
        <v>55</v>
      </c>
      <c r="AM988">
        <v>7</v>
      </c>
      <c r="AN988">
        <v>0</v>
      </c>
      <c r="AO988">
        <v>7</v>
      </c>
      <c r="AP988" t="s">
        <v>80</v>
      </c>
      <c r="AQ988" t="s">
        <v>176</v>
      </c>
      <c r="AR988" t="s">
        <v>86</v>
      </c>
      <c r="AS988" t="s">
        <v>86</v>
      </c>
      <c r="AT988" t="s">
        <v>264</v>
      </c>
      <c r="AU988" t="s">
        <v>264</v>
      </c>
      <c r="AV988" t="s">
        <v>1096</v>
      </c>
      <c r="AW988" t="s">
        <v>69</v>
      </c>
      <c r="AX988" t="s">
        <v>1097</v>
      </c>
      <c r="AY988" t="s">
        <v>1098</v>
      </c>
      <c r="AZ988" t="s">
        <v>243</v>
      </c>
      <c r="BA988" t="s">
        <v>264</v>
      </c>
      <c r="BB988" t="s">
        <v>244</v>
      </c>
      <c r="BC988" t="s">
        <v>244</v>
      </c>
      <c r="BD988" t="s">
        <v>1102</v>
      </c>
      <c r="BE988" t="s">
        <v>3139</v>
      </c>
      <c r="BF988" t="s">
        <v>86</v>
      </c>
      <c r="BG988" t="s">
        <v>150</v>
      </c>
      <c r="BH988" t="str">
        <f>IF(COUNTIF(工作表1!A:A, $C988)&gt;0, "預購款", "非預購款")</f>
        <v>非預購款</v>
      </c>
    </row>
    <row r="989" spans="1:60" x14ac:dyDescent="0.25">
      <c r="A989" t="s">
        <v>1089</v>
      </c>
      <c r="B989" t="s">
        <v>535</v>
      </c>
      <c r="C989" t="s">
        <v>1090</v>
      </c>
      <c r="D989" t="s">
        <v>1091</v>
      </c>
      <c r="E989" t="s">
        <v>1092</v>
      </c>
      <c r="F989" t="s">
        <v>160</v>
      </c>
      <c r="G989" t="s">
        <v>1093</v>
      </c>
      <c r="H989" t="s">
        <v>119</v>
      </c>
      <c r="I989" t="s">
        <v>171</v>
      </c>
      <c r="J989" t="s">
        <v>172</v>
      </c>
      <c r="K989" t="s">
        <v>69</v>
      </c>
      <c r="L989" t="s">
        <v>1094</v>
      </c>
      <c r="M989" t="s">
        <v>71</v>
      </c>
      <c r="N989" t="s">
        <v>100</v>
      </c>
      <c r="O989" t="s">
        <v>980</v>
      </c>
      <c r="P989" t="s">
        <v>981</v>
      </c>
      <c r="R989" t="s">
        <v>1095</v>
      </c>
      <c r="S989" t="s">
        <v>165</v>
      </c>
      <c r="T989" t="s">
        <v>76</v>
      </c>
      <c r="U989" t="s">
        <v>104</v>
      </c>
      <c r="V989" t="s">
        <v>965</v>
      </c>
      <c r="W989">
        <v>390</v>
      </c>
      <c r="X989">
        <v>16.989999999999998</v>
      </c>
      <c r="Y989">
        <v>49</v>
      </c>
      <c r="Z989">
        <v>279000</v>
      </c>
      <c r="AA989">
        <v>21450</v>
      </c>
      <c r="AB989">
        <v>192</v>
      </c>
      <c r="AD989" t="s">
        <v>238</v>
      </c>
      <c r="AE989">
        <v>2</v>
      </c>
      <c r="AF989">
        <v>0</v>
      </c>
      <c r="AI989">
        <v>0</v>
      </c>
      <c r="AJ989">
        <v>4</v>
      </c>
      <c r="AK989">
        <v>4</v>
      </c>
      <c r="AL989">
        <v>55</v>
      </c>
      <c r="AM989">
        <v>4</v>
      </c>
      <c r="AN989">
        <v>0</v>
      </c>
      <c r="AO989">
        <v>4</v>
      </c>
      <c r="AP989" t="s">
        <v>80</v>
      </c>
      <c r="AQ989" t="s">
        <v>176</v>
      </c>
      <c r="AR989" t="s">
        <v>86</v>
      </c>
      <c r="AS989" t="s">
        <v>86</v>
      </c>
      <c r="AT989" t="s">
        <v>264</v>
      </c>
      <c r="AU989" t="s">
        <v>264</v>
      </c>
      <c r="AV989" t="s">
        <v>1096</v>
      </c>
      <c r="AW989" t="s">
        <v>69</v>
      </c>
      <c r="AX989" t="s">
        <v>1097</v>
      </c>
      <c r="AY989" t="s">
        <v>1098</v>
      </c>
      <c r="AZ989" t="s">
        <v>243</v>
      </c>
      <c r="BA989" t="s">
        <v>264</v>
      </c>
      <c r="BB989" t="s">
        <v>244</v>
      </c>
      <c r="BC989" t="s">
        <v>244</v>
      </c>
      <c r="BD989" t="s">
        <v>1103</v>
      </c>
      <c r="BE989" t="s">
        <v>3139</v>
      </c>
      <c r="BF989" t="s">
        <v>86</v>
      </c>
      <c r="BG989" t="s">
        <v>150</v>
      </c>
      <c r="BH989" t="str">
        <f>IF(COUNTIF(工作表1!A:A, $C989)&gt;0, "預購款", "非預購款")</f>
        <v>非預購款</v>
      </c>
    </row>
    <row r="990" spans="1:60" x14ac:dyDescent="0.25">
      <c r="A990" t="s">
        <v>1089</v>
      </c>
      <c r="B990" t="s">
        <v>535</v>
      </c>
      <c r="C990" t="s">
        <v>1090</v>
      </c>
      <c r="D990" t="s">
        <v>1091</v>
      </c>
      <c r="E990" t="s">
        <v>1092</v>
      </c>
      <c r="F990" t="s">
        <v>160</v>
      </c>
      <c r="G990" t="s">
        <v>1093</v>
      </c>
      <c r="H990" t="s">
        <v>130</v>
      </c>
      <c r="I990" t="s">
        <v>171</v>
      </c>
      <c r="J990" t="s">
        <v>172</v>
      </c>
      <c r="K990" t="s">
        <v>69</v>
      </c>
      <c r="L990" t="s">
        <v>1094</v>
      </c>
      <c r="M990" t="s">
        <v>71</v>
      </c>
      <c r="N990" t="s">
        <v>100</v>
      </c>
      <c r="O990" t="s">
        <v>980</v>
      </c>
      <c r="P990" t="s">
        <v>981</v>
      </c>
      <c r="R990" t="s">
        <v>1095</v>
      </c>
      <c r="S990" t="s">
        <v>165</v>
      </c>
      <c r="T990" t="s">
        <v>76</v>
      </c>
      <c r="U990" t="s">
        <v>104</v>
      </c>
      <c r="V990" t="s">
        <v>965</v>
      </c>
      <c r="W990">
        <v>390</v>
      </c>
      <c r="X990">
        <v>16.989999999999998</v>
      </c>
      <c r="Y990">
        <v>49</v>
      </c>
      <c r="Z990">
        <v>279000</v>
      </c>
      <c r="AA990">
        <v>21450</v>
      </c>
      <c r="AB990">
        <v>192</v>
      </c>
      <c r="AD990" t="s">
        <v>238</v>
      </c>
      <c r="AE990">
        <v>2</v>
      </c>
      <c r="AF990">
        <v>0</v>
      </c>
      <c r="AI990">
        <v>0</v>
      </c>
      <c r="AJ990">
        <v>2</v>
      </c>
      <c r="AK990">
        <v>2</v>
      </c>
      <c r="AL990">
        <v>55</v>
      </c>
      <c r="AM990">
        <v>2</v>
      </c>
      <c r="AN990">
        <v>0</v>
      </c>
      <c r="AO990">
        <v>2</v>
      </c>
      <c r="AP990" t="s">
        <v>80</v>
      </c>
      <c r="AQ990" t="s">
        <v>176</v>
      </c>
      <c r="AR990" t="s">
        <v>86</v>
      </c>
      <c r="AS990" t="s">
        <v>86</v>
      </c>
      <c r="AT990" t="s">
        <v>264</v>
      </c>
      <c r="AU990" t="s">
        <v>264</v>
      </c>
      <c r="AV990" t="s">
        <v>1096</v>
      </c>
      <c r="AW990" t="s">
        <v>69</v>
      </c>
      <c r="AX990" t="s">
        <v>1097</v>
      </c>
      <c r="AY990" t="s">
        <v>1098</v>
      </c>
      <c r="AZ990" t="s">
        <v>243</v>
      </c>
      <c r="BA990" t="s">
        <v>264</v>
      </c>
      <c r="BB990" t="s">
        <v>244</v>
      </c>
      <c r="BC990" t="s">
        <v>244</v>
      </c>
      <c r="BD990" t="s">
        <v>1104</v>
      </c>
      <c r="BE990" t="s">
        <v>3139</v>
      </c>
      <c r="BF990" t="s">
        <v>86</v>
      </c>
      <c r="BG990" t="s">
        <v>150</v>
      </c>
      <c r="BH990" t="str">
        <f>IF(COUNTIF(工作表1!A:A, $C990)&gt;0, "預購款", "非預購款")</f>
        <v>非預購款</v>
      </c>
    </row>
    <row r="991" spans="1:60" x14ac:dyDescent="0.25">
      <c r="A991" t="s">
        <v>1089</v>
      </c>
      <c r="B991" t="s">
        <v>535</v>
      </c>
      <c r="C991" t="s">
        <v>1090</v>
      </c>
      <c r="D991" t="s">
        <v>1091</v>
      </c>
      <c r="E991" t="s">
        <v>1092</v>
      </c>
      <c r="F991" t="s">
        <v>160</v>
      </c>
      <c r="G991" t="s">
        <v>1093</v>
      </c>
      <c r="H991" t="s">
        <v>132</v>
      </c>
      <c r="I991" t="s">
        <v>171</v>
      </c>
      <c r="J991" t="s">
        <v>172</v>
      </c>
      <c r="K991" t="s">
        <v>69</v>
      </c>
      <c r="L991" t="s">
        <v>1094</v>
      </c>
      <c r="M991" t="s">
        <v>71</v>
      </c>
      <c r="N991" t="s">
        <v>100</v>
      </c>
      <c r="O991" t="s">
        <v>980</v>
      </c>
      <c r="P991" t="s">
        <v>981</v>
      </c>
      <c r="R991" t="s">
        <v>1095</v>
      </c>
      <c r="S991" t="s">
        <v>165</v>
      </c>
      <c r="T991" t="s">
        <v>76</v>
      </c>
      <c r="U991" t="s">
        <v>104</v>
      </c>
      <c r="V991" t="s">
        <v>965</v>
      </c>
      <c r="W991">
        <v>390</v>
      </c>
      <c r="X991">
        <v>16.989999999999998</v>
      </c>
      <c r="Y991">
        <v>49</v>
      </c>
      <c r="Z991">
        <v>279000</v>
      </c>
      <c r="AA991">
        <v>21450</v>
      </c>
      <c r="AB991">
        <v>192</v>
      </c>
      <c r="AD991" t="s">
        <v>238</v>
      </c>
      <c r="AE991">
        <v>2</v>
      </c>
      <c r="AF991">
        <v>0</v>
      </c>
      <c r="AI991">
        <v>0</v>
      </c>
      <c r="AJ991">
        <v>1</v>
      </c>
      <c r="AK991">
        <v>1</v>
      </c>
      <c r="AL991">
        <v>55</v>
      </c>
      <c r="AM991">
        <v>1</v>
      </c>
      <c r="AN991">
        <v>0</v>
      </c>
      <c r="AO991">
        <v>1</v>
      </c>
      <c r="AP991" t="s">
        <v>80</v>
      </c>
      <c r="AQ991" t="s">
        <v>176</v>
      </c>
      <c r="AR991" t="s">
        <v>86</v>
      </c>
      <c r="AS991" t="s">
        <v>86</v>
      </c>
      <c r="AT991" t="s">
        <v>264</v>
      </c>
      <c r="AU991" t="s">
        <v>264</v>
      </c>
      <c r="AV991" t="s">
        <v>1096</v>
      </c>
      <c r="AW991" t="s">
        <v>69</v>
      </c>
      <c r="AX991" t="s">
        <v>1097</v>
      </c>
      <c r="AY991" t="s">
        <v>1098</v>
      </c>
      <c r="AZ991" t="s">
        <v>243</v>
      </c>
      <c r="BA991" t="s">
        <v>264</v>
      </c>
      <c r="BB991" t="s">
        <v>244</v>
      </c>
      <c r="BC991" t="s">
        <v>244</v>
      </c>
      <c r="BD991" t="s">
        <v>1105</v>
      </c>
      <c r="BE991" t="s">
        <v>3139</v>
      </c>
      <c r="BF991" t="s">
        <v>86</v>
      </c>
      <c r="BG991" t="s">
        <v>150</v>
      </c>
      <c r="BH991" t="str">
        <f>IF(COUNTIF(工作表1!A:A, $C991)&gt;0, "預購款", "非預購款")</f>
        <v>非預購款</v>
      </c>
    </row>
    <row r="992" spans="1:60" x14ac:dyDescent="0.25">
      <c r="A992" t="s">
        <v>3140</v>
      </c>
      <c r="B992" t="s">
        <v>488</v>
      </c>
      <c r="C992" t="s">
        <v>3141</v>
      </c>
      <c r="D992" t="s">
        <v>3142</v>
      </c>
      <c r="E992" t="s">
        <v>3143</v>
      </c>
      <c r="F992" t="s">
        <v>176</v>
      </c>
      <c r="G992" t="s">
        <v>3144</v>
      </c>
      <c r="H992" t="s">
        <v>119</v>
      </c>
      <c r="I992" t="s">
        <v>97</v>
      </c>
      <c r="J992" t="s">
        <v>98</v>
      </c>
      <c r="K992" t="s">
        <v>69</v>
      </c>
      <c r="L992" t="s">
        <v>3145</v>
      </c>
      <c r="M992" t="s">
        <v>71</v>
      </c>
      <c r="N992" t="s">
        <v>198</v>
      </c>
      <c r="O992" t="s">
        <v>3146</v>
      </c>
      <c r="P992" t="s">
        <v>3147</v>
      </c>
      <c r="R992" t="s">
        <v>3148</v>
      </c>
      <c r="S992" t="s">
        <v>183</v>
      </c>
      <c r="T992" t="s">
        <v>76</v>
      </c>
      <c r="U992" t="s">
        <v>104</v>
      </c>
      <c r="V992" t="s">
        <v>593</v>
      </c>
      <c r="W992">
        <v>390</v>
      </c>
      <c r="X992">
        <v>16.989999999999998</v>
      </c>
      <c r="Y992">
        <v>49</v>
      </c>
      <c r="Z992">
        <v>279000</v>
      </c>
      <c r="AA992">
        <v>448500</v>
      </c>
      <c r="AB992">
        <v>140</v>
      </c>
      <c r="AD992" t="s">
        <v>238</v>
      </c>
      <c r="AE992">
        <v>2</v>
      </c>
      <c r="AF992">
        <v>15</v>
      </c>
      <c r="AI992">
        <v>15</v>
      </c>
      <c r="AJ992">
        <v>90</v>
      </c>
      <c r="AK992">
        <v>120</v>
      </c>
      <c r="AL992">
        <v>1150</v>
      </c>
      <c r="AM992">
        <v>118</v>
      </c>
      <c r="AN992">
        <v>0</v>
      </c>
      <c r="AO992">
        <v>118</v>
      </c>
      <c r="AP992" t="s">
        <v>80</v>
      </c>
      <c r="AQ992" t="s">
        <v>2257</v>
      </c>
      <c r="AR992" t="s">
        <v>86</v>
      </c>
      <c r="AS992" t="s">
        <v>86</v>
      </c>
      <c r="AT992" t="s">
        <v>86</v>
      </c>
      <c r="AU992" t="s">
        <v>86</v>
      </c>
      <c r="AV992" t="s">
        <v>81</v>
      </c>
      <c r="AW992" t="s">
        <v>69</v>
      </c>
      <c r="AX992" t="s">
        <v>126</v>
      </c>
      <c r="AY992" t="s">
        <v>3149</v>
      </c>
      <c r="AZ992" t="s">
        <v>245</v>
      </c>
      <c r="BA992" t="s">
        <v>244</v>
      </c>
      <c r="BB992" t="s">
        <v>244</v>
      </c>
      <c r="BC992" t="s">
        <v>244</v>
      </c>
      <c r="BD992" t="s">
        <v>3150</v>
      </c>
      <c r="BE992" t="s">
        <v>3151</v>
      </c>
      <c r="BF992" t="s">
        <v>86</v>
      </c>
      <c r="BG992" t="s">
        <v>150</v>
      </c>
      <c r="BH992" t="str">
        <f>IF(COUNTIF(工作表1!A:A, $C992)&gt;0, "預購款", "非預購款")</f>
        <v>非預購款</v>
      </c>
    </row>
    <row r="993" spans="1:60" x14ac:dyDescent="0.25">
      <c r="A993" t="s">
        <v>3140</v>
      </c>
      <c r="B993" t="s">
        <v>488</v>
      </c>
      <c r="C993" t="s">
        <v>3141</v>
      </c>
      <c r="D993" t="s">
        <v>3142</v>
      </c>
      <c r="E993" t="s">
        <v>3143</v>
      </c>
      <c r="F993" t="s">
        <v>176</v>
      </c>
      <c r="G993" t="s">
        <v>3144</v>
      </c>
      <c r="H993" t="s">
        <v>130</v>
      </c>
      <c r="I993" t="s">
        <v>97</v>
      </c>
      <c r="J993" t="s">
        <v>98</v>
      </c>
      <c r="K993" t="s">
        <v>69</v>
      </c>
      <c r="L993" t="s">
        <v>3145</v>
      </c>
      <c r="M993" t="s">
        <v>71</v>
      </c>
      <c r="N993" t="s">
        <v>198</v>
      </c>
      <c r="O993" t="s">
        <v>3146</v>
      </c>
      <c r="P993" t="s">
        <v>3147</v>
      </c>
      <c r="R993" t="s">
        <v>3148</v>
      </c>
      <c r="S993" t="s">
        <v>183</v>
      </c>
      <c r="T993" t="s">
        <v>76</v>
      </c>
      <c r="U993" t="s">
        <v>104</v>
      </c>
      <c r="V993" t="s">
        <v>593</v>
      </c>
      <c r="W993">
        <v>390</v>
      </c>
      <c r="X993">
        <v>16.989999999999998</v>
      </c>
      <c r="Y993">
        <v>49</v>
      </c>
      <c r="Z993">
        <v>279000</v>
      </c>
      <c r="AA993">
        <v>448500</v>
      </c>
      <c r="AB993">
        <v>140</v>
      </c>
      <c r="AD993" t="s">
        <v>238</v>
      </c>
      <c r="AE993">
        <v>2</v>
      </c>
      <c r="AF993">
        <v>10</v>
      </c>
      <c r="AI993">
        <v>15</v>
      </c>
      <c r="AJ993">
        <v>80</v>
      </c>
      <c r="AK993">
        <v>105</v>
      </c>
      <c r="AL993">
        <v>1150</v>
      </c>
      <c r="AM993">
        <v>103</v>
      </c>
      <c r="AN993">
        <v>1</v>
      </c>
      <c r="AO993">
        <v>104</v>
      </c>
      <c r="AP993" t="s">
        <v>80</v>
      </c>
      <c r="AQ993" t="s">
        <v>2257</v>
      </c>
      <c r="AR993" t="s">
        <v>86</v>
      </c>
      <c r="AS993" t="s">
        <v>86</v>
      </c>
      <c r="AT993" t="s">
        <v>86</v>
      </c>
      <c r="AU993" t="s">
        <v>86</v>
      </c>
      <c r="AV993" t="s">
        <v>81</v>
      </c>
      <c r="AW993" t="s">
        <v>69</v>
      </c>
      <c r="AX993" t="s">
        <v>126</v>
      </c>
      <c r="AY993" t="s">
        <v>3149</v>
      </c>
      <c r="AZ993" t="s">
        <v>245</v>
      </c>
      <c r="BA993" t="s">
        <v>244</v>
      </c>
      <c r="BB993" t="s">
        <v>244</v>
      </c>
      <c r="BC993" t="s">
        <v>244</v>
      </c>
      <c r="BD993" t="s">
        <v>3152</v>
      </c>
      <c r="BE993" t="s">
        <v>3151</v>
      </c>
      <c r="BF993" t="s">
        <v>86</v>
      </c>
      <c r="BG993" t="s">
        <v>150</v>
      </c>
      <c r="BH993" t="str">
        <f>IF(COUNTIF(工作表1!A:A, $C993)&gt;0, "預購款", "非預購款")</f>
        <v>非預購款</v>
      </c>
    </row>
    <row r="994" spans="1:60" x14ac:dyDescent="0.25">
      <c r="A994" t="s">
        <v>3140</v>
      </c>
      <c r="B994" t="s">
        <v>488</v>
      </c>
      <c r="C994" t="s">
        <v>3141</v>
      </c>
      <c r="D994" t="s">
        <v>3142</v>
      </c>
      <c r="E994" t="s">
        <v>3143</v>
      </c>
      <c r="F994" t="s">
        <v>176</v>
      </c>
      <c r="G994" t="s">
        <v>3144</v>
      </c>
      <c r="H994" t="s">
        <v>132</v>
      </c>
      <c r="I994" t="s">
        <v>97</v>
      </c>
      <c r="J994" t="s">
        <v>98</v>
      </c>
      <c r="K994" t="s">
        <v>69</v>
      </c>
      <c r="L994" t="s">
        <v>3145</v>
      </c>
      <c r="M994" t="s">
        <v>71</v>
      </c>
      <c r="N994" t="s">
        <v>198</v>
      </c>
      <c r="O994" t="s">
        <v>3146</v>
      </c>
      <c r="P994" t="s">
        <v>3147</v>
      </c>
      <c r="R994" t="s">
        <v>3148</v>
      </c>
      <c r="S994" t="s">
        <v>183</v>
      </c>
      <c r="T994" t="s">
        <v>76</v>
      </c>
      <c r="U994" t="s">
        <v>104</v>
      </c>
      <c r="V994" t="s">
        <v>593</v>
      </c>
      <c r="W994">
        <v>390</v>
      </c>
      <c r="X994">
        <v>16.989999999999998</v>
      </c>
      <c r="Y994">
        <v>49</v>
      </c>
      <c r="Z994">
        <v>279000</v>
      </c>
      <c r="AA994">
        <v>448500</v>
      </c>
      <c r="AB994">
        <v>140</v>
      </c>
      <c r="AD994" t="s">
        <v>238</v>
      </c>
      <c r="AE994">
        <v>2</v>
      </c>
      <c r="AF994">
        <v>0</v>
      </c>
      <c r="AI994">
        <v>15</v>
      </c>
      <c r="AJ994">
        <v>30</v>
      </c>
      <c r="AK994">
        <v>45</v>
      </c>
      <c r="AL994">
        <v>1150</v>
      </c>
      <c r="AM994">
        <v>45</v>
      </c>
      <c r="AN994">
        <v>0</v>
      </c>
      <c r="AO994">
        <v>45</v>
      </c>
      <c r="AP994" t="s">
        <v>80</v>
      </c>
      <c r="AQ994" t="s">
        <v>2257</v>
      </c>
      <c r="AR994" t="s">
        <v>86</v>
      </c>
      <c r="AS994" t="s">
        <v>86</v>
      </c>
      <c r="AT994" t="s">
        <v>86</v>
      </c>
      <c r="AU994" t="s">
        <v>86</v>
      </c>
      <c r="AV994" t="s">
        <v>81</v>
      </c>
      <c r="AW994" t="s">
        <v>69</v>
      </c>
      <c r="AX994" t="s">
        <v>126</v>
      </c>
      <c r="AY994" t="s">
        <v>3149</v>
      </c>
      <c r="AZ994" t="s">
        <v>245</v>
      </c>
      <c r="BA994" t="s">
        <v>244</v>
      </c>
      <c r="BB994" t="s">
        <v>244</v>
      </c>
      <c r="BC994" t="s">
        <v>244</v>
      </c>
      <c r="BD994" t="s">
        <v>3153</v>
      </c>
      <c r="BE994" t="s">
        <v>3151</v>
      </c>
      <c r="BF994" t="s">
        <v>86</v>
      </c>
      <c r="BG994" t="s">
        <v>150</v>
      </c>
      <c r="BH994" t="str">
        <f>IF(COUNTIF(工作表1!A:A, $C994)&gt;0, "預購款", "非預購款")</f>
        <v>非預購款</v>
      </c>
    </row>
    <row r="995" spans="1:60" x14ac:dyDescent="0.25">
      <c r="A995" t="s">
        <v>3140</v>
      </c>
      <c r="B995" t="s">
        <v>488</v>
      </c>
      <c r="C995" t="s">
        <v>3141</v>
      </c>
      <c r="D995" t="s">
        <v>3142</v>
      </c>
      <c r="E995" t="s">
        <v>3143</v>
      </c>
      <c r="F995" t="s">
        <v>176</v>
      </c>
      <c r="G995" t="s">
        <v>3144</v>
      </c>
      <c r="H995" t="s">
        <v>119</v>
      </c>
      <c r="I995" t="s">
        <v>171</v>
      </c>
      <c r="J995" t="s">
        <v>172</v>
      </c>
      <c r="K995" t="s">
        <v>69</v>
      </c>
      <c r="L995" t="s">
        <v>3145</v>
      </c>
      <c r="M995" t="s">
        <v>71</v>
      </c>
      <c r="N995" t="s">
        <v>198</v>
      </c>
      <c r="O995" t="s">
        <v>3146</v>
      </c>
      <c r="P995" t="s">
        <v>3147</v>
      </c>
      <c r="R995" t="s">
        <v>3148</v>
      </c>
      <c r="S995" t="s">
        <v>183</v>
      </c>
      <c r="T995" t="s">
        <v>76</v>
      </c>
      <c r="U995" t="s">
        <v>104</v>
      </c>
      <c r="V995" t="s">
        <v>593</v>
      </c>
      <c r="W995">
        <v>390</v>
      </c>
      <c r="X995">
        <v>16.989999999999998</v>
      </c>
      <c r="Y995">
        <v>49</v>
      </c>
      <c r="Z995">
        <v>279000</v>
      </c>
      <c r="AA995">
        <v>448500</v>
      </c>
      <c r="AB995">
        <v>140</v>
      </c>
      <c r="AD995" t="s">
        <v>238</v>
      </c>
      <c r="AE995">
        <v>2</v>
      </c>
      <c r="AF995">
        <v>15</v>
      </c>
      <c r="AI995">
        <v>20</v>
      </c>
      <c r="AJ995">
        <v>335</v>
      </c>
      <c r="AK995">
        <v>370</v>
      </c>
      <c r="AL995">
        <v>1150</v>
      </c>
      <c r="AM995">
        <v>367</v>
      </c>
      <c r="AN995">
        <v>4</v>
      </c>
      <c r="AO995">
        <v>371</v>
      </c>
      <c r="AP995" t="s">
        <v>80</v>
      </c>
      <c r="AQ995" t="s">
        <v>2257</v>
      </c>
      <c r="AR995" t="s">
        <v>86</v>
      </c>
      <c r="AS995" t="s">
        <v>86</v>
      </c>
      <c r="AT995" t="s">
        <v>86</v>
      </c>
      <c r="AU995" t="s">
        <v>86</v>
      </c>
      <c r="AV995" t="s">
        <v>81</v>
      </c>
      <c r="AW995" t="s">
        <v>69</v>
      </c>
      <c r="AX995" t="s">
        <v>126</v>
      </c>
      <c r="AY995" t="s">
        <v>3149</v>
      </c>
      <c r="AZ995" t="s">
        <v>245</v>
      </c>
      <c r="BA995" t="s">
        <v>244</v>
      </c>
      <c r="BB995" t="s">
        <v>244</v>
      </c>
      <c r="BC995" t="s">
        <v>244</v>
      </c>
      <c r="BD995" t="s">
        <v>3154</v>
      </c>
      <c r="BE995" t="s">
        <v>3151</v>
      </c>
      <c r="BF995" t="s">
        <v>86</v>
      </c>
      <c r="BG995" t="s">
        <v>150</v>
      </c>
      <c r="BH995" t="str">
        <f>IF(COUNTIF(工作表1!A:A, $C995)&gt;0, "預購款", "非預購款")</f>
        <v>非預購款</v>
      </c>
    </row>
    <row r="996" spans="1:60" x14ac:dyDescent="0.25">
      <c r="A996" t="s">
        <v>3140</v>
      </c>
      <c r="B996" t="s">
        <v>488</v>
      </c>
      <c r="C996" t="s">
        <v>3141</v>
      </c>
      <c r="D996" t="s">
        <v>3142</v>
      </c>
      <c r="E996" t="s">
        <v>3143</v>
      </c>
      <c r="F996" t="s">
        <v>176</v>
      </c>
      <c r="G996" t="s">
        <v>3144</v>
      </c>
      <c r="H996" t="s">
        <v>130</v>
      </c>
      <c r="I996" t="s">
        <v>171</v>
      </c>
      <c r="J996" t="s">
        <v>172</v>
      </c>
      <c r="K996" t="s">
        <v>69</v>
      </c>
      <c r="L996" t="s">
        <v>3145</v>
      </c>
      <c r="M996" t="s">
        <v>71</v>
      </c>
      <c r="N996" t="s">
        <v>198</v>
      </c>
      <c r="O996" t="s">
        <v>3146</v>
      </c>
      <c r="P996" t="s">
        <v>3147</v>
      </c>
      <c r="R996" t="s">
        <v>3148</v>
      </c>
      <c r="S996" t="s">
        <v>183</v>
      </c>
      <c r="T996" t="s">
        <v>76</v>
      </c>
      <c r="U996" t="s">
        <v>104</v>
      </c>
      <c r="V996" t="s">
        <v>593</v>
      </c>
      <c r="W996">
        <v>390</v>
      </c>
      <c r="X996">
        <v>16.989999999999998</v>
      </c>
      <c r="Y996">
        <v>49</v>
      </c>
      <c r="Z996">
        <v>279000</v>
      </c>
      <c r="AA996">
        <v>448500</v>
      </c>
      <c r="AB996">
        <v>140</v>
      </c>
      <c r="AD996" t="s">
        <v>238</v>
      </c>
      <c r="AE996">
        <v>2</v>
      </c>
      <c r="AF996">
        <v>10</v>
      </c>
      <c r="AI996">
        <v>30</v>
      </c>
      <c r="AJ996">
        <v>290</v>
      </c>
      <c r="AK996">
        <v>330</v>
      </c>
      <c r="AL996">
        <v>1150</v>
      </c>
      <c r="AM996">
        <v>325</v>
      </c>
      <c r="AN996">
        <v>2</v>
      </c>
      <c r="AO996">
        <v>327</v>
      </c>
      <c r="AP996" t="s">
        <v>80</v>
      </c>
      <c r="AQ996" t="s">
        <v>2257</v>
      </c>
      <c r="AR996" t="s">
        <v>86</v>
      </c>
      <c r="AS996" t="s">
        <v>86</v>
      </c>
      <c r="AT996" t="s">
        <v>86</v>
      </c>
      <c r="AU996" t="s">
        <v>86</v>
      </c>
      <c r="AV996" t="s">
        <v>81</v>
      </c>
      <c r="AW996" t="s">
        <v>69</v>
      </c>
      <c r="AX996" t="s">
        <v>126</v>
      </c>
      <c r="AY996" t="s">
        <v>3149</v>
      </c>
      <c r="AZ996" t="s">
        <v>245</v>
      </c>
      <c r="BA996" t="s">
        <v>244</v>
      </c>
      <c r="BB996" t="s">
        <v>244</v>
      </c>
      <c r="BC996" t="s">
        <v>244</v>
      </c>
      <c r="BD996" t="s">
        <v>3155</v>
      </c>
      <c r="BE996" t="s">
        <v>3151</v>
      </c>
      <c r="BF996" t="s">
        <v>86</v>
      </c>
      <c r="BG996" t="s">
        <v>150</v>
      </c>
      <c r="BH996" t="str">
        <f>IF(COUNTIF(工作表1!A:A, $C996)&gt;0, "預購款", "非預購款")</f>
        <v>非預購款</v>
      </c>
    </row>
    <row r="997" spans="1:60" x14ac:dyDescent="0.25">
      <c r="A997" t="s">
        <v>3140</v>
      </c>
      <c r="B997" t="s">
        <v>488</v>
      </c>
      <c r="C997" t="s">
        <v>3141</v>
      </c>
      <c r="D997" t="s">
        <v>3142</v>
      </c>
      <c r="E997" t="s">
        <v>3143</v>
      </c>
      <c r="F997" t="s">
        <v>176</v>
      </c>
      <c r="G997" t="s">
        <v>3144</v>
      </c>
      <c r="H997" t="s">
        <v>132</v>
      </c>
      <c r="I997" t="s">
        <v>171</v>
      </c>
      <c r="J997" t="s">
        <v>172</v>
      </c>
      <c r="K997" t="s">
        <v>69</v>
      </c>
      <c r="L997" t="s">
        <v>3145</v>
      </c>
      <c r="M997" t="s">
        <v>71</v>
      </c>
      <c r="N997" t="s">
        <v>198</v>
      </c>
      <c r="O997" t="s">
        <v>3146</v>
      </c>
      <c r="P997" t="s">
        <v>3147</v>
      </c>
      <c r="R997" t="s">
        <v>3148</v>
      </c>
      <c r="S997" t="s">
        <v>183</v>
      </c>
      <c r="T997" t="s">
        <v>76</v>
      </c>
      <c r="U997" t="s">
        <v>104</v>
      </c>
      <c r="V997" t="s">
        <v>593</v>
      </c>
      <c r="W997">
        <v>390</v>
      </c>
      <c r="X997">
        <v>16.989999999999998</v>
      </c>
      <c r="Y997">
        <v>49</v>
      </c>
      <c r="Z997">
        <v>279000</v>
      </c>
      <c r="AA997">
        <v>448500</v>
      </c>
      <c r="AB997">
        <v>140</v>
      </c>
      <c r="AD997" t="s">
        <v>238</v>
      </c>
      <c r="AE997">
        <v>2</v>
      </c>
      <c r="AF997">
        <v>0</v>
      </c>
      <c r="AI997">
        <v>20</v>
      </c>
      <c r="AJ997">
        <v>160</v>
      </c>
      <c r="AK997">
        <v>180</v>
      </c>
      <c r="AL997">
        <v>1150</v>
      </c>
      <c r="AM997">
        <v>172</v>
      </c>
      <c r="AN997">
        <v>2</v>
      </c>
      <c r="AO997">
        <v>174</v>
      </c>
      <c r="AP997" t="s">
        <v>80</v>
      </c>
      <c r="AQ997" t="s">
        <v>2257</v>
      </c>
      <c r="AR997" t="s">
        <v>86</v>
      </c>
      <c r="AS997" t="s">
        <v>86</v>
      </c>
      <c r="AT997" t="s">
        <v>86</v>
      </c>
      <c r="AU997" t="s">
        <v>86</v>
      </c>
      <c r="AV997" t="s">
        <v>81</v>
      </c>
      <c r="AW997" t="s">
        <v>69</v>
      </c>
      <c r="AX997" t="s">
        <v>126</v>
      </c>
      <c r="AY997" t="s">
        <v>3149</v>
      </c>
      <c r="AZ997" t="s">
        <v>245</v>
      </c>
      <c r="BA997" t="s">
        <v>244</v>
      </c>
      <c r="BB997" t="s">
        <v>244</v>
      </c>
      <c r="BC997" t="s">
        <v>244</v>
      </c>
      <c r="BD997" t="s">
        <v>3156</v>
      </c>
      <c r="BE997" t="s">
        <v>3151</v>
      </c>
      <c r="BF997" t="s">
        <v>86</v>
      </c>
      <c r="BG997" t="s">
        <v>150</v>
      </c>
      <c r="BH997" t="str">
        <f>IF(COUNTIF(工作表1!A:A, $C997)&gt;0, "預購款", "非預購款")</f>
        <v>非預購款</v>
      </c>
    </row>
    <row r="998" spans="1:60" x14ac:dyDescent="0.25">
      <c r="A998" t="s">
        <v>373</v>
      </c>
      <c r="B998" t="s">
        <v>226</v>
      </c>
      <c r="C998" t="s">
        <v>374</v>
      </c>
      <c r="D998" t="s">
        <v>375</v>
      </c>
      <c r="E998" t="s">
        <v>376</v>
      </c>
      <c r="F998" t="s">
        <v>176</v>
      </c>
      <c r="G998" t="s">
        <v>378</v>
      </c>
      <c r="H998" t="s">
        <v>379</v>
      </c>
      <c r="I998" t="s">
        <v>120</v>
      </c>
      <c r="J998" t="s">
        <v>121</v>
      </c>
      <c r="K998" t="s">
        <v>69</v>
      </c>
      <c r="L998" t="s">
        <v>380</v>
      </c>
      <c r="M998" t="s">
        <v>71</v>
      </c>
      <c r="N998" t="s">
        <v>72</v>
      </c>
      <c r="O998" t="s">
        <v>73</v>
      </c>
      <c r="P998" t="s">
        <v>74</v>
      </c>
      <c r="R998" t="s">
        <v>381</v>
      </c>
      <c r="S998" t="s">
        <v>183</v>
      </c>
      <c r="T998" t="s">
        <v>76</v>
      </c>
      <c r="U998" t="s">
        <v>383</v>
      </c>
      <c r="V998" t="s">
        <v>384</v>
      </c>
      <c r="W998">
        <v>890</v>
      </c>
      <c r="X998">
        <v>39.99</v>
      </c>
      <c r="Y998">
        <v>115</v>
      </c>
      <c r="Z998">
        <v>639000</v>
      </c>
      <c r="AA998">
        <v>240300</v>
      </c>
      <c r="AB998">
        <v>484</v>
      </c>
      <c r="AD998" t="s">
        <v>238</v>
      </c>
      <c r="AE998">
        <v>1</v>
      </c>
      <c r="AF998">
        <v>0</v>
      </c>
      <c r="AI998">
        <v>10</v>
      </c>
      <c r="AJ998">
        <v>10</v>
      </c>
      <c r="AK998">
        <v>20</v>
      </c>
      <c r="AL998">
        <v>270</v>
      </c>
      <c r="AM998">
        <v>18</v>
      </c>
      <c r="AN998">
        <v>0</v>
      </c>
      <c r="AO998">
        <v>18</v>
      </c>
      <c r="AP998" t="s">
        <v>80</v>
      </c>
      <c r="AQ998" t="s">
        <v>190</v>
      </c>
      <c r="AR998" t="s">
        <v>86</v>
      </c>
      <c r="AS998" t="s">
        <v>86</v>
      </c>
      <c r="AT998" t="s">
        <v>240</v>
      </c>
      <c r="AU998" t="s">
        <v>86</v>
      </c>
      <c r="AV998" t="s">
        <v>386</v>
      </c>
      <c r="AW998" t="s">
        <v>80</v>
      </c>
      <c r="AX998" t="s">
        <v>387</v>
      </c>
      <c r="AY998" t="s">
        <v>388</v>
      </c>
      <c r="AZ998" t="s">
        <v>243</v>
      </c>
      <c r="BA998" t="s">
        <v>243</v>
      </c>
      <c r="BB998" t="s">
        <v>245</v>
      </c>
      <c r="BC998" t="s">
        <v>244</v>
      </c>
      <c r="BD998" t="s">
        <v>511</v>
      </c>
      <c r="BE998" t="s">
        <v>3158</v>
      </c>
      <c r="BF998" t="s">
        <v>86</v>
      </c>
      <c r="BG998" t="s">
        <v>150</v>
      </c>
      <c r="BH998" t="str">
        <f>IF(COUNTIF(工作表1!A:A, $C998)&gt;0, "預購款", "非預購款")</f>
        <v>非預購款</v>
      </c>
    </row>
    <row r="999" spans="1:60" x14ac:dyDescent="0.25">
      <c r="A999" t="s">
        <v>373</v>
      </c>
      <c r="B999" t="s">
        <v>226</v>
      </c>
      <c r="C999" t="s">
        <v>374</v>
      </c>
      <c r="D999" t="s">
        <v>375</v>
      </c>
      <c r="E999" t="s">
        <v>376</v>
      </c>
      <c r="F999" t="s">
        <v>176</v>
      </c>
      <c r="G999" t="s">
        <v>378</v>
      </c>
      <c r="H999" t="s">
        <v>119</v>
      </c>
      <c r="I999" t="s">
        <v>120</v>
      </c>
      <c r="J999" t="s">
        <v>121</v>
      </c>
      <c r="K999" t="s">
        <v>69</v>
      </c>
      <c r="L999" t="s">
        <v>380</v>
      </c>
      <c r="M999" t="s">
        <v>71</v>
      </c>
      <c r="N999" t="s">
        <v>72</v>
      </c>
      <c r="O999" t="s">
        <v>73</v>
      </c>
      <c r="P999" t="s">
        <v>74</v>
      </c>
      <c r="R999" t="s">
        <v>381</v>
      </c>
      <c r="S999" t="s">
        <v>183</v>
      </c>
      <c r="T999" t="s">
        <v>76</v>
      </c>
      <c r="U999" t="s">
        <v>383</v>
      </c>
      <c r="V999" t="s">
        <v>384</v>
      </c>
      <c r="W999">
        <v>890</v>
      </c>
      <c r="X999">
        <v>39.99</v>
      </c>
      <c r="Y999">
        <v>115</v>
      </c>
      <c r="Z999">
        <v>639000</v>
      </c>
      <c r="AA999">
        <v>240300</v>
      </c>
      <c r="AB999">
        <v>484</v>
      </c>
      <c r="AD999" t="s">
        <v>238</v>
      </c>
      <c r="AE999">
        <v>1</v>
      </c>
      <c r="AF999">
        <v>0</v>
      </c>
      <c r="AI999">
        <v>0</v>
      </c>
      <c r="AJ999">
        <v>130</v>
      </c>
      <c r="AK999">
        <v>130</v>
      </c>
      <c r="AL999">
        <v>270</v>
      </c>
      <c r="AM999">
        <v>131</v>
      </c>
      <c r="AN999">
        <v>0</v>
      </c>
      <c r="AO999">
        <v>131</v>
      </c>
      <c r="AP999" t="s">
        <v>80</v>
      </c>
      <c r="AQ999" t="s">
        <v>190</v>
      </c>
      <c r="AR999" t="s">
        <v>86</v>
      </c>
      <c r="AS999" t="s">
        <v>86</v>
      </c>
      <c r="AT999" t="s">
        <v>240</v>
      </c>
      <c r="AU999" t="s">
        <v>86</v>
      </c>
      <c r="AV999" t="s">
        <v>386</v>
      </c>
      <c r="AW999" t="s">
        <v>80</v>
      </c>
      <c r="AX999" t="s">
        <v>387</v>
      </c>
      <c r="AY999" t="s">
        <v>388</v>
      </c>
      <c r="AZ999" t="s">
        <v>243</v>
      </c>
      <c r="BA999" t="s">
        <v>243</v>
      </c>
      <c r="BB999" t="s">
        <v>245</v>
      </c>
      <c r="BC999" t="s">
        <v>244</v>
      </c>
      <c r="BD999" t="s">
        <v>513</v>
      </c>
      <c r="BE999" t="s">
        <v>3158</v>
      </c>
      <c r="BF999" t="s">
        <v>86</v>
      </c>
      <c r="BG999" t="s">
        <v>150</v>
      </c>
      <c r="BH999" t="str">
        <f>IF(COUNTIF(工作表1!A:A, $C999)&gt;0, "預購款", "非預購款")</f>
        <v>非預購款</v>
      </c>
    </row>
    <row r="1000" spans="1:60" x14ac:dyDescent="0.25">
      <c r="A1000" t="s">
        <v>373</v>
      </c>
      <c r="B1000" t="s">
        <v>226</v>
      </c>
      <c r="C1000" t="s">
        <v>374</v>
      </c>
      <c r="D1000" t="s">
        <v>375</v>
      </c>
      <c r="E1000" t="s">
        <v>376</v>
      </c>
      <c r="F1000" t="s">
        <v>176</v>
      </c>
      <c r="G1000" t="s">
        <v>378</v>
      </c>
      <c r="H1000" t="s">
        <v>392</v>
      </c>
      <c r="I1000" t="s">
        <v>120</v>
      </c>
      <c r="J1000" t="s">
        <v>121</v>
      </c>
      <c r="K1000" t="s">
        <v>69</v>
      </c>
      <c r="L1000" t="s">
        <v>380</v>
      </c>
      <c r="M1000" t="s">
        <v>71</v>
      </c>
      <c r="N1000" t="s">
        <v>72</v>
      </c>
      <c r="O1000" t="s">
        <v>73</v>
      </c>
      <c r="P1000" t="s">
        <v>74</v>
      </c>
      <c r="R1000" t="s">
        <v>381</v>
      </c>
      <c r="S1000" t="s">
        <v>183</v>
      </c>
      <c r="T1000" t="s">
        <v>76</v>
      </c>
      <c r="U1000" t="s">
        <v>383</v>
      </c>
      <c r="V1000" t="s">
        <v>384</v>
      </c>
      <c r="W1000">
        <v>890</v>
      </c>
      <c r="X1000">
        <v>39.99</v>
      </c>
      <c r="Y1000">
        <v>115</v>
      </c>
      <c r="Z1000">
        <v>639000</v>
      </c>
      <c r="AA1000">
        <v>240300</v>
      </c>
      <c r="AB1000">
        <v>484</v>
      </c>
      <c r="AD1000" t="s">
        <v>238</v>
      </c>
      <c r="AE1000">
        <v>1</v>
      </c>
      <c r="AF1000">
        <v>0</v>
      </c>
      <c r="AI1000">
        <v>10</v>
      </c>
      <c r="AJ1000">
        <v>30</v>
      </c>
      <c r="AK1000">
        <v>40</v>
      </c>
      <c r="AL1000">
        <v>270</v>
      </c>
      <c r="AM1000">
        <v>38</v>
      </c>
      <c r="AN1000">
        <v>0</v>
      </c>
      <c r="AO1000">
        <v>38</v>
      </c>
      <c r="AP1000" t="s">
        <v>80</v>
      </c>
      <c r="AQ1000" t="s">
        <v>190</v>
      </c>
      <c r="AR1000" t="s">
        <v>86</v>
      </c>
      <c r="AS1000" t="s">
        <v>86</v>
      </c>
      <c r="AT1000" t="s">
        <v>240</v>
      </c>
      <c r="AU1000" t="s">
        <v>86</v>
      </c>
      <c r="AV1000" t="s">
        <v>386</v>
      </c>
      <c r="AW1000" t="s">
        <v>80</v>
      </c>
      <c r="AX1000" t="s">
        <v>387</v>
      </c>
      <c r="AY1000" t="s">
        <v>388</v>
      </c>
      <c r="AZ1000" t="s">
        <v>243</v>
      </c>
      <c r="BA1000" t="s">
        <v>243</v>
      </c>
      <c r="BB1000" t="s">
        <v>245</v>
      </c>
      <c r="BC1000" t="s">
        <v>244</v>
      </c>
      <c r="BD1000" t="s">
        <v>514</v>
      </c>
      <c r="BE1000" t="s">
        <v>3158</v>
      </c>
      <c r="BF1000" t="s">
        <v>86</v>
      </c>
      <c r="BG1000" t="s">
        <v>150</v>
      </c>
      <c r="BH1000" t="str">
        <f>IF(COUNTIF(工作表1!A:A, $C1000)&gt;0, "預購款", "非預購款")</f>
        <v>非預購款</v>
      </c>
    </row>
    <row r="1001" spans="1:60" x14ac:dyDescent="0.25">
      <c r="A1001" t="s">
        <v>373</v>
      </c>
      <c r="B1001" t="s">
        <v>226</v>
      </c>
      <c r="C1001" t="s">
        <v>374</v>
      </c>
      <c r="D1001" t="s">
        <v>375</v>
      </c>
      <c r="E1001" t="s">
        <v>376</v>
      </c>
      <c r="F1001" t="s">
        <v>176</v>
      </c>
      <c r="G1001" t="s">
        <v>378</v>
      </c>
      <c r="H1001" t="s">
        <v>130</v>
      </c>
      <c r="I1001" t="s">
        <v>120</v>
      </c>
      <c r="J1001" t="s">
        <v>121</v>
      </c>
      <c r="K1001" t="s">
        <v>69</v>
      </c>
      <c r="L1001" t="s">
        <v>380</v>
      </c>
      <c r="M1001" t="s">
        <v>71</v>
      </c>
      <c r="N1001" t="s">
        <v>72</v>
      </c>
      <c r="O1001" t="s">
        <v>73</v>
      </c>
      <c r="P1001" t="s">
        <v>74</v>
      </c>
      <c r="R1001" t="s">
        <v>381</v>
      </c>
      <c r="S1001" t="s">
        <v>183</v>
      </c>
      <c r="T1001" t="s">
        <v>76</v>
      </c>
      <c r="U1001" t="s">
        <v>383</v>
      </c>
      <c r="V1001" t="s">
        <v>384</v>
      </c>
      <c r="W1001">
        <v>890</v>
      </c>
      <c r="X1001">
        <v>39.99</v>
      </c>
      <c r="Y1001">
        <v>115</v>
      </c>
      <c r="Z1001">
        <v>639000</v>
      </c>
      <c r="AA1001">
        <v>240300</v>
      </c>
      <c r="AB1001">
        <v>484</v>
      </c>
      <c r="AD1001" t="s">
        <v>238</v>
      </c>
      <c r="AE1001">
        <v>1</v>
      </c>
      <c r="AF1001">
        <v>0</v>
      </c>
      <c r="AI1001">
        <v>0</v>
      </c>
      <c r="AJ1001">
        <v>50</v>
      </c>
      <c r="AK1001">
        <v>50</v>
      </c>
      <c r="AL1001">
        <v>270</v>
      </c>
      <c r="AM1001">
        <v>48</v>
      </c>
      <c r="AN1001">
        <v>0</v>
      </c>
      <c r="AO1001">
        <v>48</v>
      </c>
      <c r="AP1001" t="s">
        <v>80</v>
      </c>
      <c r="AQ1001" t="s">
        <v>190</v>
      </c>
      <c r="AR1001" t="s">
        <v>86</v>
      </c>
      <c r="AS1001" t="s">
        <v>86</v>
      </c>
      <c r="AT1001" t="s">
        <v>240</v>
      </c>
      <c r="AU1001" t="s">
        <v>86</v>
      </c>
      <c r="AV1001" t="s">
        <v>386</v>
      </c>
      <c r="AW1001" t="s">
        <v>80</v>
      </c>
      <c r="AX1001" t="s">
        <v>387</v>
      </c>
      <c r="AY1001" t="s">
        <v>388</v>
      </c>
      <c r="AZ1001" t="s">
        <v>243</v>
      </c>
      <c r="BA1001" t="s">
        <v>243</v>
      </c>
      <c r="BB1001" t="s">
        <v>245</v>
      </c>
      <c r="BC1001" t="s">
        <v>244</v>
      </c>
      <c r="BD1001" t="s">
        <v>515</v>
      </c>
      <c r="BE1001" t="s">
        <v>3158</v>
      </c>
      <c r="BF1001" t="s">
        <v>86</v>
      </c>
      <c r="BG1001" t="s">
        <v>150</v>
      </c>
      <c r="BH1001" t="str">
        <f>IF(COUNTIF(工作表1!A:A, $C1001)&gt;0, "預購款", "非預購款")</f>
        <v>非預購款</v>
      </c>
    </row>
    <row r="1002" spans="1:60" x14ac:dyDescent="0.25">
      <c r="A1002" t="s">
        <v>373</v>
      </c>
      <c r="B1002" t="s">
        <v>226</v>
      </c>
      <c r="C1002" t="s">
        <v>374</v>
      </c>
      <c r="D1002" t="s">
        <v>375</v>
      </c>
      <c r="E1002" t="s">
        <v>376</v>
      </c>
      <c r="F1002" t="s">
        <v>176</v>
      </c>
      <c r="G1002" t="s">
        <v>378</v>
      </c>
      <c r="H1002" t="s">
        <v>132</v>
      </c>
      <c r="I1002" t="s">
        <v>120</v>
      </c>
      <c r="J1002" t="s">
        <v>121</v>
      </c>
      <c r="K1002" t="s">
        <v>69</v>
      </c>
      <c r="L1002" t="s">
        <v>380</v>
      </c>
      <c r="M1002" t="s">
        <v>71</v>
      </c>
      <c r="N1002" t="s">
        <v>72</v>
      </c>
      <c r="O1002" t="s">
        <v>73</v>
      </c>
      <c r="P1002" t="s">
        <v>74</v>
      </c>
      <c r="R1002" t="s">
        <v>381</v>
      </c>
      <c r="S1002" t="s">
        <v>183</v>
      </c>
      <c r="T1002" t="s">
        <v>76</v>
      </c>
      <c r="U1002" t="s">
        <v>383</v>
      </c>
      <c r="V1002" t="s">
        <v>384</v>
      </c>
      <c r="W1002">
        <v>890</v>
      </c>
      <c r="X1002">
        <v>39.99</v>
      </c>
      <c r="Y1002">
        <v>115</v>
      </c>
      <c r="Z1002">
        <v>639000</v>
      </c>
      <c r="AA1002">
        <v>240300</v>
      </c>
      <c r="AB1002">
        <v>484</v>
      </c>
      <c r="AD1002" t="s">
        <v>238</v>
      </c>
      <c r="AE1002">
        <v>1</v>
      </c>
      <c r="AF1002">
        <v>0</v>
      </c>
      <c r="AI1002">
        <v>0</v>
      </c>
      <c r="AJ1002">
        <v>30</v>
      </c>
      <c r="AK1002">
        <v>30</v>
      </c>
      <c r="AL1002">
        <v>270</v>
      </c>
      <c r="AM1002">
        <v>28</v>
      </c>
      <c r="AN1002">
        <v>0</v>
      </c>
      <c r="AO1002">
        <v>28</v>
      </c>
      <c r="AP1002" t="s">
        <v>80</v>
      </c>
      <c r="AQ1002" t="s">
        <v>190</v>
      </c>
      <c r="AR1002" t="s">
        <v>86</v>
      </c>
      <c r="AS1002" t="s">
        <v>86</v>
      </c>
      <c r="AT1002" t="s">
        <v>240</v>
      </c>
      <c r="AU1002" t="s">
        <v>86</v>
      </c>
      <c r="AV1002" t="s">
        <v>386</v>
      </c>
      <c r="AW1002" t="s">
        <v>80</v>
      </c>
      <c r="AX1002" t="s">
        <v>387</v>
      </c>
      <c r="AY1002" t="s">
        <v>388</v>
      </c>
      <c r="AZ1002" t="s">
        <v>243</v>
      </c>
      <c r="BA1002" t="s">
        <v>243</v>
      </c>
      <c r="BB1002" t="s">
        <v>245</v>
      </c>
      <c r="BC1002" t="s">
        <v>244</v>
      </c>
      <c r="BD1002" t="s">
        <v>516</v>
      </c>
      <c r="BE1002" t="s">
        <v>3158</v>
      </c>
      <c r="BF1002" t="s">
        <v>86</v>
      </c>
      <c r="BG1002" t="s">
        <v>150</v>
      </c>
      <c r="BH1002" t="str">
        <f>IF(COUNTIF(工作表1!A:A, $C1002)&gt;0, "預購款", "非預購款")</f>
        <v>非預購款</v>
      </c>
    </row>
    <row r="1003" spans="1:60" x14ac:dyDescent="0.25">
      <c r="A1003" t="s">
        <v>3159</v>
      </c>
      <c r="B1003" t="s">
        <v>226</v>
      </c>
      <c r="C1003" t="s">
        <v>3160</v>
      </c>
      <c r="D1003" t="s">
        <v>3161</v>
      </c>
      <c r="E1003" t="s">
        <v>3162</v>
      </c>
      <c r="F1003" t="s">
        <v>176</v>
      </c>
      <c r="G1003" t="s">
        <v>3163</v>
      </c>
      <c r="H1003" t="s">
        <v>119</v>
      </c>
      <c r="I1003" t="s">
        <v>214</v>
      </c>
      <c r="J1003" t="s">
        <v>215</v>
      </c>
      <c r="K1003" t="s">
        <v>69</v>
      </c>
      <c r="L1003" t="s">
        <v>3164</v>
      </c>
      <c r="M1003" t="s">
        <v>71</v>
      </c>
      <c r="N1003" t="s">
        <v>198</v>
      </c>
      <c r="O1003" t="s">
        <v>3146</v>
      </c>
      <c r="P1003" t="s">
        <v>3147</v>
      </c>
      <c r="R1003" t="s">
        <v>3148</v>
      </c>
      <c r="S1003" t="s">
        <v>183</v>
      </c>
      <c r="T1003" t="s">
        <v>291</v>
      </c>
      <c r="U1003" t="s">
        <v>502</v>
      </c>
      <c r="V1003" t="s">
        <v>2876</v>
      </c>
      <c r="W1003">
        <v>990</v>
      </c>
      <c r="X1003">
        <v>39.99</v>
      </c>
      <c r="Y1003">
        <v>129</v>
      </c>
      <c r="Z1003">
        <v>709000</v>
      </c>
      <c r="AA1003">
        <v>416790</v>
      </c>
      <c r="AB1003">
        <v>0</v>
      </c>
      <c r="AD1003" t="s">
        <v>238</v>
      </c>
      <c r="AE1003">
        <v>2</v>
      </c>
      <c r="AF1003">
        <v>5</v>
      </c>
      <c r="AI1003">
        <v>15</v>
      </c>
      <c r="AJ1003">
        <v>55</v>
      </c>
      <c r="AK1003">
        <v>75</v>
      </c>
      <c r="AL1003">
        <v>421</v>
      </c>
      <c r="AM1003">
        <v>76</v>
      </c>
      <c r="AN1003">
        <v>0</v>
      </c>
      <c r="AO1003">
        <v>76</v>
      </c>
      <c r="AP1003" t="s">
        <v>80</v>
      </c>
      <c r="AQ1003" t="s">
        <v>190</v>
      </c>
      <c r="AR1003" t="s">
        <v>240</v>
      </c>
      <c r="AS1003" t="s">
        <v>240</v>
      </c>
      <c r="AT1003" t="s">
        <v>86</v>
      </c>
      <c r="AU1003" t="s">
        <v>86</v>
      </c>
      <c r="AV1003" t="s">
        <v>3165</v>
      </c>
      <c r="AW1003" t="s">
        <v>69</v>
      </c>
      <c r="AX1003" t="s">
        <v>218</v>
      </c>
      <c r="AY1003" t="s">
        <v>2664</v>
      </c>
      <c r="AZ1003" t="s">
        <v>243</v>
      </c>
      <c r="BA1003" t="s">
        <v>244</v>
      </c>
      <c r="BB1003" t="s">
        <v>244</v>
      </c>
      <c r="BC1003" t="s">
        <v>264</v>
      </c>
      <c r="BD1003" t="s">
        <v>3166</v>
      </c>
      <c r="BE1003" t="s">
        <v>3167</v>
      </c>
      <c r="BF1003" t="s">
        <v>291</v>
      </c>
      <c r="BG1003" t="s">
        <v>150</v>
      </c>
      <c r="BH1003" t="str">
        <f>IF(COUNTIF(工作表1!A:A, $C1003)&gt;0, "預購款", "非預購款")</f>
        <v>非預購款</v>
      </c>
    </row>
    <row r="1004" spans="1:60" x14ac:dyDescent="0.25">
      <c r="A1004" t="s">
        <v>3159</v>
      </c>
      <c r="B1004" t="s">
        <v>226</v>
      </c>
      <c r="C1004" t="s">
        <v>3160</v>
      </c>
      <c r="D1004" t="s">
        <v>3161</v>
      </c>
      <c r="E1004" t="s">
        <v>3162</v>
      </c>
      <c r="F1004" t="s">
        <v>176</v>
      </c>
      <c r="G1004" t="s">
        <v>3163</v>
      </c>
      <c r="H1004" t="s">
        <v>130</v>
      </c>
      <c r="I1004" t="s">
        <v>214</v>
      </c>
      <c r="J1004" t="s">
        <v>215</v>
      </c>
      <c r="K1004" t="s">
        <v>69</v>
      </c>
      <c r="L1004" t="s">
        <v>3164</v>
      </c>
      <c r="M1004" t="s">
        <v>71</v>
      </c>
      <c r="N1004" t="s">
        <v>198</v>
      </c>
      <c r="O1004" t="s">
        <v>3146</v>
      </c>
      <c r="P1004" t="s">
        <v>3147</v>
      </c>
      <c r="R1004" t="s">
        <v>3148</v>
      </c>
      <c r="S1004" t="s">
        <v>183</v>
      </c>
      <c r="T1004" t="s">
        <v>291</v>
      </c>
      <c r="U1004" t="s">
        <v>502</v>
      </c>
      <c r="V1004" t="s">
        <v>2876</v>
      </c>
      <c r="W1004">
        <v>990</v>
      </c>
      <c r="X1004">
        <v>39.99</v>
      </c>
      <c r="Y1004">
        <v>129</v>
      </c>
      <c r="Z1004">
        <v>709000</v>
      </c>
      <c r="AA1004">
        <v>416790</v>
      </c>
      <c r="AB1004">
        <v>0</v>
      </c>
      <c r="AD1004" t="s">
        <v>238</v>
      </c>
      <c r="AE1004">
        <v>2</v>
      </c>
      <c r="AF1004">
        <v>3</v>
      </c>
      <c r="AI1004">
        <v>15</v>
      </c>
      <c r="AJ1004">
        <v>55</v>
      </c>
      <c r="AK1004">
        <v>73</v>
      </c>
      <c r="AL1004">
        <v>421</v>
      </c>
      <c r="AM1004">
        <v>72</v>
      </c>
      <c r="AN1004">
        <v>0</v>
      </c>
      <c r="AO1004">
        <v>72</v>
      </c>
      <c r="AP1004" t="s">
        <v>80</v>
      </c>
      <c r="AQ1004" t="s">
        <v>190</v>
      </c>
      <c r="AR1004" t="s">
        <v>240</v>
      </c>
      <c r="AS1004" t="s">
        <v>240</v>
      </c>
      <c r="AT1004" t="s">
        <v>86</v>
      </c>
      <c r="AU1004" t="s">
        <v>86</v>
      </c>
      <c r="AV1004" t="s">
        <v>3165</v>
      </c>
      <c r="AW1004" t="s">
        <v>69</v>
      </c>
      <c r="AX1004" t="s">
        <v>218</v>
      </c>
      <c r="AY1004" t="s">
        <v>2664</v>
      </c>
      <c r="AZ1004" t="s">
        <v>243</v>
      </c>
      <c r="BA1004" t="s">
        <v>244</v>
      </c>
      <c r="BB1004" t="s">
        <v>244</v>
      </c>
      <c r="BC1004" t="s">
        <v>264</v>
      </c>
      <c r="BD1004" t="s">
        <v>3168</v>
      </c>
      <c r="BE1004" t="s">
        <v>3167</v>
      </c>
      <c r="BF1004" t="s">
        <v>291</v>
      </c>
      <c r="BG1004" t="s">
        <v>150</v>
      </c>
      <c r="BH1004" t="str">
        <f>IF(COUNTIF(工作表1!A:A, $C1004)&gt;0, "預購款", "非預購款")</f>
        <v>非預購款</v>
      </c>
    </row>
    <row r="1005" spans="1:60" x14ac:dyDescent="0.25">
      <c r="A1005" t="s">
        <v>3159</v>
      </c>
      <c r="B1005" t="s">
        <v>226</v>
      </c>
      <c r="C1005" t="s">
        <v>3160</v>
      </c>
      <c r="D1005" t="s">
        <v>3161</v>
      </c>
      <c r="E1005" t="s">
        <v>3162</v>
      </c>
      <c r="F1005" t="s">
        <v>176</v>
      </c>
      <c r="G1005" t="s">
        <v>3163</v>
      </c>
      <c r="H1005" t="s">
        <v>132</v>
      </c>
      <c r="I1005" t="s">
        <v>214</v>
      </c>
      <c r="J1005" t="s">
        <v>215</v>
      </c>
      <c r="K1005" t="s">
        <v>69</v>
      </c>
      <c r="L1005" t="s">
        <v>3164</v>
      </c>
      <c r="M1005" t="s">
        <v>71</v>
      </c>
      <c r="N1005" t="s">
        <v>198</v>
      </c>
      <c r="O1005" t="s">
        <v>3146</v>
      </c>
      <c r="P1005" t="s">
        <v>3147</v>
      </c>
      <c r="R1005" t="s">
        <v>3148</v>
      </c>
      <c r="S1005" t="s">
        <v>183</v>
      </c>
      <c r="T1005" t="s">
        <v>291</v>
      </c>
      <c r="U1005" t="s">
        <v>502</v>
      </c>
      <c r="V1005" t="s">
        <v>2876</v>
      </c>
      <c r="W1005">
        <v>990</v>
      </c>
      <c r="X1005">
        <v>39.99</v>
      </c>
      <c r="Y1005">
        <v>129</v>
      </c>
      <c r="Z1005">
        <v>709000</v>
      </c>
      <c r="AA1005">
        <v>416790</v>
      </c>
      <c r="AB1005">
        <v>0</v>
      </c>
      <c r="AD1005" t="s">
        <v>238</v>
      </c>
      <c r="AE1005">
        <v>2</v>
      </c>
      <c r="AF1005">
        <v>0</v>
      </c>
      <c r="AI1005">
        <v>15</v>
      </c>
      <c r="AJ1005">
        <v>15</v>
      </c>
      <c r="AK1005">
        <v>30</v>
      </c>
      <c r="AL1005">
        <v>421</v>
      </c>
      <c r="AM1005">
        <v>28</v>
      </c>
      <c r="AN1005">
        <v>0</v>
      </c>
      <c r="AO1005">
        <v>28</v>
      </c>
      <c r="AP1005" t="s">
        <v>80</v>
      </c>
      <c r="AQ1005" t="s">
        <v>190</v>
      </c>
      <c r="AR1005" t="s">
        <v>240</v>
      </c>
      <c r="AS1005" t="s">
        <v>240</v>
      </c>
      <c r="AT1005" t="s">
        <v>86</v>
      </c>
      <c r="AU1005" t="s">
        <v>86</v>
      </c>
      <c r="AV1005" t="s">
        <v>3165</v>
      </c>
      <c r="AW1005" t="s">
        <v>69</v>
      </c>
      <c r="AX1005" t="s">
        <v>218</v>
      </c>
      <c r="AY1005" t="s">
        <v>2664</v>
      </c>
      <c r="AZ1005" t="s">
        <v>243</v>
      </c>
      <c r="BA1005" t="s">
        <v>244</v>
      </c>
      <c r="BB1005" t="s">
        <v>244</v>
      </c>
      <c r="BC1005" t="s">
        <v>264</v>
      </c>
      <c r="BD1005" t="s">
        <v>3169</v>
      </c>
      <c r="BE1005" t="s">
        <v>3167</v>
      </c>
      <c r="BF1005" t="s">
        <v>291</v>
      </c>
      <c r="BG1005" t="s">
        <v>150</v>
      </c>
      <c r="BH1005" t="str">
        <f>IF(COUNTIF(工作表1!A:A, $C1005)&gt;0, "預購款", "非預購款")</f>
        <v>非預購款</v>
      </c>
    </row>
    <row r="1006" spans="1:60" x14ac:dyDescent="0.25">
      <c r="A1006" t="s">
        <v>3159</v>
      </c>
      <c r="B1006" t="s">
        <v>226</v>
      </c>
      <c r="C1006" t="s">
        <v>3160</v>
      </c>
      <c r="D1006" t="s">
        <v>3161</v>
      </c>
      <c r="E1006" t="s">
        <v>3162</v>
      </c>
      <c r="F1006" t="s">
        <v>176</v>
      </c>
      <c r="G1006" t="s">
        <v>3163</v>
      </c>
      <c r="H1006" t="s">
        <v>119</v>
      </c>
      <c r="I1006" t="s">
        <v>134</v>
      </c>
      <c r="J1006" t="s">
        <v>135</v>
      </c>
      <c r="K1006" t="s">
        <v>80</v>
      </c>
      <c r="L1006" t="s">
        <v>3164</v>
      </c>
      <c r="M1006" t="s">
        <v>71</v>
      </c>
      <c r="N1006" t="s">
        <v>198</v>
      </c>
      <c r="O1006" t="s">
        <v>3146</v>
      </c>
      <c r="P1006" t="s">
        <v>3147</v>
      </c>
      <c r="R1006" t="s">
        <v>3148</v>
      </c>
      <c r="S1006" t="s">
        <v>183</v>
      </c>
      <c r="T1006" t="s">
        <v>291</v>
      </c>
      <c r="U1006" t="s">
        <v>502</v>
      </c>
      <c r="V1006" t="s">
        <v>2876</v>
      </c>
      <c r="W1006">
        <v>990</v>
      </c>
      <c r="X1006">
        <v>39.99</v>
      </c>
      <c r="Y1006">
        <v>129</v>
      </c>
      <c r="Z1006">
        <v>709000</v>
      </c>
      <c r="AA1006">
        <v>416790</v>
      </c>
      <c r="AB1006">
        <v>0</v>
      </c>
      <c r="AD1006" t="s">
        <v>238</v>
      </c>
      <c r="AE1006">
        <v>2</v>
      </c>
      <c r="AF1006">
        <v>5</v>
      </c>
      <c r="AI1006">
        <v>15</v>
      </c>
      <c r="AJ1006">
        <v>85</v>
      </c>
      <c r="AK1006">
        <v>105</v>
      </c>
      <c r="AL1006">
        <v>421</v>
      </c>
      <c r="AM1006">
        <v>116</v>
      </c>
      <c r="AN1006">
        <v>0</v>
      </c>
      <c r="AO1006">
        <v>116</v>
      </c>
      <c r="AP1006" t="s">
        <v>80</v>
      </c>
      <c r="AQ1006" t="s">
        <v>190</v>
      </c>
      <c r="AR1006" t="s">
        <v>240</v>
      </c>
      <c r="AS1006" t="s">
        <v>240</v>
      </c>
      <c r="AT1006" t="s">
        <v>86</v>
      </c>
      <c r="AU1006" t="s">
        <v>86</v>
      </c>
      <c r="AV1006" t="s">
        <v>3165</v>
      </c>
      <c r="AW1006" t="s">
        <v>69</v>
      </c>
      <c r="AX1006" t="s">
        <v>218</v>
      </c>
      <c r="AY1006" t="s">
        <v>2664</v>
      </c>
      <c r="AZ1006" t="s">
        <v>243</v>
      </c>
      <c r="BA1006" t="s">
        <v>244</v>
      </c>
      <c r="BB1006" t="s">
        <v>244</v>
      </c>
      <c r="BC1006" t="s">
        <v>264</v>
      </c>
      <c r="BD1006" t="s">
        <v>3170</v>
      </c>
      <c r="BE1006" t="s">
        <v>3167</v>
      </c>
      <c r="BF1006" t="s">
        <v>291</v>
      </c>
      <c r="BG1006" t="s">
        <v>150</v>
      </c>
      <c r="BH1006" t="str">
        <f>IF(COUNTIF(工作表1!A:A, $C1006)&gt;0, "預購款", "非預購款")</f>
        <v>非預購款</v>
      </c>
    </row>
    <row r="1007" spans="1:60" x14ac:dyDescent="0.25">
      <c r="A1007" t="s">
        <v>3159</v>
      </c>
      <c r="B1007" t="s">
        <v>226</v>
      </c>
      <c r="C1007" t="s">
        <v>3160</v>
      </c>
      <c r="D1007" t="s">
        <v>3161</v>
      </c>
      <c r="E1007" t="s">
        <v>3162</v>
      </c>
      <c r="F1007" t="s">
        <v>176</v>
      </c>
      <c r="G1007" t="s">
        <v>3163</v>
      </c>
      <c r="H1007" t="s">
        <v>130</v>
      </c>
      <c r="I1007" t="s">
        <v>134</v>
      </c>
      <c r="J1007" t="s">
        <v>135</v>
      </c>
      <c r="K1007" t="s">
        <v>80</v>
      </c>
      <c r="L1007" t="s">
        <v>3164</v>
      </c>
      <c r="M1007" t="s">
        <v>71</v>
      </c>
      <c r="N1007" t="s">
        <v>198</v>
      </c>
      <c r="O1007" t="s">
        <v>3146</v>
      </c>
      <c r="P1007" t="s">
        <v>3147</v>
      </c>
      <c r="R1007" t="s">
        <v>3148</v>
      </c>
      <c r="S1007" t="s">
        <v>183</v>
      </c>
      <c r="T1007" t="s">
        <v>291</v>
      </c>
      <c r="U1007" t="s">
        <v>502</v>
      </c>
      <c r="V1007" t="s">
        <v>2876</v>
      </c>
      <c r="W1007">
        <v>990</v>
      </c>
      <c r="X1007">
        <v>39.99</v>
      </c>
      <c r="Y1007">
        <v>129</v>
      </c>
      <c r="Z1007">
        <v>709000</v>
      </c>
      <c r="AA1007">
        <v>416790</v>
      </c>
      <c r="AB1007">
        <v>0</v>
      </c>
      <c r="AD1007" t="s">
        <v>238</v>
      </c>
      <c r="AE1007">
        <v>2</v>
      </c>
      <c r="AF1007">
        <v>3</v>
      </c>
      <c r="AI1007">
        <v>15</v>
      </c>
      <c r="AJ1007">
        <v>65</v>
      </c>
      <c r="AK1007">
        <v>83</v>
      </c>
      <c r="AL1007">
        <v>421</v>
      </c>
      <c r="AM1007">
        <v>89</v>
      </c>
      <c r="AN1007">
        <v>1</v>
      </c>
      <c r="AO1007">
        <v>90</v>
      </c>
      <c r="AP1007" t="s">
        <v>80</v>
      </c>
      <c r="AQ1007" t="s">
        <v>190</v>
      </c>
      <c r="AR1007" t="s">
        <v>240</v>
      </c>
      <c r="AS1007" t="s">
        <v>240</v>
      </c>
      <c r="AT1007" t="s">
        <v>86</v>
      </c>
      <c r="AU1007" t="s">
        <v>86</v>
      </c>
      <c r="AV1007" t="s">
        <v>3165</v>
      </c>
      <c r="AW1007" t="s">
        <v>69</v>
      </c>
      <c r="AX1007" t="s">
        <v>218</v>
      </c>
      <c r="AY1007" t="s">
        <v>2664</v>
      </c>
      <c r="AZ1007" t="s">
        <v>243</v>
      </c>
      <c r="BA1007" t="s">
        <v>244</v>
      </c>
      <c r="BB1007" t="s">
        <v>244</v>
      </c>
      <c r="BC1007" t="s">
        <v>264</v>
      </c>
      <c r="BD1007" t="s">
        <v>3171</v>
      </c>
      <c r="BE1007" t="s">
        <v>3167</v>
      </c>
      <c r="BF1007" t="s">
        <v>291</v>
      </c>
      <c r="BG1007" t="s">
        <v>150</v>
      </c>
      <c r="BH1007" t="str">
        <f>IF(COUNTIF(工作表1!A:A, $C1007)&gt;0, "預購款", "非預購款")</f>
        <v>非預購款</v>
      </c>
    </row>
    <row r="1008" spans="1:60" x14ac:dyDescent="0.25">
      <c r="A1008" t="s">
        <v>3159</v>
      </c>
      <c r="B1008" t="s">
        <v>226</v>
      </c>
      <c r="C1008" t="s">
        <v>3160</v>
      </c>
      <c r="D1008" t="s">
        <v>3161</v>
      </c>
      <c r="E1008" t="s">
        <v>3162</v>
      </c>
      <c r="F1008" t="s">
        <v>176</v>
      </c>
      <c r="G1008" t="s">
        <v>3163</v>
      </c>
      <c r="H1008" t="s">
        <v>132</v>
      </c>
      <c r="I1008" t="s">
        <v>134</v>
      </c>
      <c r="J1008" t="s">
        <v>135</v>
      </c>
      <c r="K1008" t="s">
        <v>80</v>
      </c>
      <c r="L1008" t="s">
        <v>3164</v>
      </c>
      <c r="M1008" t="s">
        <v>71</v>
      </c>
      <c r="N1008" t="s">
        <v>198</v>
      </c>
      <c r="O1008" t="s">
        <v>3146</v>
      </c>
      <c r="P1008" t="s">
        <v>3147</v>
      </c>
      <c r="R1008" t="s">
        <v>3148</v>
      </c>
      <c r="S1008" t="s">
        <v>183</v>
      </c>
      <c r="T1008" t="s">
        <v>291</v>
      </c>
      <c r="U1008" t="s">
        <v>502</v>
      </c>
      <c r="V1008" t="s">
        <v>2876</v>
      </c>
      <c r="W1008">
        <v>990</v>
      </c>
      <c r="X1008">
        <v>39.99</v>
      </c>
      <c r="Y1008">
        <v>129</v>
      </c>
      <c r="Z1008">
        <v>709000</v>
      </c>
      <c r="AA1008">
        <v>416790</v>
      </c>
      <c r="AB1008">
        <v>0</v>
      </c>
      <c r="AD1008" t="s">
        <v>238</v>
      </c>
      <c r="AE1008">
        <v>2</v>
      </c>
      <c r="AF1008">
        <v>0</v>
      </c>
      <c r="AI1008">
        <v>15</v>
      </c>
      <c r="AJ1008">
        <v>40</v>
      </c>
      <c r="AK1008">
        <v>55</v>
      </c>
      <c r="AL1008">
        <v>421</v>
      </c>
      <c r="AM1008">
        <v>62</v>
      </c>
      <c r="AN1008">
        <v>0</v>
      </c>
      <c r="AO1008">
        <v>62</v>
      </c>
      <c r="AP1008" t="s">
        <v>80</v>
      </c>
      <c r="AQ1008" t="s">
        <v>190</v>
      </c>
      <c r="AR1008" t="s">
        <v>240</v>
      </c>
      <c r="AS1008" t="s">
        <v>240</v>
      </c>
      <c r="AT1008" t="s">
        <v>86</v>
      </c>
      <c r="AU1008" t="s">
        <v>86</v>
      </c>
      <c r="AV1008" t="s">
        <v>3165</v>
      </c>
      <c r="AW1008" t="s">
        <v>69</v>
      </c>
      <c r="AX1008" t="s">
        <v>218</v>
      </c>
      <c r="AY1008" t="s">
        <v>2664</v>
      </c>
      <c r="AZ1008" t="s">
        <v>243</v>
      </c>
      <c r="BA1008" t="s">
        <v>244</v>
      </c>
      <c r="BB1008" t="s">
        <v>244</v>
      </c>
      <c r="BC1008" t="s">
        <v>264</v>
      </c>
      <c r="BD1008" t="s">
        <v>3172</v>
      </c>
      <c r="BE1008" t="s">
        <v>3167</v>
      </c>
      <c r="BF1008" t="s">
        <v>291</v>
      </c>
      <c r="BG1008" t="s">
        <v>150</v>
      </c>
      <c r="BH1008" t="str">
        <f>IF(COUNTIF(工作表1!A:A, $C1008)&gt;0, "預購款", "非預購款")</f>
        <v>非預購款</v>
      </c>
    </row>
    <row r="1009" spans="1:60" x14ac:dyDescent="0.25">
      <c r="A1009" t="s">
        <v>2977</v>
      </c>
      <c r="B1009" t="s">
        <v>226</v>
      </c>
      <c r="C1009" t="s">
        <v>2978</v>
      </c>
      <c r="D1009" t="s">
        <v>2979</v>
      </c>
      <c r="E1009" t="s">
        <v>2980</v>
      </c>
      <c r="F1009" t="s">
        <v>176</v>
      </c>
      <c r="G1009" t="s">
        <v>2981</v>
      </c>
      <c r="H1009" t="s">
        <v>273</v>
      </c>
      <c r="I1009" t="s">
        <v>120</v>
      </c>
      <c r="J1009" t="s">
        <v>121</v>
      </c>
      <c r="K1009" t="s">
        <v>69</v>
      </c>
      <c r="L1009" t="s">
        <v>2972</v>
      </c>
      <c r="M1009" t="s">
        <v>71</v>
      </c>
      <c r="N1009" t="s">
        <v>198</v>
      </c>
      <c r="O1009" t="s">
        <v>2893</v>
      </c>
      <c r="P1009" t="s">
        <v>2894</v>
      </c>
      <c r="R1009" t="s">
        <v>2518</v>
      </c>
      <c r="S1009" t="s">
        <v>183</v>
      </c>
      <c r="T1009" t="s">
        <v>274</v>
      </c>
      <c r="U1009" t="s">
        <v>383</v>
      </c>
      <c r="V1009" t="s">
        <v>384</v>
      </c>
      <c r="W1009">
        <v>1080</v>
      </c>
      <c r="X1009">
        <v>44.99</v>
      </c>
      <c r="Y1009">
        <v>139</v>
      </c>
      <c r="Z1009">
        <v>779000</v>
      </c>
      <c r="AA1009">
        <v>270000</v>
      </c>
      <c r="AB1009">
        <v>642</v>
      </c>
      <c r="AD1009" t="s">
        <v>238</v>
      </c>
      <c r="AE1009">
        <v>2</v>
      </c>
      <c r="AF1009">
        <v>0</v>
      </c>
      <c r="AI1009">
        <v>10</v>
      </c>
      <c r="AJ1009">
        <v>30</v>
      </c>
      <c r="AK1009">
        <v>40</v>
      </c>
      <c r="AL1009">
        <v>250</v>
      </c>
      <c r="AM1009">
        <v>43</v>
      </c>
      <c r="AN1009">
        <v>0</v>
      </c>
      <c r="AO1009">
        <v>43</v>
      </c>
      <c r="AP1009" t="s">
        <v>80</v>
      </c>
      <c r="AQ1009" t="s">
        <v>184</v>
      </c>
      <c r="AS1009" t="s">
        <v>86</v>
      </c>
      <c r="AT1009" t="s">
        <v>86</v>
      </c>
      <c r="AU1009" t="s">
        <v>86</v>
      </c>
      <c r="AV1009" t="s">
        <v>2982</v>
      </c>
      <c r="AW1009" t="s">
        <v>69</v>
      </c>
      <c r="AX1009" t="s">
        <v>126</v>
      </c>
      <c r="AY1009" t="s">
        <v>1809</v>
      </c>
      <c r="AZ1009" t="s">
        <v>264</v>
      </c>
      <c r="BA1009" t="s">
        <v>245</v>
      </c>
      <c r="BB1009" t="s">
        <v>245</v>
      </c>
      <c r="BC1009" t="s">
        <v>243</v>
      </c>
      <c r="BD1009" t="s">
        <v>2983</v>
      </c>
      <c r="BE1009" t="s">
        <v>3173</v>
      </c>
      <c r="BF1009" t="s">
        <v>279</v>
      </c>
      <c r="BG1009" t="s">
        <v>110</v>
      </c>
      <c r="BH1009" t="str">
        <f>IF(COUNTIF(工作表1!A:A, $C1009)&gt;0, "預購款", "非預購款")</f>
        <v>非預購款</v>
      </c>
    </row>
    <row r="1010" spans="1:60" x14ac:dyDescent="0.25">
      <c r="A1010" t="s">
        <v>2977</v>
      </c>
      <c r="B1010" t="s">
        <v>226</v>
      </c>
      <c r="C1010" t="s">
        <v>2978</v>
      </c>
      <c r="D1010" t="s">
        <v>2979</v>
      </c>
      <c r="E1010" t="s">
        <v>2980</v>
      </c>
      <c r="F1010" t="s">
        <v>176</v>
      </c>
      <c r="G1010" t="s">
        <v>2981</v>
      </c>
      <c r="H1010" t="s">
        <v>501</v>
      </c>
      <c r="I1010" t="s">
        <v>120</v>
      </c>
      <c r="J1010" t="s">
        <v>121</v>
      </c>
      <c r="K1010" t="s">
        <v>69</v>
      </c>
      <c r="L1010" t="s">
        <v>2972</v>
      </c>
      <c r="M1010" t="s">
        <v>71</v>
      </c>
      <c r="N1010" t="s">
        <v>198</v>
      </c>
      <c r="O1010" t="s">
        <v>2893</v>
      </c>
      <c r="P1010" t="s">
        <v>2894</v>
      </c>
      <c r="R1010" t="s">
        <v>2518</v>
      </c>
      <c r="S1010" t="s">
        <v>183</v>
      </c>
      <c r="T1010" t="s">
        <v>274</v>
      </c>
      <c r="U1010" t="s">
        <v>383</v>
      </c>
      <c r="V1010" t="s">
        <v>384</v>
      </c>
      <c r="W1010">
        <v>1080</v>
      </c>
      <c r="X1010">
        <v>44.99</v>
      </c>
      <c r="Y1010">
        <v>139</v>
      </c>
      <c r="Z1010">
        <v>779000</v>
      </c>
      <c r="AA1010">
        <v>270000</v>
      </c>
      <c r="AB1010">
        <v>642</v>
      </c>
      <c r="AD1010" t="s">
        <v>238</v>
      </c>
      <c r="AE1010">
        <v>2</v>
      </c>
      <c r="AF1010">
        <v>0</v>
      </c>
      <c r="AI1010">
        <v>15</v>
      </c>
      <c r="AJ1010">
        <v>10</v>
      </c>
      <c r="AK1010">
        <v>25</v>
      </c>
      <c r="AL1010">
        <v>250</v>
      </c>
      <c r="AM1010">
        <v>25</v>
      </c>
      <c r="AN1010">
        <v>0</v>
      </c>
      <c r="AO1010">
        <v>25</v>
      </c>
      <c r="AP1010" t="s">
        <v>80</v>
      </c>
      <c r="AQ1010" t="s">
        <v>184</v>
      </c>
      <c r="AS1010" t="s">
        <v>86</v>
      </c>
      <c r="AT1010" t="s">
        <v>86</v>
      </c>
      <c r="AU1010" t="s">
        <v>86</v>
      </c>
      <c r="AV1010" t="s">
        <v>2982</v>
      </c>
      <c r="AW1010" t="s">
        <v>69</v>
      </c>
      <c r="AX1010" t="s">
        <v>126</v>
      </c>
      <c r="AY1010" t="s">
        <v>1809</v>
      </c>
      <c r="AZ1010" t="s">
        <v>264</v>
      </c>
      <c r="BA1010" t="s">
        <v>245</v>
      </c>
      <c r="BB1010" t="s">
        <v>245</v>
      </c>
      <c r="BC1010" t="s">
        <v>243</v>
      </c>
      <c r="BD1010" t="s">
        <v>2985</v>
      </c>
      <c r="BE1010" t="s">
        <v>3173</v>
      </c>
      <c r="BF1010" t="s">
        <v>279</v>
      </c>
      <c r="BG1010" t="s">
        <v>110</v>
      </c>
      <c r="BH1010" t="str">
        <f>IF(COUNTIF(工作表1!A:A, $C1010)&gt;0, "預購款", "非預購款")</f>
        <v>非預購款</v>
      </c>
    </row>
    <row r="1011" spans="1:60" x14ac:dyDescent="0.25">
      <c r="A1011" t="s">
        <v>2977</v>
      </c>
      <c r="B1011" t="s">
        <v>226</v>
      </c>
      <c r="C1011" t="s">
        <v>2978</v>
      </c>
      <c r="D1011" t="s">
        <v>2979</v>
      </c>
      <c r="E1011" t="s">
        <v>2980</v>
      </c>
      <c r="F1011" t="s">
        <v>176</v>
      </c>
      <c r="G1011" t="s">
        <v>2981</v>
      </c>
      <c r="H1011" t="s">
        <v>280</v>
      </c>
      <c r="I1011" t="s">
        <v>120</v>
      </c>
      <c r="J1011" t="s">
        <v>121</v>
      </c>
      <c r="K1011" t="s">
        <v>69</v>
      </c>
      <c r="L1011" t="s">
        <v>2972</v>
      </c>
      <c r="M1011" t="s">
        <v>71</v>
      </c>
      <c r="N1011" t="s">
        <v>198</v>
      </c>
      <c r="O1011" t="s">
        <v>2893</v>
      </c>
      <c r="P1011" t="s">
        <v>2894</v>
      </c>
      <c r="R1011" t="s">
        <v>2518</v>
      </c>
      <c r="S1011" t="s">
        <v>183</v>
      </c>
      <c r="T1011" t="s">
        <v>274</v>
      </c>
      <c r="U1011" t="s">
        <v>383</v>
      </c>
      <c r="V1011" t="s">
        <v>384</v>
      </c>
      <c r="W1011">
        <v>1080</v>
      </c>
      <c r="X1011">
        <v>44.99</v>
      </c>
      <c r="Y1011">
        <v>139</v>
      </c>
      <c r="Z1011">
        <v>779000</v>
      </c>
      <c r="AA1011">
        <v>270000</v>
      </c>
      <c r="AB1011">
        <v>642</v>
      </c>
      <c r="AD1011" t="s">
        <v>238</v>
      </c>
      <c r="AE1011">
        <v>2</v>
      </c>
      <c r="AF1011">
        <v>0</v>
      </c>
      <c r="AI1011">
        <v>15</v>
      </c>
      <c r="AJ1011">
        <v>15</v>
      </c>
      <c r="AK1011">
        <v>30</v>
      </c>
      <c r="AL1011">
        <v>250</v>
      </c>
      <c r="AM1011">
        <v>31</v>
      </c>
      <c r="AN1011">
        <v>0</v>
      </c>
      <c r="AO1011">
        <v>31</v>
      </c>
      <c r="AP1011" t="s">
        <v>80</v>
      </c>
      <c r="AQ1011" t="s">
        <v>184</v>
      </c>
      <c r="AS1011" t="s">
        <v>86</v>
      </c>
      <c r="AT1011" t="s">
        <v>86</v>
      </c>
      <c r="AU1011" t="s">
        <v>86</v>
      </c>
      <c r="AV1011" t="s">
        <v>2982</v>
      </c>
      <c r="AW1011" t="s">
        <v>69</v>
      </c>
      <c r="AX1011" t="s">
        <v>126</v>
      </c>
      <c r="AY1011" t="s">
        <v>1809</v>
      </c>
      <c r="AZ1011" t="s">
        <v>264</v>
      </c>
      <c r="BA1011" t="s">
        <v>245</v>
      </c>
      <c r="BB1011" t="s">
        <v>245</v>
      </c>
      <c r="BC1011" t="s">
        <v>243</v>
      </c>
      <c r="BD1011" t="s">
        <v>2986</v>
      </c>
      <c r="BE1011" t="s">
        <v>3173</v>
      </c>
      <c r="BF1011" t="s">
        <v>279</v>
      </c>
      <c r="BG1011" t="s">
        <v>110</v>
      </c>
      <c r="BH1011" t="str">
        <f>IF(COUNTIF(工作表1!A:A, $C1011)&gt;0, "預購款", "非預購款")</f>
        <v>非預購款</v>
      </c>
    </row>
    <row r="1012" spans="1:60" x14ac:dyDescent="0.25">
      <c r="A1012" t="s">
        <v>2977</v>
      </c>
      <c r="B1012" t="s">
        <v>226</v>
      </c>
      <c r="C1012" t="s">
        <v>2978</v>
      </c>
      <c r="D1012" t="s">
        <v>2979</v>
      </c>
      <c r="E1012" t="s">
        <v>2980</v>
      </c>
      <c r="F1012" t="s">
        <v>176</v>
      </c>
      <c r="G1012" t="s">
        <v>2981</v>
      </c>
      <c r="H1012" t="s">
        <v>273</v>
      </c>
      <c r="I1012" t="s">
        <v>97</v>
      </c>
      <c r="J1012" t="s">
        <v>98</v>
      </c>
      <c r="K1012" t="s">
        <v>69</v>
      </c>
      <c r="L1012" t="s">
        <v>2972</v>
      </c>
      <c r="M1012" t="s">
        <v>71</v>
      </c>
      <c r="N1012" t="s">
        <v>198</v>
      </c>
      <c r="O1012" t="s">
        <v>2893</v>
      </c>
      <c r="P1012" t="s">
        <v>2894</v>
      </c>
      <c r="R1012" t="s">
        <v>2518</v>
      </c>
      <c r="S1012" t="s">
        <v>183</v>
      </c>
      <c r="T1012" t="s">
        <v>274</v>
      </c>
      <c r="U1012" t="s">
        <v>383</v>
      </c>
      <c r="V1012" t="s">
        <v>384</v>
      </c>
      <c r="W1012">
        <v>1080</v>
      </c>
      <c r="X1012">
        <v>44.99</v>
      </c>
      <c r="Y1012">
        <v>139</v>
      </c>
      <c r="Z1012">
        <v>779000</v>
      </c>
      <c r="AA1012">
        <v>270000</v>
      </c>
      <c r="AB1012">
        <v>642</v>
      </c>
      <c r="AD1012" t="s">
        <v>238</v>
      </c>
      <c r="AE1012">
        <v>2</v>
      </c>
      <c r="AF1012">
        <v>0</v>
      </c>
      <c r="AI1012">
        <v>20</v>
      </c>
      <c r="AJ1012">
        <v>70</v>
      </c>
      <c r="AK1012">
        <v>90</v>
      </c>
      <c r="AL1012">
        <v>250</v>
      </c>
      <c r="AM1012">
        <v>93</v>
      </c>
      <c r="AN1012">
        <v>0</v>
      </c>
      <c r="AO1012">
        <v>93</v>
      </c>
      <c r="AP1012" t="s">
        <v>80</v>
      </c>
      <c r="AQ1012" t="s">
        <v>184</v>
      </c>
      <c r="AS1012" t="s">
        <v>86</v>
      </c>
      <c r="AT1012" t="s">
        <v>86</v>
      </c>
      <c r="AU1012" t="s">
        <v>86</v>
      </c>
      <c r="AV1012" t="s">
        <v>2982</v>
      </c>
      <c r="AW1012" t="s">
        <v>69</v>
      </c>
      <c r="AX1012" t="s">
        <v>126</v>
      </c>
      <c r="AY1012" t="s">
        <v>1809</v>
      </c>
      <c r="AZ1012" t="s">
        <v>264</v>
      </c>
      <c r="BA1012" t="s">
        <v>245</v>
      </c>
      <c r="BB1012" t="s">
        <v>245</v>
      </c>
      <c r="BC1012" t="s">
        <v>243</v>
      </c>
      <c r="BD1012" t="s">
        <v>3174</v>
      </c>
      <c r="BE1012" t="s">
        <v>3173</v>
      </c>
      <c r="BF1012" t="s">
        <v>279</v>
      </c>
      <c r="BG1012" t="s">
        <v>110</v>
      </c>
      <c r="BH1012" t="str">
        <f>IF(COUNTIF(工作表1!A:A, $C1012)&gt;0, "預購款", "非預購款")</f>
        <v>非預購款</v>
      </c>
    </row>
    <row r="1013" spans="1:60" x14ac:dyDescent="0.25">
      <c r="A1013" t="s">
        <v>2977</v>
      </c>
      <c r="B1013" t="s">
        <v>226</v>
      </c>
      <c r="C1013" t="s">
        <v>2978</v>
      </c>
      <c r="D1013" t="s">
        <v>2979</v>
      </c>
      <c r="E1013" t="s">
        <v>2980</v>
      </c>
      <c r="F1013" t="s">
        <v>176</v>
      </c>
      <c r="G1013" t="s">
        <v>2981</v>
      </c>
      <c r="H1013" t="s">
        <v>501</v>
      </c>
      <c r="I1013" t="s">
        <v>97</v>
      </c>
      <c r="J1013" t="s">
        <v>98</v>
      </c>
      <c r="K1013" t="s">
        <v>69</v>
      </c>
      <c r="L1013" t="s">
        <v>2972</v>
      </c>
      <c r="M1013" t="s">
        <v>71</v>
      </c>
      <c r="N1013" t="s">
        <v>198</v>
      </c>
      <c r="O1013" t="s">
        <v>2893</v>
      </c>
      <c r="P1013" t="s">
        <v>2894</v>
      </c>
      <c r="R1013" t="s">
        <v>2518</v>
      </c>
      <c r="S1013" t="s">
        <v>183</v>
      </c>
      <c r="T1013" t="s">
        <v>274</v>
      </c>
      <c r="U1013" t="s">
        <v>383</v>
      </c>
      <c r="V1013" t="s">
        <v>384</v>
      </c>
      <c r="W1013">
        <v>1080</v>
      </c>
      <c r="X1013">
        <v>44.99</v>
      </c>
      <c r="Y1013">
        <v>139</v>
      </c>
      <c r="Z1013">
        <v>779000</v>
      </c>
      <c r="AA1013">
        <v>270000</v>
      </c>
      <c r="AB1013">
        <v>642</v>
      </c>
      <c r="AD1013" t="s">
        <v>238</v>
      </c>
      <c r="AE1013">
        <v>2</v>
      </c>
      <c r="AF1013">
        <v>0</v>
      </c>
      <c r="AI1013">
        <v>10</v>
      </c>
      <c r="AJ1013">
        <v>15</v>
      </c>
      <c r="AK1013">
        <v>25</v>
      </c>
      <c r="AL1013">
        <v>250</v>
      </c>
      <c r="AM1013">
        <v>29</v>
      </c>
      <c r="AN1013">
        <v>0</v>
      </c>
      <c r="AO1013">
        <v>29</v>
      </c>
      <c r="AP1013" t="s">
        <v>80</v>
      </c>
      <c r="AQ1013" t="s">
        <v>184</v>
      </c>
      <c r="AS1013" t="s">
        <v>86</v>
      </c>
      <c r="AT1013" t="s">
        <v>86</v>
      </c>
      <c r="AU1013" t="s">
        <v>86</v>
      </c>
      <c r="AV1013" t="s">
        <v>2982</v>
      </c>
      <c r="AW1013" t="s">
        <v>69</v>
      </c>
      <c r="AX1013" t="s">
        <v>126</v>
      </c>
      <c r="AY1013" t="s">
        <v>1809</v>
      </c>
      <c r="AZ1013" t="s">
        <v>264</v>
      </c>
      <c r="BA1013" t="s">
        <v>245</v>
      </c>
      <c r="BB1013" t="s">
        <v>245</v>
      </c>
      <c r="BC1013" t="s">
        <v>243</v>
      </c>
      <c r="BD1013" t="s">
        <v>3175</v>
      </c>
      <c r="BE1013" t="s">
        <v>3173</v>
      </c>
      <c r="BF1013" t="s">
        <v>279</v>
      </c>
      <c r="BG1013" t="s">
        <v>110</v>
      </c>
      <c r="BH1013" t="str">
        <f>IF(COUNTIF(工作表1!A:A, $C1013)&gt;0, "預購款", "非預購款")</f>
        <v>非預購款</v>
      </c>
    </row>
    <row r="1014" spans="1:60" x14ac:dyDescent="0.25">
      <c r="A1014" t="s">
        <v>2977</v>
      </c>
      <c r="B1014" t="s">
        <v>226</v>
      </c>
      <c r="C1014" t="s">
        <v>2978</v>
      </c>
      <c r="D1014" t="s">
        <v>2979</v>
      </c>
      <c r="E1014" t="s">
        <v>2980</v>
      </c>
      <c r="F1014" t="s">
        <v>176</v>
      </c>
      <c r="G1014" t="s">
        <v>2981</v>
      </c>
      <c r="H1014" t="s">
        <v>280</v>
      </c>
      <c r="I1014" t="s">
        <v>97</v>
      </c>
      <c r="J1014" t="s">
        <v>98</v>
      </c>
      <c r="K1014" t="s">
        <v>69</v>
      </c>
      <c r="L1014" t="s">
        <v>2972</v>
      </c>
      <c r="M1014" t="s">
        <v>71</v>
      </c>
      <c r="N1014" t="s">
        <v>198</v>
      </c>
      <c r="O1014" t="s">
        <v>2893</v>
      </c>
      <c r="P1014" t="s">
        <v>2894</v>
      </c>
      <c r="R1014" t="s">
        <v>2518</v>
      </c>
      <c r="S1014" t="s">
        <v>183</v>
      </c>
      <c r="T1014" t="s">
        <v>274</v>
      </c>
      <c r="U1014" t="s">
        <v>383</v>
      </c>
      <c r="V1014" t="s">
        <v>384</v>
      </c>
      <c r="W1014">
        <v>1080</v>
      </c>
      <c r="X1014">
        <v>44.99</v>
      </c>
      <c r="Y1014">
        <v>139</v>
      </c>
      <c r="Z1014">
        <v>779000</v>
      </c>
      <c r="AA1014">
        <v>270000</v>
      </c>
      <c r="AB1014">
        <v>642</v>
      </c>
      <c r="AD1014" t="s">
        <v>238</v>
      </c>
      <c r="AE1014">
        <v>2</v>
      </c>
      <c r="AF1014">
        <v>0</v>
      </c>
      <c r="AI1014">
        <v>10</v>
      </c>
      <c r="AJ1014">
        <v>30</v>
      </c>
      <c r="AK1014">
        <v>40</v>
      </c>
      <c r="AL1014">
        <v>250</v>
      </c>
      <c r="AM1014">
        <v>45</v>
      </c>
      <c r="AN1014">
        <v>0</v>
      </c>
      <c r="AO1014">
        <v>45</v>
      </c>
      <c r="AP1014" t="s">
        <v>80</v>
      </c>
      <c r="AQ1014" t="s">
        <v>184</v>
      </c>
      <c r="AS1014" t="s">
        <v>86</v>
      </c>
      <c r="AT1014" t="s">
        <v>86</v>
      </c>
      <c r="AU1014" t="s">
        <v>86</v>
      </c>
      <c r="AV1014" t="s">
        <v>2982</v>
      </c>
      <c r="AW1014" t="s">
        <v>69</v>
      </c>
      <c r="AX1014" t="s">
        <v>126</v>
      </c>
      <c r="AY1014" t="s">
        <v>1809</v>
      </c>
      <c r="AZ1014" t="s">
        <v>264</v>
      </c>
      <c r="BA1014" t="s">
        <v>245</v>
      </c>
      <c r="BB1014" t="s">
        <v>245</v>
      </c>
      <c r="BC1014" t="s">
        <v>243</v>
      </c>
      <c r="BD1014" t="s">
        <v>3176</v>
      </c>
      <c r="BE1014" t="s">
        <v>3173</v>
      </c>
      <c r="BF1014" t="s">
        <v>279</v>
      </c>
      <c r="BG1014" t="s">
        <v>110</v>
      </c>
      <c r="BH1014" t="str">
        <f>IF(COUNTIF(工作表1!A:A, $C1014)&gt;0, "預購款", "非預購款")</f>
        <v>非預購款</v>
      </c>
    </row>
    <row r="1015" spans="1:60" x14ac:dyDescent="0.25">
      <c r="A1015" t="s">
        <v>2987</v>
      </c>
      <c r="B1015" t="s">
        <v>226</v>
      </c>
      <c r="C1015" t="s">
        <v>2988</v>
      </c>
      <c r="D1015" t="s">
        <v>2989</v>
      </c>
      <c r="E1015" t="s">
        <v>2990</v>
      </c>
      <c r="F1015" t="s">
        <v>176</v>
      </c>
      <c r="G1015" t="s">
        <v>2991</v>
      </c>
      <c r="H1015" t="s">
        <v>119</v>
      </c>
      <c r="I1015" t="s">
        <v>97</v>
      </c>
      <c r="J1015" t="s">
        <v>98</v>
      </c>
      <c r="K1015" t="s">
        <v>69</v>
      </c>
      <c r="L1015" t="s">
        <v>2992</v>
      </c>
      <c r="M1015" t="s">
        <v>71</v>
      </c>
      <c r="N1015" t="s">
        <v>198</v>
      </c>
      <c r="O1015" t="s">
        <v>2893</v>
      </c>
      <c r="P1015" t="s">
        <v>2894</v>
      </c>
      <c r="R1015" t="s">
        <v>2518</v>
      </c>
      <c r="S1015" t="s">
        <v>183</v>
      </c>
      <c r="T1015" t="s">
        <v>258</v>
      </c>
      <c r="U1015" t="s">
        <v>684</v>
      </c>
      <c r="V1015" t="s">
        <v>1799</v>
      </c>
      <c r="W1015">
        <v>690</v>
      </c>
      <c r="X1015">
        <v>29.99</v>
      </c>
      <c r="Y1015">
        <v>89</v>
      </c>
      <c r="Z1015">
        <v>499000</v>
      </c>
      <c r="AA1015">
        <v>162150</v>
      </c>
      <c r="AB1015">
        <v>155</v>
      </c>
      <c r="AD1015" t="s">
        <v>238</v>
      </c>
      <c r="AE1015">
        <v>2</v>
      </c>
      <c r="AF1015">
        <v>10</v>
      </c>
      <c r="AI1015">
        <v>0</v>
      </c>
      <c r="AJ1015">
        <v>65</v>
      </c>
      <c r="AK1015">
        <v>75</v>
      </c>
      <c r="AL1015">
        <v>235</v>
      </c>
      <c r="AM1015">
        <v>73</v>
      </c>
      <c r="AN1015">
        <v>0</v>
      </c>
      <c r="AO1015">
        <v>73</v>
      </c>
      <c r="AP1015" t="s">
        <v>80</v>
      </c>
      <c r="AQ1015" t="s">
        <v>2257</v>
      </c>
      <c r="AR1015" t="s">
        <v>86</v>
      </c>
      <c r="AS1015" t="s">
        <v>86</v>
      </c>
      <c r="AT1015" t="s">
        <v>240</v>
      </c>
      <c r="AU1015" t="s">
        <v>86</v>
      </c>
      <c r="AV1015" t="s">
        <v>2993</v>
      </c>
      <c r="AW1015" t="s">
        <v>69</v>
      </c>
      <c r="AX1015" t="s">
        <v>737</v>
      </c>
      <c r="AY1015" t="s">
        <v>2994</v>
      </c>
      <c r="AZ1015" t="s">
        <v>244</v>
      </c>
      <c r="BA1015" t="s">
        <v>244</v>
      </c>
      <c r="BB1015" t="s">
        <v>244</v>
      </c>
      <c r="BC1015" t="s">
        <v>244</v>
      </c>
      <c r="BD1015" t="s">
        <v>3177</v>
      </c>
      <c r="BE1015" t="s">
        <v>3178</v>
      </c>
      <c r="BF1015" t="s">
        <v>240</v>
      </c>
      <c r="BG1015" t="s">
        <v>150</v>
      </c>
      <c r="BH1015" t="str">
        <f>IF(COUNTIF(工作表1!A:A, $C1015)&gt;0, "預購款", "非預購款")</f>
        <v>非預購款</v>
      </c>
    </row>
    <row r="1016" spans="1:60" x14ac:dyDescent="0.25">
      <c r="A1016" t="s">
        <v>2987</v>
      </c>
      <c r="B1016" t="s">
        <v>226</v>
      </c>
      <c r="C1016" t="s">
        <v>2988</v>
      </c>
      <c r="D1016" t="s">
        <v>2989</v>
      </c>
      <c r="E1016" t="s">
        <v>2990</v>
      </c>
      <c r="F1016" t="s">
        <v>176</v>
      </c>
      <c r="G1016" t="s">
        <v>2991</v>
      </c>
      <c r="H1016" t="s">
        <v>130</v>
      </c>
      <c r="I1016" t="s">
        <v>97</v>
      </c>
      <c r="J1016" t="s">
        <v>98</v>
      </c>
      <c r="K1016" t="s">
        <v>69</v>
      </c>
      <c r="L1016" t="s">
        <v>2992</v>
      </c>
      <c r="M1016" t="s">
        <v>71</v>
      </c>
      <c r="N1016" t="s">
        <v>198</v>
      </c>
      <c r="O1016" t="s">
        <v>2893</v>
      </c>
      <c r="P1016" t="s">
        <v>2894</v>
      </c>
      <c r="R1016" t="s">
        <v>2518</v>
      </c>
      <c r="S1016" t="s">
        <v>183</v>
      </c>
      <c r="T1016" t="s">
        <v>258</v>
      </c>
      <c r="U1016" t="s">
        <v>684</v>
      </c>
      <c r="V1016" t="s">
        <v>1799</v>
      </c>
      <c r="W1016">
        <v>690</v>
      </c>
      <c r="X1016">
        <v>29.99</v>
      </c>
      <c r="Y1016">
        <v>89</v>
      </c>
      <c r="Z1016">
        <v>499000</v>
      </c>
      <c r="AA1016">
        <v>162150</v>
      </c>
      <c r="AB1016">
        <v>155</v>
      </c>
      <c r="AD1016" t="s">
        <v>238</v>
      </c>
      <c r="AE1016">
        <v>2</v>
      </c>
      <c r="AF1016">
        <v>5</v>
      </c>
      <c r="AI1016">
        <v>0</v>
      </c>
      <c r="AJ1016">
        <v>70</v>
      </c>
      <c r="AK1016">
        <v>75</v>
      </c>
      <c r="AL1016">
        <v>235</v>
      </c>
      <c r="AM1016">
        <v>66</v>
      </c>
      <c r="AN1016">
        <v>0</v>
      </c>
      <c r="AO1016">
        <v>66</v>
      </c>
      <c r="AP1016" t="s">
        <v>80</v>
      </c>
      <c r="AQ1016" t="s">
        <v>2257</v>
      </c>
      <c r="AR1016" t="s">
        <v>86</v>
      </c>
      <c r="AS1016" t="s">
        <v>86</v>
      </c>
      <c r="AT1016" t="s">
        <v>240</v>
      </c>
      <c r="AU1016" t="s">
        <v>86</v>
      </c>
      <c r="AV1016" t="s">
        <v>2993</v>
      </c>
      <c r="AW1016" t="s">
        <v>69</v>
      </c>
      <c r="AX1016" t="s">
        <v>737</v>
      </c>
      <c r="AY1016" t="s">
        <v>2994</v>
      </c>
      <c r="AZ1016" t="s">
        <v>244</v>
      </c>
      <c r="BA1016" t="s">
        <v>244</v>
      </c>
      <c r="BB1016" t="s">
        <v>244</v>
      </c>
      <c r="BC1016" t="s">
        <v>244</v>
      </c>
      <c r="BD1016" t="s">
        <v>3179</v>
      </c>
      <c r="BE1016" t="s">
        <v>3178</v>
      </c>
      <c r="BF1016" t="s">
        <v>240</v>
      </c>
      <c r="BG1016" t="s">
        <v>150</v>
      </c>
      <c r="BH1016" t="str">
        <f>IF(COUNTIF(工作表1!A:A, $C1016)&gt;0, "預購款", "非預購款")</f>
        <v>非預購款</v>
      </c>
    </row>
    <row r="1017" spans="1:60" x14ac:dyDescent="0.25">
      <c r="A1017" t="s">
        <v>2987</v>
      </c>
      <c r="B1017" t="s">
        <v>226</v>
      </c>
      <c r="C1017" t="s">
        <v>2988</v>
      </c>
      <c r="D1017" t="s">
        <v>2989</v>
      </c>
      <c r="E1017" t="s">
        <v>2990</v>
      </c>
      <c r="F1017" t="s">
        <v>176</v>
      </c>
      <c r="G1017" t="s">
        <v>2991</v>
      </c>
      <c r="H1017" t="s">
        <v>132</v>
      </c>
      <c r="I1017" t="s">
        <v>97</v>
      </c>
      <c r="J1017" t="s">
        <v>98</v>
      </c>
      <c r="K1017" t="s">
        <v>69</v>
      </c>
      <c r="L1017" t="s">
        <v>2992</v>
      </c>
      <c r="M1017" t="s">
        <v>71</v>
      </c>
      <c r="N1017" t="s">
        <v>198</v>
      </c>
      <c r="O1017" t="s">
        <v>2893</v>
      </c>
      <c r="P1017" t="s">
        <v>2894</v>
      </c>
      <c r="R1017" t="s">
        <v>2518</v>
      </c>
      <c r="S1017" t="s">
        <v>183</v>
      </c>
      <c r="T1017" t="s">
        <v>258</v>
      </c>
      <c r="U1017" t="s">
        <v>684</v>
      </c>
      <c r="V1017" t="s">
        <v>1799</v>
      </c>
      <c r="W1017">
        <v>690</v>
      </c>
      <c r="X1017">
        <v>29.99</v>
      </c>
      <c r="Y1017">
        <v>89</v>
      </c>
      <c r="Z1017">
        <v>499000</v>
      </c>
      <c r="AA1017">
        <v>162150</v>
      </c>
      <c r="AB1017">
        <v>155</v>
      </c>
      <c r="AD1017" t="s">
        <v>238</v>
      </c>
      <c r="AE1017">
        <v>2</v>
      </c>
      <c r="AF1017">
        <v>0</v>
      </c>
      <c r="AI1017">
        <v>15</v>
      </c>
      <c r="AJ1017">
        <v>20</v>
      </c>
      <c r="AK1017">
        <v>35</v>
      </c>
      <c r="AL1017">
        <v>235</v>
      </c>
      <c r="AM1017">
        <v>30</v>
      </c>
      <c r="AN1017">
        <v>0</v>
      </c>
      <c r="AO1017">
        <v>30</v>
      </c>
      <c r="AP1017" t="s">
        <v>80</v>
      </c>
      <c r="AQ1017" t="s">
        <v>2257</v>
      </c>
      <c r="AR1017" t="s">
        <v>86</v>
      </c>
      <c r="AS1017" t="s">
        <v>86</v>
      </c>
      <c r="AT1017" t="s">
        <v>240</v>
      </c>
      <c r="AU1017" t="s">
        <v>86</v>
      </c>
      <c r="AV1017" t="s">
        <v>2993</v>
      </c>
      <c r="AW1017" t="s">
        <v>69</v>
      </c>
      <c r="AX1017" t="s">
        <v>737</v>
      </c>
      <c r="AY1017" t="s">
        <v>2994</v>
      </c>
      <c r="AZ1017" t="s">
        <v>244</v>
      </c>
      <c r="BA1017" t="s">
        <v>244</v>
      </c>
      <c r="BB1017" t="s">
        <v>244</v>
      </c>
      <c r="BC1017" t="s">
        <v>244</v>
      </c>
      <c r="BD1017" t="s">
        <v>3180</v>
      </c>
      <c r="BE1017" t="s">
        <v>3178</v>
      </c>
      <c r="BF1017" t="s">
        <v>240</v>
      </c>
      <c r="BG1017" t="s">
        <v>150</v>
      </c>
      <c r="BH1017" t="str">
        <f>IF(COUNTIF(工作表1!A:A, $C1017)&gt;0, "預購款", "非預購款")</f>
        <v>非預購款</v>
      </c>
    </row>
    <row r="1018" spans="1:60" x14ac:dyDescent="0.25">
      <c r="A1018" t="s">
        <v>2998</v>
      </c>
      <c r="B1018" t="s">
        <v>226</v>
      </c>
      <c r="C1018" t="s">
        <v>2999</v>
      </c>
      <c r="D1018" t="s">
        <v>3000</v>
      </c>
      <c r="E1018" t="s">
        <v>3001</v>
      </c>
      <c r="F1018" t="s">
        <v>176</v>
      </c>
      <c r="G1018" t="s">
        <v>3002</v>
      </c>
      <c r="H1018" t="s">
        <v>132</v>
      </c>
      <c r="I1018" t="s">
        <v>97</v>
      </c>
      <c r="J1018" t="s">
        <v>98</v>
      </c>
      <c r="K1018" t="s">
        <v>69</v>
      </c>
      <c r="L1018" t="s">
        <v>3003</v>
      </c>
      <c r="M1018" t="s">
        <v>71</v>
      </c>
      <c r="N1018" t="s">
        <v>100</v>
      </c>
      <c r="O1018" t="s">
        <v>2893</v>
      </c>
      <c r="P1018" t="s">
        <v>2894</v>
      </c>
      <c r="R1018" t="s">
        <v>2518</v>
      </c>
      <c r="S1018" t="s">
        <v>183</v>
      </c>
      <c r="T1018" t="s">
        <v>76</v>
      </c>
      <c r="U1018" t="s">
        <v>104</v>
      </c>
      <c r="V1018" t="s">
        <v>653</v>
      </c>
      <c r="W1018">
        <v>590</v>
      </c>
      <c r="X1018">
        <v>29.99</v>
      </c>
      <c r="Y1018">
        <v>75</v>
      </c>
      <c r="Z1018">
        <v>429000</v>
      </c>
      <c r="AA1018">
        <v>53100</v>
      </c>
      <c r="AB1018">
        <v>202</v>
      </c>
      <c r="AD1018" t="s">
        <v>238</v>
      </c>
      <c r="AE1018">
        <v>1</v>
      </c>
      <c r="AF1018">
        <v>0</v>
      </c>
      <c r="AI1018">
        <v>15</v>
      </c>
      <c r="AJ1018">
        <v>30</v>
      </c>
      <c r="AK1018">
        <v>45</v>
      </c>
      <c r="AL1018">
        <v>90</v>
      </c>
      <c r="AM1018">
        <v>54</v>
      </c>
      <c r="AN1018">
        <v>0</v>
      </c>
      <c r="AO1018">
        <v>54</v>
      </c>
      <c r="AP1018" t="s">
        <v>80</v>
      </c>
      <c r="AQ1018" t="s">
        <v>190</v>
      </c>
      <c r="AR1018" t="s">
        <v>86</v>
      </c>
      <c r="AS1018" t="s">
        <v>86</v>
      </c>
      <c r="AT1018" t="s">
        <v>86</v>
      </c>
      <c r="AU1018" t="s">
        <v>86</v>
      </c>
      <c r="AV1018" t="s">
        <v>1033</v>
      </c>
      <c r="AW1018" t="s">
        <v>69</v>
      </c>
      <c r="AX1018" t="s">
        <v>218</v>
      </c>
      <c r="AY1018" t="s">
        <v>2947</v>
      </c>
      <c r="AZ1018" t="s">
        <v>243</v>
      </c>
      <c r="BA1018" t="s">
        <v>244</v>
      </c>
      <c r="BB1018" t="s">
        <v>244</v>
      </c>
      <c r="BC1018" t="s">
        <v>244</v>
      </c>
      <c r="BD1018" t="s">
        <v>3007</v>
      </c>
      <c r="BE1018" t="s">
        <v>3181</v>
      </c>
      <c r="BF1018" t="s">
        <v>786</v>
      </c>
      <c r="BG1018" t="s">
        <v>150</v>
      </c>
      <c r="BH1018" t="str">
        <f>IF(COUNTIF(工作表1!A:A, $C1018)&gt;0, "預購款", "非預購款")</f>
        <v>非預購款</v>
      </c>
    </row>
    <row r="1019" spans="1:60" x14ac:dyDescent="0.25">
      <c r="A1019" t="s">
        <v>3182</v>
      </c>
      <c r="B1019" t="s">
        <v>226</v>
      </c>
      <c r="C1019" t="s">
        <v>3183</v>
      </c>
      <c r="D1019" t="s">
        <v>3184</v>
      </c>
      <c r="E1019" t="s">
        <v>3185</v>
      </c>
      <c r="F1019" t="s">
        <v>176</v>
      </c>
      <c r="G1019" t="s">
        <v>3186</v>
      </c>
      <c r="H1019" t="s">
        <v>119</v>
      </c>
      <c r="I1019" t="s">
        <v>3187</v>
      </c>
      <c r="J1019" t="s">
        <v>3188</v>
      </c>
      <c r="K1019" t="s">
        <v>69</v>
      </c>
      <c r="L1019" t="s">
        <v>3189</v>
      </c>
      <c r="M1019" t="s">
        <v>71</v>
      </c>
      <c r="N1019" t="s">
        <v>198</v>
      </c>
      <c r="O1019" t="s">
        <v>3146</v>
      </c>
      <c r="P1019" t="s">
        <v>3147</v>
      </c>
      <c r="R1019" t="s">
        <v>3148</v>
      </c>
      <c r="S1019" t="s">
        <v>183</v>
      </c>
      <c r="T1019" t="s">
        <v>291</v>
      </c>
      <c r="U1019" t="s">
        <v>104</v>
      </c>
      <c r="V1019" t="s">
        <v>1936</v>
      </c>
      <c r="W1019">
        <v>590</v>
      </c>
      <c r="X1019">
        <v>29.99</v>
      </c>
      <c r="Y1019">
        <v>75</v>
      </c>
      <c r="Z1019">
        <v>429000</v>
      </c>
      <c r="AA1019">
        <v>70800</v>
      </c>
      <c r="AB1019">
        <v>200</v>
      </c>
      <c r="AD1019" t="s">
        <v>238</v>
      </c>
      <c r="AE1019">
        <v>1</v>
      </c>
      <c r="AF1019">
        <v>0</v>
      </c>
      <c r="AI1019">
        <v>0</v>
      </c>
      <c r="AJ1019">
        <v>40</v>
      </c>
      <c r="AK1019">
        <v>40</v>
      </c>
      <c r="AL1019">
        <v>120</v>
      </c>
      <c r="AM1019">
        <v>48</v>
      </c>
      <c r="AN1019">
        <v>0</v>
      </c>
      <c r="AO1019">
        <v>48</v>
      </c>
      <c r="AP1019" t="s">
        <v>80</v>
      </c>
      <c r="AQ1019" t="s">
        <v>190</v>
      </c>
      <c r="AT1019" t="s">
        <v>240</v>
      </c>
      <c r="AU1019" t="s">
        <v>240</v>
      </c>
      <c r="AV1019" t="s">
        <v>3190</v>
      </c>
      <c r="AW1019" t="s">
        <v>69</v>
      </c>
      <c r="AX1019" t="s">
        <v>218</v>
      </c>
      <c r="AY1019" t="s">
        <v>3191</v>
      </c>
      <c r="AZ1019" t="s">
        <v>243</v>
      </c>
      <c r="BA1019" t="s">
        <v>245</v>
      </c>
      <c r="BB1019" t="s">
        <v>244</v>
      </c>
      <c r="BC1019" t="s">
        <v>244</v>
      </c>
      <c r="BD1019" t="s">
        <v>3192</v>
      </c>
      <c r="BE1019" t="s">
        <v>3193</v>
      </c>
      <c r="BF1019" t="s">
        <v>291</v>
      </c>
      <c r="BG1019" t="s">
        <v>150</v>
      </c>
      <c r="BH1019" t="str">
        <f>IF(COUNTIF(工作表1!A:A, $C1019)&gt;0, "預購款", "非預購款")</f>
        <v>非預購款</v>
      </c>
    </row>
    <row r="1020" spans="1:60" x14ac:dyDescent="0.25">
      <c r="A1020" t="s">
        <v>3182</v>
      </c>
      <c r="B1020" t="s">
        <v>226</v>
      </c>
      <c r="C1020" t="s">
        <v>3183</v>
      </c>
      <c r="D1020" t="s">
        <v>3184</v>
      </c>
      <c r="E1020" t="s">
        <v>3185</v>
      </c>
      <c r="F1020" t="s">
        <v>176</v>
      </c>
      <c r="G1020" t="s">
        <v>3186</v>
      </c>
      <c r="H1020" t="s">
        <v>130</v>
      </c>
      <c r="I1020" t="s">
        <v>3187</v>
      </c>
      <c r="J1020" t="s">
        <v>3188</v>
      </c>
      <c r="K1020" t="s">
        <v>69</v>
      </c>
      <c r="L1020" t="s">
        <v>3189</v>
      </c>
      <c r="M1020" t="s">
        <v>71</v>
      </c>
      <c r="N1020" t="s">
        <v>198</v>
      </c>
      <c r="O1020" t="s">
        <v>3146</v>
      </c>
      <c r="P1020" t="s">
        <v>3147</v>
      </c>
      <c r="R1020" t="s">
        <v>3148</v>
      </c>
      <c r="S1020" t="s">
        <v>183</v>
      </c>
      <c r="T1020" t="s">
        <v>291</v>
      </c>
      <c r="U1020" t="s">
        <v>104</v>
      </c>
      <c r="V1020" t="s">
        <v>1936</v>
      </c>
      <c r="W1020">
        <v>590</v>
      </c>
      <c r="X1020">
        <v>29.99</v>
      </c>
      <c r="Y1020">
        <v>75</v>
      </c>
      <c r="Z1020">
        <v>429000</v>
      </c>
      <c r="AA1020">
        <v>70800</v>
      </c>
      <c r="AB1020">
        <v>200</v>
      </c>
      <c r="AD1020" t="s">
        <v>238</v>
      </c>
      <c r="AE1020">
        <v>1</v>
      </c>
      <c r="AF1020">
        <v>0</v>
      </c>
      <c r="AI1020">
        <v>0</v>
      </c>
      <c r="AJ1020">
        <v>55</v>
      </c>
      <c r="AK1020">
        <v>55</v>
      </c>
      <c r="AL1020">
        <v>120</v>
      </c>
      <c r="AM1020">
        <v>63</v>
      </c>
      <c r="AN1020">
        <v>0</v>
      </c>
      <c r="AO1020">
        <v>63</v>
      </c>
      <c r="AP1020" t="s">
        <v>80</v>
      </c>
      <c r="AQ1020" t="s">
        <v>190</v>
      </c>
      <c r="AT1020" t="s">
        <v>240</v>
      </c>
      <c r="AU1020" t="s">
        <v>240</v>
      </c>
      <c r="AV1020" t="s">
        <v>3190</v>
      </c>
      <c r="AW1020" t="s">
        <v>69</v>
      </c>
      <c r="AX1020" t="s">
        <v>218</v>
      </c>
      <c r="AY1020" t="s">
        <v>3191</v>
      </c>
      <c r="AZ1020" t="s">
        <v>243</v>
      </c>
      <c r="BA1020" t="s">
        <v>245</v>
      </c>
      <c r="BB1020" t="s">
        <v>244</v>
      </c>
      <c r="BC1020" t="s">
        <v>244</v>
      </c>
      <c r="BD1020" t="s">
        <v>3194</v>
      </c>
      <c r="BE1020" t="s">
        <v>3193</v>
      </c>
      <c r="BF1020" t="s">
        <v>291</v>
      </c>
      <c r="BG1020" t="s">
        <v>150</v>
      </c>
      <c r="BH1020" t="str">
        <f>IF(COUNTIF(工作表1!A:A, $C1020)&gt;0, "預購款", "非預購款")</f>
        <v>非預購款</v>
      </c>
    </row>
    <row r="1021" spans="1:60" x14ac:dyDescent="0.25">
      <c r="A1021" t="s">
        <v>3182</v>
      </c>
      <c r="B1021" t="s">
        <v>226</v>
      </c>
      <c r="C1021" t="s">
        <v>3183</v>
      </c>
      <c r="D1021" t="s">
        <v>3184</v>
      </c>
      <c r="E1021" t="s">
        <v>3185</v>
      </c>
      <c r="F1021" t="s">
        <v>176</v>
      </c>
      <c r="G1021" t="s">
        <v>3186</v>
      </c>
      <c r="H1021" t="s">
        <v>132</v>
      </c>
      <c r="I1021" t="s">
        <v>3187</v>
      </c>
      <c r="J1021" t="s">
        <v>3188</v>
      </c>
      <c r="K1021" t="s">
        <v>69</v>
      </c>
      <c r="L1021" t="s">
        <v>3189</v>
      </c>
      <c r="M1021" t="s">
        <v>71</v>
      </c>
      <c r="N1021" t="s">
        <v>198</v>
      </c>
      <c r="O1021" t="s">
        <v>3146</v>
      </c>
      <c r="P1021" t="s">
        <v>3147</v>
      </c>
      <c r="R1021" t="s">
        <v>3148</v>
      </c>
      <c r="S1021" t="s">
        <v>183</v>
      </c>
      <c r="T1021" t="s">
        <v>291</v>
      </c>
      <c r="U1021" t="s">
        <v>104</v>
      </c>
      <c r="V1021" t="s">
        <v>1936</v>
      </c>
      <c r="W1021">
        <v>590</v>
      </c>
      <c r="X1021">
        <v>29.99</v>
      </c>
      <c r="Y1021">
        <v>75</v>
      </c>
      <c r="Z1021">
        <v>429000</v>
      </c>
      <c r="AA1021">
        <v>70800</v>
      </c>
      <c r="AB1021">
        <v>200</v>
      </c>
      <c r="AD1021" t="s">
        <v>238</v>
      </c>
      <c r="AE1021">
        <v>1</v>
      </c>
      <c r="AF1021">
        <v>0</v>
      </c>
      <c r="AI1021">
        <v>0</v>
      </c>
      <c r="AJ1021">
        <v>25</v>
      </c>
      <c r="AK1021">
        <v>25</v>
      </c>
      <c r="AL1021">
        <v>120</v>
      </c>
      <c r="AM1021">
        <v>35</v>
      </c>
      <c r="AN1021">
        <v>0</v>
      </c>
      <c r="AO1021">
        <v>35</v>
      </c>
      <c r="AP1021" t="s">
        <v>80</v>
      </c>
      <c r="AQ1021" t="s">
        <v>190</v>
      </c>
      <c r="AT1021" t="s">
        <v>240</v>
      </c>
      <c r="AU1021" t="s">
        <v>240</v>
      </c>
      <c r="AV1021" t="s">
        <v>3190</v>
      </c>
      <c r="AW1021" t="s">
        <v>69</v>
      </c>
      <c r="AX1021" t="s">
        <v>218</v>
      </c>
      <c r="AY1021" t="s">
        <v>3191</v>
      </c>
      <c r="AZ1021" t="s">
        <v>243</v>
      </c>
      <c r="BA1021" t="s">
        <v>245</v>
      </c>
      <c r="BB1021" t="s">
        <v>244</v>
      </c>
      <c r="BC1021" t="s">
        <v>244</v>
      </c>
      <c r="BD1021" t="s">
        <v>3195</v>
      </c>
      <c r="BE1021" t="s">
        <v>3193</v>
      </c>
      <c r="BF1021" t="s">
        <v>291</v>
      </c>
      <c r="BG1021" t="s">
        <v>150</v>
      </c>
      <c r="BH1021" t="str">
        <f>IF(COUNTIF(工作表1!A:A, $C1021)&gt;0, "預購款", "非預購款")</f>
        <v>非預購款</v>
      </c>
    </row>
    <row r="1022" spans="1:60" x14ac:dyDescent="0.25">
      <c r="A1022" t="s">
        <v>3196</v>
      </c>
      <c r="B1022" t="s">
        <v>283</v>
      </c>
      <c r="C1022" t="s">
        <v>3197</v>
      </c>
      <c r="D1022" t="s">
        <v>3198</v>
      </c>
      <c r="E1022" t="s">
        <v>3199</v>
      </c>
      <c r="F1022" t="s">
        <v>176</v>
      </c>
      <c r="G1022" t="s">
        <v>3200</v>
      </c>
      <c r="H1022" t="s">
        <v>119</v>
      </c>
      <c r="I1022" t="s">
        <v>171</v>
      </c>
      <c r="J1022" t="s">
        <v>172</v>
      </c>
      <c r="K1022" t="s">
        <v>69</v>
      </c>
      <c r="L1022" t="s">
        <v>3201</v>
      </c>
      <c r="M1022" t="s">
        <v>71</v>
      </c>
      <c r="N1022" t="s">
        <v>198</v>
      </c>
      <c r="O1022" t="s">
        <v>3146</v>
      </c>
      <c r="P1022" t="s">
        <v>3147</v>
      </c>
      <c r="R1022" t="s">
        <v>3148</v>
      </c>
      <c r="S1022" t="s">
        <v>183</v>
      </c>
      <c r="T1022" t="s">
        <v>76</v>
      </c>
      <c r="U1022" t="s">
        <v>104</v>
      </c>
      <c r="V1022" t="s">
        <v>623</v>
      </c>
      <c r="W1022">
        <v>590</v>
      </c>
      <c r="X1022">
        <v>29.99</v>
      </c>
      <c r="Y1022">
        <v>75</v>
      </c>
      <c r="Z1022">
        <v>429000</v>
      </c>
      <c r="AA1022">
        <v>132750</v>
      </c>
      <c r="AB1022">
        <v>244</v>
      </c>
      <c r="AD1022" t="s">
        <v>238</v>
      </c>
      <c r="AE1022">
        <v>1</v>
      </c>
      <c r="AF1022">
        <v>5</v>
      </c>
      <c r="AI1022">
        <v>0</v>
      </c>
      <c r="AJ1022">
        <v>140</v>
      </c>
      <c r="AK1022">
        <v>145</v>
      </c>
      <c r="AL1022">
        <v>225</v>
      </c>
      <c r="AM1022">
        <v>154</v>
      </c>
      <c r="AN1022">
        <v>0</v>
      </c>
      <c r="AO1022">
        <v>154</v>
      </c>
      <c r="AP1022" t="s">
        <v>80</v>
      </c>
      <c r="AQ1022" t="s">
        <v>2257</v>
      </c>
      <c r="AR1022" t="s">
        <v>261</v>
      </c>
      <c r="AS1022" t="s">
        <v>261</v>
      </c>
      <c r="AT1022" t="s">
        <v>86</v>
      </c>
      <c r="AU1022" t="s">
        <v>86</v>
      </c>
      <c r="AV1022" t="s">
        <v>3202</v>
      </c>
      <c r="AW1022" t="s">
        <v>69</v>
      </c>
      <c r="AX1022" t="s">
        <v>126</v>
      </c>
      <c r="AY1022" t="s">
        <v>3203</v>
      </c>
      <c r="AZ1022" t="s">
        <v>264</v>
      </c>
      <c r="BA1022" t="s">
        <v>244</v>
      </c>
      <c r="BB1022" t="s">
        <v>244</v>
      </c>
      <c r="BC1022" t="s">
        <v>244</v>
      </c>
      <c r="BD1022" t="s">
        <v>3204</v>
      </c>
      <c r="BE1022" t="s">
        <v>3205</v>
      </c>
      <c r="BF1022" t="s">
        <v>86</v>
      </c>
      <c r="BG1022" t="s">
        <v>150</v>
      </c>
      <c r="BH1022" t="str">
        <f>IF(COUNTIF(工作表1!A:A, $C1022)&gt;0, "預購款", "非預購款")</f>
        <v>非預購款</v>
      </c>
    </row>
    <row r="1023" spans="1:60" x14ac:dyDescent="0.25">
      <c r="A1023" t="s">
        <v>3196</v>
      </c>
      <c r="B1023" t="s">
        <v>283</v>
      </c>
      <c r="C1023" t="s">
        <v>3197</v>
      </c>
      <c r="D1023" t="s">
        <v>3198</v>
      </c>
      <c r="E1023" t="s">
        <v>3199</v>
      </c>
      <c r="F1023" t="s">
        <v>176</v>
      </c>
      <c r="G1023" t="s">
        <v>3200</v>
      </c>
      <c r="H1023" t="s">
        <v>130</v>
      </c>
      <c r="I1023" t="s">
        <v>171</v>
      </c>
      <c r="J1023" t="s">
        <v>172</v>
      </c>
      <c r="K1023" t="s">
        <v>69</v>
      </c>
      <c r="L1023" t="s">
        <v>3201</v>
      </c>
      <c r="M1023" t="s">
        <v>71</v>
      </c>
      <c r="N1023" t="s">
        <v>198</v>
      </c>
      <c r="O1023" t="s">
        <v>3146</v>
      </c>
      <c r="P1023" t="s">
        <v>3147</v>
      </c>
      <c r="R1023" t="s">
        <v>3148</v>
      </c>
      <c r="S1023" t="s">
        <v>183</v>
      </c>
      <c r="T1023" t="s">
        <v>76</v>
      </c>
      <c r="U1023" t="s">
        <v>104</v>
      </c>
      <c r="V1023" t="s">
        <v>623</v>
      </c>
      <c r="W1023">
        <v>590</v>
      </c>
      <c r="X1023">
        <v>29.99</v>
      </c>
      <c r="Y1023">
        <v>75</v>
      </c>
      <c r="Z1023">
        <v>429000</v>
      </c>
      <c r="AA1023">
        <v>132750</v>
      </c>
      <c r="AB1023">
        <v>244</v>
      </c>
      <c r="AD1023" t="s">
        <v>238</v>
      </c>
      <c r="AE1023">
        <v>1</v>
      </c>
      <c r="AF1023">
        <v>0</v>
      </c>
      <c r="AI1023">
        <v>0</v>
      </c>
      <c r="AJ1023">
        <v>50</v>
      </c>
      <c r="AK1023">
        <v>50</v>
      </c>
      <c r="AL1023">
        <v>225</v>
      </c>
      <c r="AM1023">
        <v>52</v>
      </c>
      <c r="AN1023">
        <v>0</v>
      </c>
      <c r="AO1023">
        <v>52</v>
      </c>
      <c r="AP1023" t="s">
        <v>80</v>
      </c>
      <c r="AQ1023" t="s">
        <v>2257</v>
      </c>
      <c r="AR1023" t="s">
        <v>261</v>
      </c>
      <c r="AS1023" t="s">
        <v>261</v>
      </c>
      <c r="AT1023" t="s">
        <v>86</v>
      </c>
      <c r="AU1023" t="s">
        <v>86</v>
      </c>
      <c r="AV1023" t="s">
        <v>3202</v>
      </c>
      <c r="AW1023" t="s">
        <v>69</v>
      </c>
      <c r="AX1023" t="s">
        <v>126</v>
      </c>
      <c r="AY1023" t="s">
        <v>3203</v>
      </c>
      <c r="AZ1023" t="s">
        <v>264</v>
      </c>
      <c r="BA1023" t="s">
        <v>244</v>
      </c>
      <c r="BB1023" t="s">
        <v>244</v>
      </c>
      <c r="BC1023" t="s">
        <v>244</v>
      </c>
      <c r="BD1023" t="s">
        <v>3206</v>
      </c>
      <c r="BE1023" t="s">
        <v>3205</v>
      </c>
      <c r="BF1023" t="s">
        <v>86</v>
      </c>
      <c r="BG1023" t="s">
        <v>150</v>
      </c>
      <c r="BH1023" t="str">
        <f>IF(COUNTIF(工作表1!A:A, $C1023)&gt;0, "預購款", "非預購款")</f>
        <v>非預購款</v>
      </c>
    </row>
    <row r="1024" spans="1:60" x14ac:dyDescent="0.25">
      <c r="A1024" t="s">
        <v>3196</v>
      </c>
      <c r="B1024" t="s">
        <v>283</v>
      </c>
      <c r="C1024" t="s">
        <v>3197</v>
      </c>
      <c r="D1024" t="s">
        <v>3198</v>
      </c>
      <c r="E1024" t="s">
        <v>3199</v>
      </c>
      <c r="F1024" t="s">
        <v>176</v>
      </c>
      <c r="G1024" t="s">
        <v>3200</v>
      </c>
      <c r="H1024" t="s">
        <v>132</v>
      </c>
      <c r="I1024" t="s">
        <v>171</v>
      </c>
      <c r="J1024" t="s">
        <v>172</v>
      </c>
      <c r="K1024" t="s">
        <v>69</v>
      </c>
      <c r="L1024" t="s">
        <v>3201</v>
      </c>
      <c r="M1024" t="s">
        <v>71</v>
      </c>
      <c r="N1024" t="s">
        <v>198</v>
      </c>
      <c r="O1024" t="s">
        <v>3146</v>
      </c>
      <c r="P1024" t="s">
        <v>3147</v>
      </c>
      <c r="R1024" t="s">
        <v>3148</v>
      </c>
      <c r="S1024" t="s">
        <v>183</v>
      </c>
      <c r="T1024" t="s">
        <v>76</v>
      </c>
      <c r="U1024" t="s">
        <v>104</v>
      </c>
      <c r="V1024" t="s">
        <v>623</v>
      </c>
      <c r="W1024">
        <v>590</v>
      </c>
      <c r="X1024">
        <v>29.99</v>
      </c>
      <c r="Y1024">
        <v>75</v>
      </c>
      <c r="Z1024">
        <v>429000</v>
      </c>
      <c r="AA1024">
        <v>132750</v>
      </c>
      <c r="AB1024">
        <v>244</v>
      </c>
      <c r="AD1024" t="s">
        <v>238</v>
      </c>
      <c r="AE1024">
        <v>1</v>
      </c>
      <c r="AF1024">
        <v>0</v>
      </c>
      <c r="AI1024">
        <v>0</v>
      </c>
      <c r="AJ1024">
        <v>30</v>
      </c>
      <c r="AK1024">
        <v>30</v>
      </c>
      <c r="AL1024">
        <v>225</v>
      </c>
      <c r="AM1024">
        <v>32</v>
      </c>
      <c r="AN1024">
        <v>0</v>
      </c>
      <c r="AO1024">
        <v>32</v>
      </c>
      <c r="AP1024" t="s">
        <v>80</v>
      </c>
      <c r="AQ1024" t="s">
        <v>2257</v>
      </c>
      <c r="AR1024" t="s">
        <v>261</v>
      </c>
      <c r="AS1024" t="s">
        <v>261</v>
      </c>
      <c r="AT1024" t="s">
        <v>86</v>
      </c>
      <c r="AU1024" t="s">
        <v>86</v>
      </c>
      <c r="AV1024" t="s">
        <v>3202</v>
      </c>
      <c r="AW1024" t="s">
        <v>69</v>
      </c>
      <c r="AX1024" t="s">
        <v>126</v>
      </c>
      <c r="AY1024" t="s">
        <v>3203</v>
      </c>
      <c r="AZ1024" t="s">
        <v>264</v>
      </c>
      <c r="BA1024" t="s">
        <v>244</v>
      </c>
      <c r="BB1024" t="s">
        <v>244</v>
      </c>
      <c r="BC1024" t="s">
        <v>244</v>
      </c>
      <c r="BD1024" t="s">
        <v>3207</v>
      </c>
      <c r="BE1024" t="s">
        <v>3205</v>
      </c>
      <c r="BF1024" t="s">
        <v>86</v>
      </c>
      <c r="BG1024" t="s">
        <v>150</v>
      </c>
      <c r="BH1024" t="str">
        <f>IF(COUNTIF(工作表1!A:A, $C1024)&gt;0, "預購款", "非預購款")</f>
        <v>非預購款</v>
      </c>
    </row>
    <row r="1025" spans="1:60" x14ac:dyDescent="0.25">
      <c r="A1025" t="s">
        <v>3208</v>
      </c>
      <c r="B1025" t="s">
        <v>283</v>
      </c>
      <c r="C1025" t="s">
        <v>3209</v>
      </c>
      <c r="D1025" t="s">
        <v>3210</v>
      </c>
      <c r="E1025" t="s">
        <v>3211</v>
      </c>
      <c r="F1025" t="s">
        <v>176</v>
      </c>
      <c r="G1025" t="s">
        <v>3212</v>
      </c>
      <c r="H1025" t="s">
        <v>119</v>
      </c>
      <c r="I1025" t="s">
        <v>171</v>
      </c>
      <c r="J1025" t="s">
        <v>172</v>
      </c>
      <c r="K1025" t="s">
        <v>69</v>
      </c>
      <c r="L1025" t="s">
        <v>3213</v>
      </c>
      <c r="M1025" t="s">
        <v>71</v>
      </c>
      <c r="N1025" t="s">
        <v>198</v>
      </c>
      <c r="O1025" t="s">
        <v>3146</v>
      </c>
      <c r="P1025" t="s">
        <v>3147</v>
      </c>
      <c r="R1025" t="s">
        <v>3148</v>
      </c>
      <c r="S1025" t="s">
        <v>183</v>
      </c>
      <c r="T1025" t="s">
        <v>76</v>
      </c>
      <c r="U1025" t="s">
        <v>123</v>
      </c>
      <c r="V1025" t="s">
        <v>321</v>
      </c>
      <c r="W1025">
        <v>790</v>
      </c>
      <c r="X1025">
        <v>34.99</v>
      </c>
      <c r="Y1025">
        <v>99</v>
      </c>
      <c r="Z1025">
        <v>569000</v>
      </c>
      <c r="AA1025">
        <v>264650</v>
      </c>
      <c r="AB1025">
        <v>282</v>
      </c>
      <c r="AD1025" t="s">
        <v>238</v>
      </c>
      <c r="AE1025">
        <v>1</v>
      </c>
      <c r="AF1025">
        <v>5</v>
      </c>
      <c r="AI1025">
        <v>0</v>
      </c>
      <c r="AJ1025">
        <v>140</v>
      </c>
      <c r="AK1025">
        <v>145</v>
      </c>
      <c r="AL1025">
        <v>335</v>
      </c>
      <c r="AM1025">
        <v>152</v>
      </c>
      <c r="AN1025">
        <v>0</v>
      </c>
      <c r="AO1025">
        <v>152</v>
      </c>
      <c r="AP1025" t="s">
        <v>80</v>
      </c>
      <c r="AQ1025" t="s">
        <v>190</v>
      </c>
      <c r="AR1025" t="s">
        <v>86</v>
      </c>
      <c r="AS1025" t="s">
        <v>86</v>
      </c>
      <c r="AT1025" t="s">
        <v>86</v>
      </c>
      <c r="AU1025" t="s">
        <v>86</v>
      </c>
      <c r="AV1025" t="s">
        <v>3214</v>
      </c>
      <c r="AW1025" t="s">
        <v>69</v>
      </c>
      <c r="AX1025" t="s">
        <v>126</v>
      </c>
      <c r="AY1025" t="s">
        <v>3203</v>
      </c>
      <c r="AZ1025" t="s">
        <v>264</v>
      </c>
      <c r="BA1025" t="s">
        <v>244</v>
      </c>
      <c r="BB1025" t="s">
        <v>244</v>
      </c>
      <c r="BC1025" t="s">
        <v>244</v>
      </c>
      <c r="BD1025" t="s">
        <v>3215</v>
      </c>
      <c r="BE1025" t="s">
        <v>3216</v>
      </c>
      <c r="BF1025" t="s">
        <v>86</v>
      </c>
      <c r="BG1025" t="s">
        <v>150</v>
      </c>
      <c r="BH1025" t="str">
        <f>IF(COUNTIF(工作表1!A:A, $C1025)&gt;0, "預購款", "非預購款")</f>
        <v>非預購款</v>
      </c>
    </row>
    <row r="1026" spans="1:60" x14ac:dyDescent="0.25">
      <c r="A1026" t="s">
        <v>3208</v>
      </c>
      <c r="B1026" t="s">
        <v>283</v>
      </c>
      <c r="C1026" t="s">
        <v>3209</v>
      </c>
      <c r="D1026" t="s">
        <v>3210</v>
      </c>
      <c r="E1026" t="s">
        <v>3211</v>
      </c>
      <c r="F1026" t="s">
        <v>176</v>
      </c>
      <c r="G1026" t="s">
        <v>3212</v>
      </c>
      <c r="H1026" t="s">
        <v>130</v>
      </c>
      <c r="I1026" t="s">
        <v>171</v>
      </c>
      <c r="J1026" t="s">
        <v>172</v>
      </c>
      <c r="K1026" t="s">
        <v>69</v>
      </c>
      <c r="L1026" t="s">
        <v>3213</v>
      </c>
      <c r="M1026" t="s">
        <v>71</v>
      </c>
      <c r="N1026" t="s">
        <v>198</v>
      </c>
      <c r="O1026" t="s">
        <v>3146</v>
      </c>
      <c r="P1026" t="s">
        <v>3147</v>
      </c>
      <c r="R1026" t="s">
        <v>3148</v>
      </c>
      <c r="S1026" t="s">
        <v>183</v>
      </c>
      <c r="T1026" t="s">
        <v>76</v>
      </c>
      <c r="U1026" t="s">
        <v>123</v>
      </c>
      <c r="V1026" t="s">
        <v>321</v>
      </c>
      <c r="W1026">
        <v>790</v>
      </c>
      <c r="X1026">
        <v>34.99</v>
      </c>
      <c r="Y1026">
        <v>99</v>
      </c>
      <c r="Z1026">
        <v>569000</v>
      </c>
      <c r="AA1026">
        <v>264650</v>
      </c>
      <c r="AB1026">
        <v>282</v>
      </c>
      <c r="AD1026" t="s">
        <v>238</v>
      </c>
      <c r="AE1026">
        <v>1</v>
      </c>
      <c r="AF1026">
        <v>0</v>
      </c>
      <c r="AI1026">
        <v>0</v>
      </c>
      <c r="AJ1026">
        <v>120</v>
      </c>
      <c r="AK1026">
        <v>120</v>
      </c>
      <c r="AL1026">
        <v>335</v>
      </c>
      <c r="AM1026">
        <v>126</v>
      </c>
      <c r="AN1026">
        <v>0</v>
      </c>
      <c r="AO1026">
        <v>126</v>
      </c>
      <c r="AP1026" t="s">
        <v>80</v>
      </c>
      <c r="AQ1026" t="s">
        <v>190</v>
      </c>
      <c r="AR1026" t="s">
        <v>86</v>
      </c>
      <c r="AS1026" t="s">
        <v>86</v>
      </c>
      <c r="AT1026" t="s">
        <v>86</v>
      </c>
      <c r="AU1026" t="s">
        <v>86</v>
      </c>
      <c r="AV1026" t="s">
        <v>3214</v>
      </c>
      <c r="AW1026" t="s">
        <v>69</v>
      </c>
      <c r="AX1026" t="s">
        <v>126</v>
      </c>
      <c r="AY1026" t="s">
        <v>3203</v>
      </c>
      <c r="AZ1026" t="s">
        <v>264</v>
      </c>
      <c r="BA1026" t="s">
        <v>244</v>
      </c>
      <c r="BB1026" t="s">
        <v>244</v>
      </c>
      <c r="BC1026" t="s">
        <v>244</v>
      </c>
      <c r="BD1026" t="s">
        <v>3217</v>
      </c>
      <c r="BE1026" t="s">
        <v>3216</v>
      </c>
      <c r="BF1026" t="s">
        <v>86</v>
      </c>
      <c r="BG1026" t="s">
        <v>150</v>
      </c>
      <c r="BH1026" t="str">
        <f>IF(COUNTIF(工作表1!A:A, $C1026)&gt;0, "預購款", "非預購款")</f>
        <v>非預購款</v>
      </c>
    </row>
    <row r="1027" spans="1:60" x14ac:dyDescent="0.25">
      <c r="A1027" t="s">
        <v>3208</v>
      </c>
      <c r="B1027" t="s">
        <v>283</v>
      </c>
      <c r="C1027" t="s">
        <v>3209</v>
      </c>
      <c r="D1027" t="s">
        <v>3210</v>
      </c>
      <c r="E1027" t="s">
        <v>3211</v>
      </c>
      <c r="F1027" t="s">
        <v>176</v>
      </c>
      <c r="G1027" t="s">
        <v>3212</v>
      </c>
      <c r="H1027" t="s">
        <v>132</v>
      </c>
      <c r="I1027" t="s">
        <v>171</v>
      </c>
      <c r="J1027" t="s">
        <v>172</v>
      </c>
      <c r="K1027" t="s">
        <v>69</v>
      </c>
      <c r="L1027" t="s">
        <v>3213</v>
      </c>
      <c r="M1027" t="s">
        <v>71</v>
      </c>
      <c r="N1027" t="s">
        <v>198</v>
      </c>
      <c r="O1027" t="s">
        <v>3146</v>
      </c>
      <c r="P1027" t="s">
        <v>3147</v>
      </c>
      <c r="R1027" t="s">
        <v>3148</v>
      </c>
      <c r="S1027" t="s">
        <v>183</v>
      </c>
      <c r="T1027" t="s">
        <v>76</v>
      </c>
      <c r="U1027" t="s">
        <v>123</v>
      </c>
      <c r="V1027" t="s">
        <v>321</v>
      </c>
      <c r="W1027">
        <v>790</v>
      </c>
      <c r="X1027">
        <v>34.99</v>
      </c>
      <c r="Y1027">
        <v>99</v>
      </c>
      <c r="Z1027">
        <v>569000</v>
      </c>
      <c r="AA1027">
        <v>264650</v>
      </c>
      <c r="AB1027">
        <v>282</v>
      </c>
      <c r="AD1027" t="s">
        <v>238</v>
      </c>
      <c r="AE1027">
        <v>1</v>
      </c>
      <c r="AF1027">
        <v>0</v>
      </c>
      <c r="AI1027">
        <v>0</v>
      </c>
      <c r="AJ1027">
        <v>70</v>
      </c>
      <c r="AK1027">
        <v>70</v>
      </c>
      <c r="AL1027">
        <v>335</v>
      </c>
      <c r="AM1027">
        <v>76</v>
      </c>
      <c r="AN1027">
        <v>0</v>
      </c>
      <c r="AO1027">
        <v>76</v>
      </c>
      <c r="AP1027" t="s">
        <v>80</v>
      </c>
      <c r="AQ1027" t="s">
        <v>190</v>
      </c>
      <c r="AR1027" t="s">
        <v>86</v>
      </c>
      <c r="AS1027" t="s">
        <v>86</v>
      </c>
      <c r="AT1027" t="s">
        <v>86</v>
      </c>
      <c r="AU1027" t="s">
        <v>86</v>
      </c>
      <c r="AV1027" t="s">
        <v>3214</v>
      </c>
      <c r="AW1027" t="s">
        <v>69</v>
      </c>
      <c r="AX1027" t="s">
        <v>126</v>
      </c>
      <c r="AY1027" t="s">
        <v>3203</v>
      </c>
      <c r="AZ1027" t="s">
        <v>264</v>
      </c>
      <c r="BA1027" t="s">
        <v>244</v>
      </c>
      <c r="BB1027" t="s">
        <v>244</v>
      </c>
      <c r="BC1027" t="s">
        <v>244</v>
      </c>
      <c r="BD1027" t="s">
        <v>3218</v>
      </c>
      <c r="BE1027" t="s">
        <v>3216</v>
      </c>
      <c r="BF1027" t="s">
        <v>86</v>
      </c>
      <c r="BG1027" t="s">
        <v>150</v>
      </c>
      <c r="BH1027" t="str">
        <f>IF(COUNTIF(工作表1!A:A, $C1027)&gt;0, "預購款", "非預購款")</f>
        <v>非預購款</v>
      </c>
    </row>
    <row r="1028" spans="1:60" x14ac:dyDescent="0.25">
      <c r="A1028" t="s">
        <v>3219</v>
      </c>
      <c r="B1028" t="s">
        <v>301</v>
      </c>
      <c r="C1028" t="s">
        <v>3220</v>
      </c>
      <c r="D1028" t="s">
        <v>3221</v>
      </c>
      <c r="E1028" t="s">
        <v>3222</v>
      </c>
      <c r="F1028" t="s">
        <v>176</v>
      </c>
      <c r="G1028" t="s">
        <v>3223</v>
      </c>
      <c r="H1028" t="s">
        <v>119</v>
      </c>
      <c r="I1028" t="s">
        <v>97</v>
      </c>
      <c r="J1028" t="s">
        <v>98</v>
      </c>
      <c r="K1028" t="s">
        <v>69</v>
      </c>
      <c r="L1028" t="s">
        <v>3224</v>
      </c>
      <c r="M1028" t="s">
        <v>71</v>
      </c>
      <c r="N1028" t="s">
        <v>198</v>
      </c>
      <c r="O1028" t="s">
        <v>2893</v>
      </c>
      <c r="P1028" t="s">
        <v>2894</v>
      </c>
      <c r="R1028" t="s">
        <v>2518</v>
      </c>
      <c r="S1028" t="s">
        <v>183</v>
      </c>
      <c r="T1028" t="s">
        <v>76</v>
      </c>
      <c r="U1028" t="s">
        <v>150</v>
      </c>
      <c r="V1028" t="s">
        <v>3225</v>
      </c>
      <c r="W1028">
        <v>690</v>
      </c>
      <c r="X1028">
        <v>29.99</v>
      </c>
      <c r="Y1028">
        <v>89</v>
      </c>
      <c r="Z1028">
        <v>499000</v>
      </c>
      <c r="AA1028">
        <v>382950</v>
      </c>
      <c r="AB1028">
        <v>286</v>
      </c>
      <c r="AD1028" t="s">
        <v>238</v>
      </c>
      <c r="AE1028">
        <v>2</v>
      </c>
      <c r="AF1028">
        <v>0</v>
      </c>
      <c r="AI1028">
        <v>40</v>
      </c>
      <c r="AJ1028">
        <v>100</v>
      </c>
      <c r="AK1028">
        <v>140</v>
      </c>
      <c r="AL1028">
        <v>555</v>
      </c>
      <c r="AM1028">
        <v>149</v>
      </c>
      <c r="AN1028">
        <v>0</v>
      </c>
      <c r="AO1028">
        <v>149</v>
      </c>
      <c r="AP1028" t="s">
        <v>80</v>
      </c>
      <c r="AQ1028" t="s">
        <v>2257</v>
      </c>
      <c r="AR1028" t="s">
        <v>86</v>
      </c>
      <c r="AS1028" t="s">
        <v>86</v>
      </c>
      <c r="AT1028" t="s">
        <v>240</v>
      </c>
      <c r="AU1028" t="s">
        <v>240</v>
      </c>
      <c r="AV1028" t="s">
        <v>3226</v>
      </c>
      <c r="AW1028" t="s">
        <v>69</v>
      </c>
      <c r="AX1028" t="s">
        <v>126</v>
      </c>
      <c r="AY1028" t="s">
        <v>3227</v>
      </c>
      <c r="AZ1028" t="s">
        <v>310</v>
      </c>
      <c r="BA1028" t="s">
        <v>244</v>
      </c>
      <c r="BB1028" t="s">
        <v>244</v>
      </c>
      <c r="BC1028" t="s">
        <v>244</v>
      </c>
      <c r="BD1028" t="s">
        <v>3228</v>
      </c>
      <c r="BE1028" t="s">
        <v>3229</v>
      </c>
      <c r="BF1028" t="s">
        <v>86</v>
      </c>
      <c r="BG1028" t="s">
        <v>87</v>
      </c>
      <c r="BH1028" t="str">
        <f>IF(COUNTIF(工作表1!A:A, $C1028)&gt;0, "預購款", "非預購款")</f>
        <v>非預購款</v>
      </c>
    </row>
    <row r="1029" spans="1:60" x14ac:dyDescent="0.25">
      <c r="A1029" t="s">
        <v>3219</v>
      </c>
      <c r="B1029" t="s">
        <v>301</v>
      </c>
      <c r="C1029" t="s">
        <v>3220</v>
      </c>
      <c r="D1029" t="s">
        <v>3221</v>
      </c>
      <c r="E1029" t="s">
        <v>3222</v>
      </c>
      <c r="F1029" t="s">
        <v>176</v>
      </c>
      <c r="G1029" t="s">
        <v>3223</v>
      </c>
      <c r="H1029" t="s">
        <v>130</v>
      </c>
      <c r="I1029" t="s">
        <v>97</v>
      </c>
      <c r="J1029" t="s">
        <v>98</v>
      </c>
      <c r="K1029" t="s">
        <v>69</v>
      </c>
      <c r="L1029" t="s">
        <v>3224</v>
      </c>
      <c r="M1029" t="s">
        <v>71</v>
      </c>
      <c r="N1029" t="s">
        <v>198</v>
      </c>
      <c r="O1029" t="s">
        <v>2893</v>
      </c>
      <c r="P1029" t="s">
        <v>2894</v>
      </c>
      <c r="R1029" t="s">
        <v>2518</v>
      </c>
      <c r="S1029" t="s">
        <v>183</v>
      </c>
      <c r="T1029" t="s">
        <v>76</v>
      </c>
      <c r="U1029" t="s">
        <v>150</v>
      </c>
      <c r="V1029" t="s">
        <v>3225</v>
      </c>
      <c r="W1029">
        <v>690</v>
      </c>
      <c r="X1029">
        <v>29.99</v>
      </c>
      <c r="Y1029">
        <v>89</v>
      </c>
      <c r="Z1029">
        <v>499000</v>
      </c>
      <c r="AA1029">
        <v>382950</v>
      </c>
      <c r="AB1029">
        <v>286</v>
      </c>
      <c r="AD1029" t="s">
        <v>238</v>
      </c>
      <c r="AE1029">
        <v>2</v>
      </c>
      <c r="AF1029">
        <v>0</v>
      </c>
      <c r="AI1029">
        <v>20</v>
      </c>
      <c r="AJ1029">
        <v>140</v>
      </c>
      <c r="AK1029">
        <v>160</v>
      </c>
      <c r="AL1029">
        <v>555</v>
      </c>
      <c r="AM1029">
        <v>170</v>
      </c>
      <c r="AN1029">
        <v>0</v>
      </c>
      <c r="AO1029">
        <v>170</v>
      </c>
      <c r="AP1029" t="s">
        <v>80</v>
      </c>
      <c r="AQ1029" t="s">
        <v>2257</v>
      </c>
      <c r="AR1029" t="s">
        <v>86</v>
      </c>
      <c r="AS1029" t="s">
        <v>86</v>
      </c>
      <c r="AT1029" t="s">
        <v>240</v>
      </c>
      <c r="AU1029" t="s">
        <v>240</v>
      </c>
      <c r="AV1029" t="s">
        <v>3226</v>
      </c>
      <c r="AW1029" t="s">
        <v>69</v>
      </c>
      <c r="AX1029" t="s">
        <v>126</v>
      </c>
      <c r="AY1029" t="s">
        <v>3227</v>
      </c>
      <c r="AZ1029" t="s">
        <v>310</v>
      </c>
      <c r="BA1029" t="s">
        <v>244</v>
      </c>
      <c r="BB1029" t="s">
        <v>244</v>
      </c>
      <c r="BC1029" t="s">
        <v>244</v>
      </c>
      <c r="BD1029" t="s">
        <v>3230</v>
      </c>
      <c r="BE1029" t="s">
        <v>3229</v>
      </c>
      <c r="BF1029" t="s">
        <v>86</v>
      </c>
      <c r="BG1029" t="s">
        <v>87</v>
      </c>
      <c r="BH1029" t="str">
        <f>IF(COUNTIF(工作表1!A:A, $C1029)&gt;0, "預購款", "非預購款")</f>
        <v>非預購款</v>
      </c>
    </row>
    <row r="1030" spans="1:60" x14ac:dyDescent="0.25">
      <c r="A1030" t="s">
        <v>3219</v>
      </c>
      <c r="B1030" t="s">
        <v>301</v>
      </c>
      <c r="C1030" t="s">
        <v>3220</v>
      </c>
      <c r="D1030" t="s">
        <v>3221</v>
      </c>
      <c r="E1030" t="s">
        <v>3222</v>
      </c>
      <c r="F1030" t="s">
        <v>176</v>
      </c>
      <c r="G1030" t="s">
        <v>3223</v>
      </c>
      <c r="H1030" t="s">
        <v>119</v>
      </c>
      <c r="I1030" t="s">
        <v>134</v>
      </c>
      <c r="J1030" t="s">
        <v>135</v>
      </c>
      <c r="K1030" t="s">
        <v>69</v>
      </c>
      <c r="L1030" t="s">
        <v>3224</v>
      </c>
      <c r="M1030" t="s">
        <v>71</v>
      </c>
      <c r="N1030" t="s">
        <v>198</v>
      </c>
      <c r="O1030" t="s">
        <v>2893</v>
      </c>
      <c r="P1030" t="s">
        <v>2894</v>
      </c>
      <c r="R1030" t="s">
        <v>2518</v>
      </c>
      <c r="S1030" t="s">
        <v>183</v>
      </c>
      <c r="T1030" t="s">
        <v>76</v>
      </c>
      <c r="U1030" t="s">
        <v>150</v>
      </c>
      <c r="V1030" t="s">
        <v>3225</v>
      </c>
      <c r="W1030">
        <v>690</v>
      </c>
      <c r="X1030">
        <v>29.99</v>
      </c>
      <c r="Y1030">
        <v>89</v>
      </c>
      <c r="Z1030">
        <v>499000</v>
      </c>
      <c r="AA1030">
        <v>382950</v>
      </c>
      <c r="AB1030">
        <v>286</v>
      </c>
      <c r="AD1030" t="s">
        <v>238</v>
      </c>
      <c r="AE1030">
        <v>2</v>
      </c>
      <c r="AF1030">
        <v>0</v>
      </c>
      <c r="AI1030">
        <v>0</v>
      </c>
      <c r="AJ1030">
        <v>100</v>
      </c>
      <c r="AK1030">
        <v>100</v>
      </c>
      <c r="AL1030">
        <v>555</v>
      </c>
      <c r="AM1030">
        <v>109</v>
      </c>
      <c r="AN1030">
        <v>0</v>
      </c>
      <c r="AO1030">
        <v>109</v>
      </c>
      <c r="AP1030" t="s">
        <v>80</v>
      </c>
      <c r="AQ1030" t="s">
        <v>2257</v>
      </c>
      <c r="AR1030" t="s">
        <v>86</v>
      </c>
      <c r="AS1030" t="s">
        <v>86</v>
      </c>
      <c r="AT1030" t="s">
        <v>240</v>
      </c>
      <c r="AU1030" t="s">
        <v>240</v>
      </c>
      <c r="AV1030" t="s">
        <v>3226</v>
      </c>
      <c r="AW1030" t="s">
        <v>69</v>
      </c>
      <c r="AX1030" t="s">
        <v>126</v>
      </c>
      <c r="AY1030" t="s">
        <v>3227</v>
      </c>
      <c r="AZ1030" t="s">
        <v>310</v>
      </c>
      <c r="BA1030" t="s">
        <v>244</v>
      </c>
      <c r="BB1030" t="s">
        <v>244</v>
      </c>
      <c r="BC1030" t="s">
        <v>244</v>
      </c>
      <c r="BD1030" t="s">
        <v>3231</v>
      </c>
      <c r="BE1030" t="s">
        <v>3229</v>
      </c>
      <c r="BF1030" t="s">
        <v>86</v>
      </c>
      <c r="BG1030" t="s">
        <v>87</v>
      </c>
      <c r="BH1030" t="str">
        <f>IF(COUNTIF(工作表1!A:A, $C1030)&gt;0, "預購款", "非預購款")</f>
        <v>非預購款</v>
      </c>
    </row>
    <row r="1031" spans="1:60" x14ac:dyDescent="0.25">
      <c r="A1031" t="s">
        <v>3219</v>
      </c>
      <c r="B1031" t="s">
        <v>301</v>
      </c>
      <c r="C1031" t="s">
        <v>3220</v>
      </c>
      <c r="D1031" t="s">
        <v>3221</v>
      </c>
      <c r="E1031" t="s">
        <v>3222</v>
      </c>
      <c r="F1031" t="s">
        <v>176</v>
      </c>
      <c r="G1031" t="s">
        <v>3223</v>
      </c>
      <c r="H1031" t="s">
        <v>130</v>
      </c>
      <c r="I1031" t="s">
        <v>134</v>
      </c>
      <c r="J1031" t="s">
        <v>135</v>
      </c>
      <c r="K1031" t="s">
        <v>69</v>
      </c>
      <c r="L1031" t="s">
        <v>3224</v>
      </c>
      <c r="M1031" t="s">
        <v>71</v>
      </c>
      <c r="N1031" t="s">
        <v>198</v>
      </c>
      <c r="O1031" t="s">
        <v>2893</v>
      </c>
      <c r="P1031" t="s">
        <v>2894</v>
      </c>
      <c r="R1031" t="s">
        <v>2518</v>
      </c>
      <c r="S1031" t="s">
        <v>183</v>
      </c>
      <c r="T1031" t="s">
        <v>76</v>
      </c>
      <c r="U1031" t="s">
        <v>150</v>
      </c>
      <c r="V1031" t="s">
        <v>3225</v>
      </c>
      <c r="W1031">
        <v>690</v>
      </c>
      <c r="X1031">
        <v>29.99</v>
      </c>
      <c r="Y1031">
        <v>89</v>
      </c>
      <c r="Z1031">
        <v>499000</v>
      </c>
      <c r="AA1031">
        <v>382950</v>
      </c>
      <c r="AB1031">
        <v>286</v>
      </c>
      <c r="AD1031" t="s">
        <v>238</v>
      </c>
      <c r="AE1031">
        <v>2</v>
      </c>
      <c r="AF1031">
        <v>0</v>
      </c>
      <c r="AI1031">
        <v>15</v>
      </c>
      <c r="AJ1031">
        <v>140</v>
      </c>
      <c r="AK1031">
        <v>155</v>
      </c>
      <c r="AL1031">
        <v>555</v>
      </c>
      <c r="AM1031">
        <v>168</v>
      </c>
      <c r="AN1031">
        <v>0</v>
      </c>
      <c r="AO1031">
        <v>168</v>
      </c>
      <c r="AP1031" t="s">
        <v>80</v>
      </c>
      <c r="AQ1031" t="s">
        <v>2257</v>
      </c>
      <c r="AR1031" t="s">
        <v>86</v>
      </c>
      <c r="AS1031" t="s">
        <v>86</v>
      </c>
      <c r="AT1031" t="s">
        <v>240</v>
      </c>
      <c r="AU1031" t="s">
        <v>240</v>
      </c>
      <c r="AV1031" t="s">
        <v>3226</v>
      </c>
      <c r="AW1031" t="s">
        <v>69</v>
      </c>
      <c r="AX1031" t="s">
        <v>126</v>
      </c>
      <c r="AY1031" t="s">
        <v>3227</v>
      </c>
      <c r="AZ1031" t="s">
        <v>310</v>
      </c>
      <c r="BA1031" t="s">
        <v>244</v>
      </c>
      <c r="BB1031" t="s">
        <v>244</v>
      </c>
      <c r="BC1031" t="s">
        <v>244</v>
      </c>
      <c r="BD1031" t="s">
        <v>3232</v>
      </c>
      <c r="BE1031" t="s">
        <v>3229</v>
      </c>
      <c r="BF1031" t="s">
        <v>86</v>
      </c>
      <c r="BG1031" t="s">
        <v>87</v>
      </c>
      <c r="BH1031" t="str">
        <f>IF(COUNTIF(工作表1!A:A, $C1031)&gt;0, "預購款", "非預購款")</f>
        <v>非預購款</v>
      </c>
    </row>
    <row r="1032" spans="1:60" x14ac:dyDescent="0.25">
      <c r="A1032" t="s">
        <v>2928</v>
      </c>
      <c r="B1032" t="s">
        <v>776</v>
      </c>
      <c r="C1032" t="s">
        <v>2929</v>
      </c>
      <c r="D1032" t="s">
        <v>2930</v>
      </c>
      <c r="E1032" t="s">
        <v>2931</v>
      </c>
      <c r="F1032" t="s">
        <v>176</v>
      </c>
      <c r="G1032" t="s">
        <v>2932</v>
      </c>
      <c r="H1032" t="s">
        <v>119</v>
      </c>
      <c r="I1032" t="s">
        <v>97</v>
      </c>
      <c r="J1032" t="s">
        <v>98</v>
      </c>
      <c r="K1032" t="s">
        <v>69</v>
      </c>
      <c r="L1032" t="s">
        <v>2933</v>
      </c>
      <c r="M1032" t="s">
        <v>71</v>
      </c>
      <c r="N1032" t="s">
        <v>198</v>
      </c>
      <c r="O1032" t="s">
        <v>2893</v>
      </c>
      <c r="P1032" t="s">
        <v>2894</v>
      </c>
      <c r="R1032" t="s">
        <v>2518</v>
      </c>
      <c r="S1032" t="s">
        <v>183</v>
      </c>
      <c r="T1032" t="s">
        <v>76</v>
      </c>
      <c r="U1032" t="s">
        <v>104</v>
      </c>
      <c r="V1032" t="s">
        <v>965</v>
      </c>
      <c r="W1032">
        <v>790</v>
      </c>
      <c r="X1032">
        <v>34.99</v>
      </c>
      <c r="Y1032">
        <v>99</v>
      </c>
      <c r="Z1032">
        <v>569000</v>
      </c>
      <c r="AA1032">
        <v>395000</v>
      </c>
      <c r="AB1032">
        <v>188</v>
      </c>
      <c r="AD1032" t="s">
        <v>238</v>
      </c>
      <c r="AE1032">
        <v>2</v>
      </c>
      <c r="AF1032">
        <v>20</v>
      </c>
      <c r="AI1032">
        <v>70</v>
      </c>
      <c r="AJ1032">
        <v>50</v>
      </c>
      <c r="AK1032">
        <v>140</v>
      </c>
      <c r="AL1032">
        <v>500</v>
      </c>
      <c r="AM1032">
        <v>140</v>
      </c>
      <c r="AN1032">
        <v>0</v>
      </c>
      <c r="AO1032">
        <v>140</v>
      </c>
      <c r="AP1032" t="s">
        <v>80</v>
      </c>
      <c r="AQ1032" t="s">
        <v>190</v>
      </c>
      <c r="AR1032" t="s">
        <v>261</v>
      </c>
      <c r="AS1032" t="s">
        <v>261</v>
      </c>
      <c r="AT1032" t="s">
        <v>261</v>
      </c>
      <c r="AU1032" t="s">
        <v>261</v>
      </c>
      <c r="AV1032" t="s">
        <v>2934</v>
      </c>
      <c r="AW1032" t="s">
        <v>69</v>
      </c>
      <c r="AX1032" t="s">
        <v>218</v>
      </c>
      <c r="AY1032" t="s">
        <v>2935</v>
      </c>
      <c r="AZ1032" t="s">
        <v>244</v>
      </c>
      <c r="BA1032" t="s">
        <v>244</v>
      </c>
      <c r="BB1032" t="s">
        <v>244</v>
      </c>
      <c r="BC1032" t="s">
        <v>244</v>
      </c>
      <c r="BD1032" t="s">
        <v>3242</v>
      </c>
      <c r="BE1032" t="s">
        <v>3243</v>
      </c>
      <c r="BF1032" t="s">
        <v>786</v>
      </c>
      <c r="BG1032" t="s">
        <v>110</v>
      </c>
      <c r="BH1032" t="str">
        <f>IF(COUNTIF(工作表1!A:A, $C1032)&gt;0, "預購款", "非預購款")</f>
        <v>非預購款</v>
      </c>
    </row>
    <row r="1033" spans="1:60" x14ac:dyDescent="0.25">
      <c r="A1033" t="s">
        <v>2928</v>
      </c>
      <c r="B1033" t="s">
        <v>776</v>
      </c>
      <c r="C1033" t="s">
        <v>2929</v>
      </c>
      <c r="D1033" t="s">
        <v>2930</v>
      </c>
      <c r="E1033" t="s">
        <v>2931</v>
      </c>
      <c r="F1033" t="s">
        <v>176</v>
      </c>
      <c r="G1033" t="s">
        <v>2932</v>
      </c>
      <c r="H1033" t="s">
        <v>130</v>
      </c>
      <c r="I1033" t="s">
        <v>97</v>
      </c>
      <c r="J1033" t="s">
        <v>98</v>
      </c>
      <c r="K1033" t="s">
        <v>69</v>
      </c>
      <c r="L1033" t="s">
        <v>2933</v>
      </c>
      <c r="M1033" t="s">
        <v>71</v>
      </c>
      <c r="N1033" t="s">
        <v>198</v>
      </c>
      <c r="O1033" t="s">
        <v>2893</v>
      </c>
      <c r="P1033" t="s">
        <v>2894</v>
      </c>
      <c r="R1033" t="s">
        <v>2518</v>
      </c>
      <c r="S1033" t="s">
        <v>183</v>
      </c>
      <c r="T1033" t="s">
        <v>76</v>
      </c>
      <c r="U1033" t="s">
        <v>104</v>
      </c>
      <c r="V1033" t="s">
        <v>965</v>
      </c>
      <c r="W1033">
        <v>790</v>
      </c>
      <c r="X1033">
        <v>34.99</v>
      </c>
      <c r="Y1033">
        <v>99</v>
      </c>
      <c r="Z1033">
        <v>569000</v>
      </c>
      <c r="AA1033">
        <v>395000</v>
      </c>
      <c r="AB1033">
        <v>188</v>
      </c>
      <c r="AD1033" t="s">
        <v>238</v>
      </c>
      <c r="AE1033">
        <v>2</v>
      </c>
      <c r="AF1033">
        <v>10</v>
      </c>
      <c r="AI1033">
        <v>40</v>
      </c>
      <c r="AJ1033">
        <v>30</v>
      </c>
      <c r="AK1033">
        <v>80</v>
      </c>
      <c r="AL1033">
        <v>500</v>
      </c>
      <c r="AM1033">
        <v>89</v>
      </c>
      <c r="AN1033">
        <v>0</v>
      </c>
      <c r="AO1033">
        <v>89</v>
      </c>
      <c r="AP1033" t="s">
        <v>80</v>
      </c>
      <c r="AQ1033" t="s">
        <v>190</v>
      </c>
      <c r="AR1033" t="s">
        <v>261</v>
      </c>
      <c r="AS1033" t="s">
        <v>261</v>
      </c>
      <c r="AT1033" t="s">
        <v>261</v>
      </c>
      <c r="AU1033" t="s">
        <v>261</v>
      </c>
      <c r="AV1033" t="s">
        <v>2934</v>
      </c>
      <c r="AW1033" t="s">
        <v>69</v>
      </c>
      <c r="AX1033" t="s">
        <v>218</v>
      </c>
      <c r="AY1033" t="s">
        <v>2935</v>
      </c>
      <c r="AZ1033" t="s">
        <v>244</v>
      </c>
      <c r="BA1033" t="s">
        <v>244</v>
      </c>
      <c r="BB1033" t="s">
        <v>244</v>
      </c>
      <c r="BC1033" t="s">
        <v>244</v>
      </c>
      <c r="BD1033" t="s">
        <v>3244</v>
      </c>
      <c r="BE1033" t="s">
        <v>3243</v>
      </c>
      <c r="BF1033" t="s">
        <v>786</v>
      </c>
      <c r="BG1033" t="s">
        <v>110</v>
      </c>
      <c r="BH1033" t="str">
        <f>IF(COUNTIF(工作表1!A:A, $C1033)&gt;0, "預購款", "非預購款")</f>
        <v>非預購款</v>
      </c>
    </row>
    <row r="1034" spans="1:60" x14ac:dyDescent="0.25">
      <c r="A1034" t="s">
        <v>2928</v>
      </c>
      <c r="B1034" t="s">
        <v>776</v>
      </c>
      <c r="C1034" t="s">
        <v>2929</v>
      </c>
      <c r="D1034" t="s">
        <v>2930</v>
      </c>
      <c r="E1034" t="s">
        <v>2931</v>
      </c>
      <c r="F1034" t="s">
        <v>176</v>
      </c>
      <c r="G1034" t="s">
        <v>2932</v>
      </c>
      <c r="H1034" t="s">
        <v>132</v>
      </c>
      <c r="I1034" t="s">
        <v>97</v>
      </c>
      <c r="J1034" t="s">
        <v>98</v>
      </c>
      <c r="K1034" t="s">
        <v>69</v>
      </c>
      <c r="L1034" t="s">
        <v>2933</v>
      </c>
      <c r="M1034" t="s">
        <v>71</v>
      </c>
      <c r="N1034" t="s">
        <v>198</v>
      </c>
      <c r="O1034" t="s">
        <v>2893</v>
      </c>
      <c r="P1034" t="s">
        <v>2894</v>
      </c>
      <c r="R1034" t="s">
        <v>2518</v>
      </c>
      <c r="S1034" t="s">
        <v>183</v>
      </c>
      <c r="T1034" t="s">
        <v>76</v>
      </c>
      <c r="U1034" t="s">
        <v>104</v>
      </c>
      <c r="V1034" t="s">
        <v>965</v>
      </c>
      <c r="W1034">
        <v>790</v>
      </c>
      <c r="X1034">
        <v>34.99</v>
      </c>
      <c r="Y1034">
        <v>99</v>
      </c>
      <c r="Z1034">
        <v>569000</v>
      </c>
      <c r="AA1034">
        <v>395000</v>
      </c>
      <c r="AB1034">
        <v>188</v>
      </c>
      <c r="AD1034" t="s">
        <v>238</v>
      </c>
      <c r="AE1034">
        <v>2</v>
      </c>
      <c r="AF1034">
        <v>0</v>
      </c>
      <c r="AI1034">
        <v>20</v>
      </c>
      <c r="AJ1034">
        <v>10</v>
      </c>
      <c r="AK1034">
        <v>30</v>
      </c>
      <c r="AL1034">
        <v>500</v>
      </c>
      <c r="AM1034">
        <v>39</v>
      </c>
      <c r="AN1034">
        <v>0</v>
      </c>
      <c r="AO1034">
        <v>39</v>
      </c>
      <c r="AP1034" t="s">
        <v>80</v>
      </c>
      <c r="AQ1034" t="s">
        <v>190</v>
      </c>
      <c r="AR1034" t="s">
        <v>261</v>
      </c>
      <c r="AS1034" t="s">
        <v>261</v>
      </c>
      <c r="AT1034" t="s">
        <v>261</v>
      </c>
      <c r="AU1034" t="s">
        <v>261</v>
      </c>
      <c r="AV1034" t="s">
        <v>2934</v>
      </c>
      <c r="AW1034" t="s">
        <v>69</v>
      </c>
      <c r="AX1034" t="s">
        <v>218</v>
      </c>
      <c r="AY1034" t="s">
        <v>2935</v>
      </c>
      <c r="AZ1034" t="s">
        <v>244</v>
      </c>
      <c r="BA1034" t="s">
        <v>244</v>
      </c>
      <c r="BB1034" t="s">
        <v>244</v>
      </c>
      <c r="BC1034" t="s">
        <v>244</v>
      </c>
      <c r="BD1034" t="s">
        <v>3245</v>
      </c>
      <c r="BE1034" t="s">
        <v>3243</v>
      </c>
      <c r="BF1034" t="s">
        <v>786</v>
      </c>
      <c r="BG1034" t="s">
        <v>110</v>
      </c>
      <c r="BH1034" t="str">
        <f>IF(COUNTIF(工作表1!A:A, $C1034)&gt;0, "預購款", "非預購款")</f>
        <v>非預購款</v>
      </c>
    </row>
    <row r="1035" spans="1:60" x14ac:dyDescent="0.25">
      <c r="A1035" t="s">
        <v>2928</v>
      </c>
      <c r="B1035" t="s">
        <v>776</v>
      </c>
      <c r="C1035" t="s">
        <v>2929</v>
      </c>
      <c r="D1035" t="s">
        <v>2930</v>
      </c>
      <c r="E1035" t="s">
        <v>2931</v>
      </c>
      <c r="F1035" t="s">
        <v>176</v>
      </c>
      <c r="G1035" t="s">
        <v>2932</v>
      </c>
      <c r="H1035" t="s">
        <v>119</v>
      </c>
      <c r="I1035" t="s">
        <v>171</v>
      </c>
      <c r="J1035" t="s">
        <v>172</v>
      </c>
      <c r="K1035" t="s">
        <v>69</v>
      </c>
      <c r="L1035" t="s">
        <v>2933</v>
      </c>
      <c r="M1035" t="s">
        <v>71</v>
      </c>
      <c r="N1035" t="s">
        <v>198</v>
      </c>
      <c r="O1035" t="s">
        <v>2893</v>
      </c>
      <c r="P1035" t="s">
        <v>2894</v>
      </c>
      <c r="R1035" t="s">
        <v>2518</v>
      </c>
      <c r="S1035" t="s">
        <v>183</v>
      </c>
      <c r="T1035" t="s">
        <v>76</v>
      </c>
      <c r="U1035" t="s">
        <v>104</v>
      </c>
      <c r="V1035" t="s">
        <v>965</v>
      </c>
      <c r="W1035">
        <v>790</v>
      </c>
      <c r="X1035">
        <v>34.99</v>
      </c>
      <c r="Y1035">
        <v>99</v>
      </c>
      <c r="Z1035">
        <v>569000</v>
      </c>
      <c r="AA1035">
        <v>395000</v>
      </c>
      <c r="AB1035">
        <v>188</v>
      </c>
      <c r="AD1035" t="s">
        <v>238</v>
      </c>
      <c r="AE1035">
        <v>2</v>
      </c>
      <c r="AF1035">
        <v>0</v>
      </c>
      <c r="AI1035">
        <v>60</v>
      </c>
      <c r="AJ1035">
        <v>40</v>
      </c>
      <c r="AK1035">
        <v>100</v>
      </c>
      <c r="AL1035">
        <v>500</v>
      </c>
      <c r="AM1035">
        <v>102</v>
      </c>
      <c r="AN1035">
        <v>0</v>
      </c>
      <c r="AO1035">
        <v>102</v>
      </c>
      <c r="AP1035" t="s">
        <v>80</v>
      </c>
      <c r="AQ1035" t="s">
        <v>190</v>
      </c>
      <c r="AR1035" t="s">
        <v>261</v>
      </c>
      <c r="AS1035" t="s">
        <v>261</v>
      </c>
      <c r="AT1035" t="s">
        <v>261</v>
      </c>
      <c r="AU1035" t="s">
        <v>261</v>
      </c>
      <c r="AV1035" t="s">
        <v>2934</v>
      </c>
      <c r="AW1035" t="s">
        <v>69</v>
      </c>
      <c r="AX1035" t="s">
        <v>218</v>
      </c>
      <c r="AY1035" t="s">
        <v>2935</v>
      </c>
      <c r="AZ1035" t="s">
        <v>244</v>
      </c>
      <c r="BA1035" t="s">
        <v>244</v>
      </c>
      <c r="BB1035" t="s">
        <v>244</v>
      </c>
      <c r="BC1035" t="s">
        <v>244</v>
      </c>
      <c r="BD1035" t="s">
        <v>2936</v>
      </c>
      <c r="BE1035" t="s">
        <v>3243</v>
      </c>
      <c r="BF1035" t="s">
        <v>786</v>
      </c>
      <c r="BG1035" t="s">
        <v>110</v>
      </c>
      <c r="BH1035" t="str">
        <f>IF(COUNTIF(工作表1!A:A, $C1035)&gt;0, "預購款", "非預購款")</f>
        <v>非預購款</v>
      </c>
    </row>
    <row r="1036" spans="1:60" x14ac:dyDescent="0.25">
      <c r="A1036" t="s">
        <v>2928</v>
      </c>
      <c r="B1036" t="s">
        <v>776</v>
      </c>
      <c r="C1036" t="s">
        <v>2929</v>
      </c>
      <c r="D1036" t="s">
        <v>2930</v>
      </c>
      <c r="E1036" t="s">
        <v>2931</v>
      </c>
      <c r="F1036" t="s">
        <v>176</v>
      </c>
      <c r="G1036" t="s">
        <v>2932</v>
      </c>
      <c r="H1036" t="s">
        <v>130</v>
      </c>
      <c r="I1036" t="s">
        <v>171</v>
      </c>
      <c r="J1036" t="s">
        <v>172</v>
      </c>
      <c r="K1036" t="s">
        <v>69</v>
      </c>
      <c r="L1036" t="s">
        <v>2933</v>
      </c>
      <c r="M1036" t="s">
        <v>71</v>
      </c>
      <c r="N1036" t="s">
        <v>198</v>
      </c>
      <c r="O1036" t="s">
        <v>2893</v>
      </c>
      <c r="P1036" t="s">
        <v>2894</v>
      </c>
      <c r="R1036" t="s">
        <v>2518</v>
      </c>
      <c r="S1036" t="s">
        <v>183</v>
      </c>
      <c r="T1036" t="s">
        <v>76</v>
      </c>
      <c r="U1036" t="s">
        <v>104</v>
      </c>
      <c r="V1036" t="s">
        <v>965</v>
      </c>
      <c r="W1036">
        <v>790</v>
      </c>
      <c r="X1036">
        <v>34.99</v>
      </c>
      <c r="Y1036">
        <v>99</v>
      </c>
      <c r="Z1036">
        <v>569000</v>
      </c>
      <c r="AA1036">
        <v>395000</v>
      </c>
      <c r="AB1036">
        <v>188</v>
      </c>
      <c r="AD1036" t="s">
        <v>238</v>
      </c>
      <c r="AE1036">
        <v>2</v>
      </c>
      <c r="AF1036">
        <v>0</v>
      </c>
      <c r="AI1036">
        <v>50</v>
      </c>
      <c r="AJ1036">
        <v>50</v>
      </c>
      <c r="AK1036">
        <v>100</v>
      </c>
      <c r="AL1036">
        <v>500</v>
      </c>
      <c r="AM1036">
        <v>102</v>
      </c>
      <c r="AN1036">
        <v>0</v>
      </c>
      <c r="AO1036">
        <v>102</v>
      </c>
      <c r="AP1036" t="s">
        <v>80</v>
      </c>
      <c r="AQ1036" t="s">
        <v>190</v>
      </c>
      <c r="AR1036" t="s">
        <v>261</v>
      </c>
      <c r="AS1036" t="s">
        <v>261</v>
      </c>
      <c r="AT1036" t="s">
        <v>261</v>
      </c>
      <c r="AU1036" t="s">
        <v>261</v>
      </c>
      <c r="AV1036" t="s">
        <v>2934</v>
      </c>
      <c r="AW1036" t="s">
        <v>69</v>
      </c>
      <c r="AX1036" t="s">
        <v>218</v>
      </c>
      <c r="AY1036" t="s">
        <v>2935</v>
      </c>
      <c r="AZ1036" t="s">
        <v>244</v>
      </c>
      <c r="BA1036" t="s">
        <v>244</v>
      </c>
      <c r="BB1036" t="s">
        <v>244</v>
      </c>
      <c r="BC1036" t="s">
        <v>244</v>
      </c>
      <c r="BD1036" t="s">
        <v>2938</v>
      </c>
      <c r="BE1036" t="s">
        <v>3243</v>
      </c>
      <c r="BF1036" t="s">
        <v>786</v>
      </c>
      <c r="BG1036" t="s">
        <v>110</v>
      </c>
      <c r="BH1036" t="str">
        <f>IF(COUNTIF(工作表1!A:A, $C1036)&gt;0, "預購款", "非預購款")</f>
        <v>非預購款</v>
      </c>
    </row>
    <row r="1037" spans="1:60" x14ac:dyDescent="0.25">
      <c r="A1037" t="s">
        <v>2928</v>
      </c>
      <c r="B1037" t="s">
        <v>776</v>
      </c>
      <c r="C1037" t="s">
        <v>2929</v>
      </c>
      <c r="D1037" t="s">
        <v>2930</v>
      </c>
      <c r="E1037" t="s">
        <v>2931</v>
      </c>
      <c r="F1037" t="s">
        <v>176</v>
      </c>
      <c r="G1037" t="s">
        <v>2932</v>
      </c>
      <c r="H1037" t="s">
        <v>132</v>
      </c>
      <c r="I1037" t="s">
        <v>171</v>
      </c>
      <c r="J1037" t="s">
        <v>172</v>
      </c>
      <c r="K1037" t="s">
        <v>69</v>
      </c>
      <c r="L1037" t="s">
        <v>2933</v>
      </c>
      <c r="M1037" t="s">
        <v>71</v>
      </c>
      <c r="N1037" t="s">
        <v>198</v>
      </c>
      <c r="O1037" t="s">
        <v>2893</v>
      </c>
      <c r="P1037" t="s">
        <v>2894</v>
      </c>
      <c r="R1037" t="s">
        <v>2518</v>
      </c>
      <c r="S1037" t="s">
        <v>183</v>
      </c>
      <c r="T1037" t="s">
        <v>76</v>
      </c>
      <c r="U1037" t="s">
        <v>104</v>
      </c>
      <c r="V1037" t="s">
        <v>965</v>
      </c>
      <c r="W1037">
        <v>790</v>
      </c>
      <c r="X1037">
        <v>34.99</v>
      </c>
      <c r="Y1037">
        <v>99</v>
      </c>
      <c r="Z1037">
        <v>569000</v>
      </c>
      <c r="AA1037">
        <v>395000</v>
      </c>
      <c r="AB1037">
        <v>188</v>
      </c>
      <c r="AD1037" t="s">
        <v>238</v>
      </c>
      <c r="AE1037">
        <v>2</v>
      </c>
      <c r="AF1037">
        <v>0</v>
      </c>
      <c r="AI1037">
        <v>20</v>
      </c>
      <c r="AJ1037">
        <v>30</v>
      </c>
      <c r="AK1037">
        <v>50</v>
      </c>
      <c r="AL1037">
        <v>500</v>
      </c>
      <c r="AM1037">
        <v>52</v>
      </c>
      <c r="AN1037">
        <v>0</v>
      </c>
      <c r="AO1037">
        <v>52</v>
      </c>
      <c r="AP1037" t="s">
        <v>80</v>
      </c>
      <c r="AQ1037" t="s">
        <v>190</v>
      </c>
      <c r="AR1037" t="s">
        <v>261</v>
      </c>
      <c r="AS1037" t="s">
        <v>261</v>
      </c>
      <c r="AT1037" t="s">
        <v>261</v>
      </c>
      <c r="AU1037" t="s">
        <v>261</v>
      </c>
      <c r="AV1037" t="s">
        <v>2934</v>
      </c>
      <c r="AW1037" t="s">
        <v>69</v>
      </c>
      <c r="AX1037" t="s">
        <v>218</v>
      </c>
      <c r="AY1037" t="s">
        <v>2935</v>
      </c>
      <c r="AZ1037" t="s">
        <v>244</v>
      </c>
      <c r="BA1037" t="s">
        <v>244</v>
      </c>
      <c r="BB1037" t="s">
        <v>244</v>
      </c>
      <c r="BC1037" t="s">
        <v>244</v>
      </c>
      <c r="BD1037" t="s">
        <v>2939</v>
      </c>
      <c r="BE1037" t="s">
        <v>3243</v>
      </c>
      <c r="BF1037" t="s">
        <v>786</v>
      </c>
      <c r="BG1037" t="s">
        <v>110</v>
      </c>
      <c r="BH1037" t="str">
        <f>IF(COUNTIF(工作表1!A:A, $C1037)&gt;0, "預購款", "非預購款")</f>
        <v>非預購款</v>
      </c>
    </row>
    <row r="1038" spans="1:60" x14ac:dyDescent="0.25">
      <c r="A1038" t="s">
        <v>3246</v>
      </c>
      <c r="B1038" t="s">
        <v>776</v>
      </c>
      <c r="C1038" t="s">
        <v>3247</v>
      </c>
      <c r="D1038" t="s">
        <v>3248</v>
      </c>
      <c r="E1038" t="s">
        <v>3249</v>
      </c>
      <c r="F1038" t="s">
        <v>176</v>
      </c>
      <c r="G1038" t="s">
        <v>3250</v>
      </c>
      <c r="H1038" t="s">
        <v>119</v>
      </c>
      <c r="I1038" t="s">
        <v>97</v>
      </c>
      <c r="J1038" t="s">
        <v>98</v>
      </c>
      <c r="K1038" t="s">
        <v>69</v>
      </c>
      <c r="L1038" t="s">
        <v>3251</v>
      </c>
      <c r="M1038" t="s">
        <v>71</v>
      </c>
      <c r="N1038" t="s">
        <v>198</v>
      </c>
      <c r="O1038" t="s">
        <v>2893</v>
      </c>
      <c r="P1038" t="s">
        <v>2894</v>
      </c>
      <c r="R1038" t="s">
        <v>2518</v>
      </c>
      <c r="S1038" t="s">
        <v>183</v>
      </c>
      <c r="T1038" t="s">
        <v>76</v>
      </c>
      <c r="U1038" t="s">
        <v>146</v>
      </c>
      <c r="V1038" t="s">
        <v>321</v>
      </c>
      <c r="W1038">
        <v>790</v>
      </c>
      <c r="X1038">
        <v>34.99</v>
      </c>
      <c r="Y1038">
        <v>99</v>
      </c>
      <c r="Z1038">
        <v>569000</v>
      </c>
      <c r="AA1038">
        <v>227520</v>
      </c>
      <c r="AB1038">
        <v>260</v>
      </c>
      <c r="AD1038" t="s">
        <v>238</v>
      </c>
      <c r="AE1038">
        <v>1</v>
      </c>
      <c r="AF1038">
        <v>10</v>
      </c>
      <c r="AI1038">
        <v>20</v>
      </c>
      <c r="AJ1038">
        <v>130</v>
      </c>
      <c r="AK1038">
        <v>160</v>
      </c>
      <c r="AL1038">
        <v>288</v>
      </c>
      <c r="AM1038">
        <v>168</v>
      </c>
      <c r="AN1038">
        <v>0</v>
      </c>
      <c r="AO1038">
        <v>168</v>
      </c>
      <c r="AP1038" t="s">
        <v>80</v>
      </c>
      <c r="AQ1038" t="s">
        <v>2257</v>
      </c>
      <c r="AR1038" t="s">
        <v>86</v>
      </c>
      <c r="AS1038" t="s">
        <v>86</v>
      </c>
      <c r="AT1038" t="s">
        <v>86</v>
      </c>
      <c r="AU1038" t="s">
        <v>86</v>
      </c>
      <c r="AV1038" t="s">
        <v>432</v>
      </c>
      <c r="AW1038" t="s">
        <v>69</v>
      </c>
      <c r="AX1038" t="s">
        <v>126</v>
      </c>
      <c r="AY1038" t="s">
        <v>3252</v>
      </c>
      <c r="AZ1038" t="s">
        <v>244</v>
      </c>
      <c r="BA1038" t="s">
        <v>245</v>
      </c>
      <c r="BB1038" t="s">
        <v>244</v>
      </c>
      <c r="BC1038" t="s">
        <v>244</v>
      </c>
      <c r="BD1038" t="s">
        <v>3253</v>
      </c>
      <c r="BE1038" t="s">
        <v>3254</v>
      </c>
      <c r="BF1038" t="s">
        <v>86</v>
      </c>
      <c r="BG1038" t="s">
        <v>110</v>
      </c>
      <c r="BH1038" t="str">
        <f>IF(COUNTIF(工作表1!A:A, $C1038)&gt;0, "預購款", "非預購款")</f>
        <v>非預購款</v>
      </c>
    </row>
    <row r="1039" spans="1:60" x14ac:dyDescent="0.25">
      <c r="A1039" t="s">
        <v>3246</v>
      </c>
      <c r="B1039" t="s">
        <v>776</v>
      </c>
      <c r="C1039" t="s">
        <v>3247</v>
      </c>
      <c r="D1039" t="s">
        <v>3248</v>
      </c>
      <c r="E1039" t="s">
        <v>3249</v>
      </c>
      <c r="F1039" t="s">
        <v>176</v>
      </c>
      <c r="G1039" t="s">
        <v>3250</v>
      </c>
      <c r="H1039" t="s">
        <v>130</v>
      </c>
      <c r="I1039" t="s">
        <v>97</v>
      </c>
      <c r="J1039" t="s">
        <v>98</v>
      </c>
      <c r="K1039" t="s">
        <v>69</v>
      </c>
      <c r="L1039" t="s">
        <v>3251</v>
      </c>
      <c r="M1039" t="s">
        <v>71</v>
      </c>
      <c r="N1039" t="s">
        <v>198</v>
      </c>
      <c r="O1039" t="s">
        <v>2893</v>
      </c>
      <c r="P1039" t="s">
        <v>2894</v>
      </c>
      <c r="R1039" t="s">
        <v>2518</v>
      </c>
      <c r="S1039" t="s">
        <v>183</v>
      </c>
      <c r="T1039" t="s">
        <v>76</v>
      </c>
      <c r="U1039" t="s">
        <v>146</v>
      </c>
      <c r="V1039" t="s">
        <v>321</v>
      </c>
      <c r="W1039">
        <v>790</v>
      </c>
      <c r="X1039">
        <v>34.99</v>
      </c>
      <c r="Y1039">
        <v>99</v>
      </c>
      <c r="Z1039">
        <v>569000</v>
      </c>
      <c r="AA1039">
        <v>227520</v>
      </c>
      <c r="AB1039">
        <v>260</v>
      </c>
      <c r="AD1039" t="s">
        <v>238</v>
      </c>
      <c r="AE1039">
        <v>1</v>
      </c>
      <c r="AF1039">
        <v>8</v>
      </c>
      <c r="AI1039">
        <v>0</v>
      </c>
      <c r="AJ1039">
        <v>105</v>
      </c>
      <c r="AK1039">
        <v>113</v>
      </c>
      <c r="AL1039">
        <v>288</v>
      </c>
      <c r="AM1039">
        <v>113</v>
      </c>
      <c r="AN1039">
        <v>0</v>
      </c>
      <c r="AO1039">
        <v>113</v>
      </c>
      <c r="AP1039" t="s">
        <v>80</v>
      </c>
      <c r="AQ1039" t="s">
        <v>2257</v>
      </c>
      <c r="AR1039" t="s">
        <v>86</v>
      </c>
      <c r="AS1039" t="s">
        <v>86</v>
      </c>
      <c r="AT1039" t="s">
        <v>86</v>
      </c>
      <c r="AU1039" t="s">
        <v>86</v>
      </c>
      <c r="AV1039" t="s">
        <v>432</v>
      </c>
      <c r="AW1039" t="s">
        <v>69</v>
      </c>
      <c r="AX1039" t="s">
        <v>126</v>
      </c>
      <c r="AY1039" t="s">
        <v>3252</v>
      </c>
      <c r="AZ1039" t="s">
        <v>244</v>
      </c>
      <c r="BA1039" t="s">
        <v>245</v>
      </c>
      <c r="BB1039" t="s">
        <v>244</v>
      </c>
      <c r="BC1039" t="s">
        <v>244</v>
      </c>
      <c r="BD1039" t="s">
        <v>3255</v>
      </c>
      <c r="BE1039" t="s">
        <v>3254</v>
      </c>
      <c r="BF1039" t="s">
        <v>86</v>
      </c>
      <c r="BG1039" t="s">
        <v>110</v>
      </c>
      <c r="BH1039" t="str">
        <f>IF(COUNTIF(工作表1!A:A, $C1039)&gt;0, "預購款", "非預購款")</f>
        <v>非預購款</v>
      </c>
    </row>
    <row r="1040" spans="1:60" x14ac:dyDescent="0.25">
      <c r="A1040" t="s">
        <v>3246</v>
      </c>
      <c r="B1040" t="s">
        <v>776</v>
      </c>
      <c r="C1040" t="s">
        <v>3247</v>
      </c>
      <c r="D1040" t="s">
        <v>3248</v>
      </c>
      <c r="E1040" t="s">
        <v>3249</v>
      </c>
      <c r="F1040" t="s">
        <v>176</v>
      </c>
      <c r="G1040" t="s">
        <v>3250</v>
      </c>
      <c r="H1040" t="s">
        <v>132</v>
      </c>
      <c r="I1040" t="s">
        <v>97</v>
      </c>
      <c r="J1040" t="s">
        <v>98</v>
      </c>
      <c r="K1040" t="s">
        <v>69</v>
      </c>
      <c r="L1040" t="s">
        <v>3251</v>
      </c>
      <c r="M1040" t="s">
        <v>71</v>
      </c>
      <c r="N1040" t="s">
        <v>198</v>
      </c>
      <c r="O1040" t="s">
        <v>2893</v>
      </c>
      <c r="P1040" t="s">
        <v>2894</v>
      </c>
      <c r="R1040" t="s">
        <v>2518</v>
      </c>
      <c r="S1040" t="s">
        <v>183</v>
      </c>
      <c r="T1040" t="s">
        <v>76</v>
      </c>
      <c r="U1040" t="s">
        <v>146</v>
      </c>
      <c r="V1040" t="s">
        <v>321</v>
      </c>
      <c r="W1040">
        <v>790</v>
      </c>
      <c r="X1040">
        <v>34.99</v>
      </c>
      <c r="Y1040">
        <v>99</v>
      </c>
      <c r="Z1040">
        <v>569000</v>
      </c>
      <c r="AA1040">
        <v>227520</v>
      </c>
      <c r="AB1040">
        <v>260</v>
      </c>
      <c r="AD1040" t="s">
        <v>238</v>
      </c>
      <c r="AE1040">
        <v>1</v>
      </c>
      <c r="AF1040">
        <v>0</v>
      </c>
      <c r="AI1040">
        <v>0</v>
      </c>
      <c r="AJ1040">
        <v>15</v>
      </c>
      <c r="AK1040">
        <v>15</v>
      </c>
      <c r="AL1040">
        <v>288</v>
      </c>
      <c r="AM1040">
        <v>24</v>
      </c>
      <c r="AN1040">
        <v>0</v>
      </c>
      <c r="AO1040">
        <v>24</v>
      </c>
      <c r="AP1040" t="s">
        <v>80</v>
      </c>
      <c r="AQ1040" t="s">
        <v>2257</v>
      </c>
      <c r="AR1040" t="s">
        <v>86</v>
      </c>
      <c r="AS1040" t="s">
        <v>86</v>
      </c>
      <c r="AT1040" t="s">
        <v>86</v>
      </c>
      <c r="AU1040" t="s">
        <v>86</v>
      </c>
      <c r="AV1040" t="s">
        <v>432</v>
      </c>
      <c r="AW1040" t="s">
        <v>69</v>
      </c>
      <c r="AX1040" t="s">
        <v>126</v>
      </c>
      <c r="AY1040" t="s">
        <v>3252</v>
      </c>
      <c r="AZ1040" t="s">
        <v>244</v>
      </c>
      <c r="BA1040" t="s">
        <v>245</v>
      </c>
      <c r="BB1040" t="s">
        <v>244</v>
      </c>
      <c r="BC1040" t="s">
        <v>244</v>
      </c>
      <c r="BD1040" t="s">
        <v>3256</v>
      </c>
      <c r="BE1040" t="s">
        <v>3254</v>
      </c>
      <c r="BF1040" t="s">
        <v>86</v>
      </c>
      <c r="BG1040" t="s">
        <v>110</v>
      </c>
      <c r="BH1040" t="str">
        <f>IF(COUNTIF(工作表1!A:A, $C1040)&gt;0, "預購款", "非預購款")</f>
        <v>非預購款</v>
      </c>
    </row>
    <row r="1041" spans="1:60" x14ac:dyDescent="0.25">
      <c r="A1041" t="s">
        <v>3257</v>
      </c>
      <c r="B1041" t="s">
        <v>2174</v>
      </c>
      <c r="C1041" t="s">
        <v>3258</v>
      </c>
      <c r="D1041" t="s">
        <v>3259</v>
      </c>
      <c r="E1041" t="s">
        <v>3260</v>
      </c>
      <c r="F1041" t="s">
        <v>176</v>
      </c>
      <c r="G1041" t="s">
        <v>3261</v>
      </c>
      <c r="H1041" t="s">
        <v>119</v>
      </c>
      <c r="I1041" t="s">
        <v>97</v>
      </c>
      <c r="J1041" t="s">
        <v>98</v>
      </c>
      <c r="K1041" t="s">
        <v>69</v>
      </c>
      <c r="L1041" t="s">
        <v>3262</v>
      </c>
      <c r="M1041" t="s">
        <v>71</v>
      </c>
      <c r="N1041" t="s">
        <v>198</v>
      </c>
      <c r="O1041" t="s">
        <v>3146</v>
      </c>
      <c r="P1041" t="s">
        <v>3147</v>
      </c>
      <c r="R1041" t="s">
        <v>3148</v>
      </c>
      <c r="S1041" t="s">
        <v>183</v>
      </c>
      <c r="T1041" t="s">
        <v>258</v>
      </c>
      <c r="U1041" t="s">
        <v>104</v>
      </c>
      <c r="V1041" t="s">
        <v>593</v>
      </c>
      <c r="W1041">
        <v>590</v>
      </c>
      <c r="X1041">
        <v>29.99</v>
      </c>
      <c r="Y1041">
        <v>75</v>
      </c>
      <c r="Z1041">
        <v>429000</v>
      </c>
      <c r="AA1041">
        <v>297950</v>
      </c>
      <c r="AB1041">
        <v>160</v>
      </c>
      <c r="AD1041" t="s">
        <v>238</v>
      </c>
      <c r="AE1041">
        <v>2</v>
      </c>
      <c r="AF1041">
        <v>5</v>
      </c>
      <c r="AI1041">
        <v>15</v>
      </c>
      <c r="AJ1041">
        <v>70</v>
      </c>
      <c r="AK1041">
        <v>90</v>
      </c>
      <c r="AL1041">
        <v>505</v>
      </c>
      <c r="AM1041">
        <v>95</v>
      </c>
      <c r="AN1041">
        <v>0</v>
      </c>
      <c r="AO1041">
        <v>95</v>
      </c>
      <c r="AP1041" t="s">
        <v>80</v>
      </c>
      <c r="AQ1041" t="s">
        <v>190</v>
      </c>
      <c r="AR1041" t="s">
        <v>86</v>
      </c>
      <c r="AS1041" t="s">
        <v>86</v>
      </c>
      <c r="AT1041" t="s">
        <v>86</v>
      </c>
      <c r="AU1041" t="s">
        <v>86</v>
      </c>
      <c r="AV1041" t="s">
        <v>81</v>
      </c>
      <c r="AW1041" t="s">
        <v>69</v>
      </c>
      <c r="AX1041" t="s">
        <v>262</v>
      </c>
      <c r="AY1041" t="s">
        <v>3263</v>
      </c>
      <c r="AZ1041" t="s">
        <v>245</v>
      </c>
      <c r="BA1041" t="s">
        <v>244</v>
      </c>
      <c r="BB1041" t="s">
        <v>244</v>
      </c>
      <c r="BC1041" t="s">
        <v>264</v>
      </c>
      <c r="BD1041" t="s">
        <v>3264</v>
      </c>
      <c r="BE1041" t="s">
        <v>3265</v>
      </c>
      <c r="BF1041" t="s">
        <v>240</v>
      </c>
      <c r="BG1041" t="s">
        <v>150</v>
      </c>
      <c r="BH1041" t="str">
        <f>IF(COUNTIF(工作表1!A:A, $C1041)&gt;0, "預購款", "非預購款")</f>
        <v>非預購款</v>
      </c>
    </row>
    <row r="1042" spans="1:60" x14ac:dyDescent="0.25">
      <c r="A1042" t="s">
        <v>3257</v>
      </c>
      <c r="B1042" t="s">
        <v>2174</v>
      </c>
      <c r="C1042" t="s">
        <v>3258</v>
      </c>
      <c r="D1042" t="s">
        <v>3259</v>
      </c>
      <c r="E1042" t="s">
        <v>3260</v>
      </c>
      <c r="F1042" t="s">
        <v>176</v>
      </c>
      <c r="G1042" t="s">
        <v>3261</v>
      </c>
      <c r="H1042" t="s">
        <v>130</v>
      </c>
      <c r="I1042" t="s">
        <v>97</v>
      </c>
      <c r="J1042" t="s">
        <v>98</v>
      </c>
      <c r="K1042" t="s">
        <v>69</v>
      </c>
      <c r="L1042" t="s">
        <v>3262</v>
      </c>
      <c r="M1042" t="s">
        <v>71</v>
      </c>
      <c r="N1042" t="s">
        <v>198</v>
      </c>
      <c r="O1042" t="s">
        <v>3146</v>
      </c>
      <c r="P1042" t="s">
        <v>3147</v>
      </c>
      <c r="R1042" t="s">
        <v>3148</v>
      </c>
      <c r="S1042" t="s">
        <v>183</v>
      </c>
      <c r="T1042" t="s">
        <v>258</v>
      </c>
      <c r="U1042" t="s">
        <v>104</v>
      </c>
      <c r="V1042" t="s">
        <v>593</v>
      </c>
      <c r="W1042">
        <v>590</v>
      </c>
      <c r="X1042">
        <v>29.99</v>
      </c>
      <c r="Y1042">
        <v>75</v>
      </c>
      <c r="Z1042">
        <v>429000</v>
      </c>
      <c r="AA1042">
        <v>297950</v>
      </c>
      <c r="AB1042">
        <v>160</v>
      </c>
      <c r="AD1042" t="s">
        <v>238</v>
      </c>
      <c r="AE1042">
        <v>2</v>
      </c>
      <c r="AF1042">
        <v>0</v>
      </c>
      <c r="AI1042">
        <v>30</v>
      </c>
      <c r="AJ1042">
        <v>100</v>
      </c>
      <c r="AK1042">
        <v>130</v>
      </c>
      <c r="AL1042">
        <v>505</v>
      </c>
      <c r="AM1042">
        <v>133</v>
      </c>
      <c r="AN1042">
        <v>0</v>
      </c>
      <c r="AO1042">
        <v>133</v>
      </c>
      <c r="AP1042" t="s">
        <v>80</v>
      </c>
      <c r="AQ1042" t="s">
        <v>190</v>
      </c>
      <c r="AR1042" t="s">
        <v>86</v>
      </c>
      <c r="AS1042" t="s">
        <v>86</v>
      </c>
      <c r="AT1042" t="s">
        <v>86</v>
      </c>
      <c r="AU1042" t="s">
        <v>86</v>
      </c>
      <c r="AV1042" t="s">
        <v>81</v>
      </c>
      <c r="AW1042" t="s">
        <v>69</v>
      </c>
      <c r="AX1042" t="s">
        <v>262</v>
      </c>
      <c r="AY1042" t="s">
        <v>3263</v>
      </c>
      <c r="AZ1042" t="s">
        <v>245</v>
      </c>
      <c r="BA1042" t="s">
        <v>244</v>
      </c>
      <c r="BB1042" t="s">
        <v>244</v>
      </c>
      <c r="BC1042" t="s">
        <v>264</v>
      </c>
      <c r="BD1042" t="s">
        <v>3266</v>
      </c>
      <c r="BE1042" t="s">
        <v>3265</v>
      </c>
      <c r="BF1042" t="s">
        <v>240</v>
      </c>
      <c r="BG1042" t="s">
        <v>150</v>
      </c>
      <c r="BH1042" t="str">
        <f>IF(COUNTIF(工作表1!A:A, $C1042)&gt;0, "預購款", "非預購款")</f>
        <v>非預購款</v>
      </c>
    </row>
    <row r="1043" spans="1:60" x14ac:dyDescent="0.25">
      <c r="A1043" t="s">
        <v>3257</v>
      </c>
      <c r="B1043" t="s">
        <v>2174</v>
      </c>
      <c r="C1043" t="s">
        <v>3258</v>
      </c>
      <c r="D1043" t="s">
        <v>3259</v>
      </c>
      <c r="E1043" t="s">
        <v>3260</v>
      </c>
      <c r="F1043" t="s">
        <v>176</v>
      </c>
      <c r="G1043" t="s">
        <v>3261</v>
      </c>
      <c r="H1043" t="s">
        <v>132</v>
      </c>
      <c r="I1043" t="s">
        <v>97</v>
      </c>
      <c r="J1043" t="s">
        <v>98</v>
      </c>
      <c r="K1043" t="s">
        <v>69</v>
      </c>
      <c r="L1043" t="s">
        <v>3262</v>
      </c>
      <c r="M1043" t="s">
        <v>71</v>
      </c>
      <c r="N1043" t="s">
        <v>198</v>
      </c>
      <c r="O1043" t="s">
        <v>3146</v>
      </c>
      <c r="P1043" t="s">
        <v>3147</v>
      </c>
      <c r="R1043" t="s">
        <v>3148</v>
      </c>
      <c r="S1043" t="s">
        <v>183</v>
      </c>
      <c r="T1043" t="s">
        <v>258</v>
      </c>
      <c r="U1043" t="s">
        <v>104</v>
      </c>
      <c r="V1043" t="s">
        <v>593</v>
      </c>
      <c r="W1043">
        <v>590</v>
      </c>
      <c r="X1043">
        <v>29.99</v>
      </c>
      <c r="Y1043">
        <v>75</v>
      </c>
      <c r="Z1043">
        <v>429000</v>
      </c>
      <c r="AA1043">
        <v>297950</v>
      </c>
      <c r="AB1043">
        <v>160</v>
      </c>
      <c r="AD1043" t="s">
        <v>238</v>
      </c>
      <c r="AE1043">
        <v>2</v>
      </c>
      <c r="AF1043">
        <v>0</v>
      </c>
      <c r="AI1043">
        <v>20</v>
      </c>
      <c r="AJ1043">
        <v>50</v>
      </c>
      <c r="AK1043">
        <v>70</v>
      </c>
      <c r="AL1043">
        <v>505</v>
      </c>
      <c r="AM1043">
        <v>71</v>
      </c>
      <c r="AN1043">
        <v>0</v>
      </c>
      <c r="AO1043">
        <v>71</v>
      </c>
      <c r="AP1043" t="s">
        <v>80</v>
      </c>
      <c r="AQ1043" t="s">
        <v>190</v>
      </c>
      <c r="AR1043" t="s">
        <v>86</v>
      </c>
      <c r="AS1043" t="s">
        <v>86</v>
      </c>
      <c r="AT1043" t="s">
        <v>86</v>
      </c>
      <c r="AU1043" t="s">
        <v>86</v>
      </c>
      <c r="AV1043" t="s">
        <v>81</v>
      </c>
      <c r="AW1043" t="s">
        <v>69</v>
      </c>
      <c r="AX1043" t="s">
        <v>262</v>
      </c>
      <c r="AY1043" t="s">
        <v>3263</v>
      </c>
      <c r="AZ1043" t="s">
        <v>245</v>
      </c>
      <c r="BA1043" t="s">
        <v>244</v>
      </c>
      <c r="BB1043" t="s">
        <v>244</v>
      </c>
      <c r="BC1043" t="s">
        <v>264</v>
      </c>
      <c r="BD1043" t="s">
        <v>3267</v>
      </c>
      <c r="BE1043" t="s">
        <v>3265</v>
      </c>
      <c r="BF1043" t="s">
        <v>240</v>
      </c>
      <c r="BG1043" t="s">
        <v>150</v>
      </c>
      <c r="BH1043" t="str">
        <f>IF(COUNTIF(工作表1!A:A, $C1043)&gt;0, "預購款", "非預購款")</f>
        <v>非預購款</v>
      </c>
    </row>
    <row r="1044" spans="1:60" x14ac:dyDescent="0.25">
      <c r="A1044" t="s">
        <v>3257</v>
      </c>
      <c r="B1044" t="s">
        <v>2174</v>
      </c>
      <c r="C1044" t="s">
        <v>3258</v>
      </c>
      <c r="D1044" t="s">
        <v>3259</v>
      </c>
      <c r="E1044" t="s">
        <v>3260</v>
      </c>
      <c r="F1044" t="s">
        <v>176</v>
      </c>
      <c r="G1044" t="s">
        <v>3261</v>
      </c>
      <c r="H1044" t="s">
        <v>119</v>
      </c>
      <c r="I1044" t="s">
        <v>171</v>
      </c>
      <c r="J1044" t="s">
        <v>172</v>
      </c>
      <c r="K1044" t="s">
        <v>69</v>
      </c>
      <c r="L1044" t="s">
        <v>3262</v>
      </c>
      <c r="M1044" t="s">
        <v>71</v>
      </c>
      <c r="N1044" t="s">
        <v>198</v>
      </c>
      <c r="O1044" t="s">
        <v>3146</v>
      </c>
      <c r="P1044" t="s">
        <v>3147</v>
      </c>
      <c r="R1044" t="s">
        <v>3148</v>
      </c>
      <c r="S1044" t="s">
        <v>183</v>
      </c>
      <c r="T1044" t="s">
        <v>258</v>
      </c>
      <c r="U1044" t="s">
        <v>104</v>
      </c>
      <c r="V1044" t="s">
        <v>593</v>
      </c>
      <c r="W1044">
        <v>590</v>
      </c>
      <c r="X1044">
        <v>29.99</v>
      </c>
      <c r="Y1044">
        <v>75</v>
      </c>
      <c r="Z1044">
        <v>429000</v>
      </c>
      <c r="AA1044">
        <v>297950</v>
      </c>
      <c r="AB1044">
        <v>160</v>
      </c>
      <c r="AD1044" t="s">
        <v>238</v>
      </c>
      <c r="AE1044">
        <v>2</v>
      </c>
      <c r="AF1044">
        <v>5</v>
      </c>
      <c r="AI1044">
        <v>0</v>
      </c>
      <c r="AJ1044">
        <v>60</v>
      </c>
      <c r="AK1044">
        <v>65</v>
      </c>
      <c r="AL1044">
        <v>505</v>
      </c>
      <c r="AM1044">
        <v>58</v>
      </c>
      <c r="AN1044">
        <v>0</v>
      </c>
      <c r="AO1044">
        <v>58</v>
      </c>
      <c r="AP1044" t="s">
        <v>80</v>
      </c>
      <c r="AQ1044" t="s">
        <v>190</v>
      </c>
      <c r="AR1044" t="s">
        <v>86</v>
      </c>
      <c r="AS1044" t="s">
        <v>86</v>
      </c>
      <c r="AT1044" t="s">
        <v>86</v>
      </c>
      <c r="AU1044" t="s">
        <v>86</v>
      </c>
      <c r="AV1044" t="s">
        <v>81</v>
      </c>
      <c r="AW1044" t="s">
        <v>69</v>
      </c>
      <c r="AX1044" t="s">
        <v>262</v>
      </c>
      <c r="AY1044" t="s">
        <v>3263</v>
      </c>
      <c r="AZ1044" t="s">
        <v>245</v>
      </c>
      <c r="BA1044" t="s">
        <v>244</v>
      </c>
      <c r="BB1044" t="s">
        <v>244</v>
      </c>
      <c r="BC1044" t="s">
        <v>264</v>
      </c>
      <c r="BD1044" t="s">
        <v>3268</v>
      </c>
      <c r="BE1044" t="s">
        <v>3265</v>
      </c>
      <c r="BF1044" t="s">
        <v>240</v>
      </c>
      <c r="BG1044" t="s">
        <v>150</v>
      </c>
      <c r="BH1044" t="str">
        <f>IF(COUNTIF(工作表1!A:A, $C1044)&gt;0, "預購款", "非預購款")</f>
        <v>非預購款</v>
      </c>
    </row>
    <row r="1045" spans="1:60" x14ac:dyDescent="0.25">
      <c r="A1045" t="s">
        <v>3257</v>
      </c>
      <c r="B1045" t="s">
        <v>2174</v>
      </c>
      <c r="C1045" t="s">
        <v>3258</v>
      </c>
      <c r="D1045" t="s">
        <v>3259</v>
      </c>
      <c r="E1045" t="s">
        <v>3260</v>
      </c>
      <c r="F1045" t="s">
        <v>176</v>
      </c>
      <c r="G1045" t="s">
        <v>3261</v>
      </c>
      <c r="H1045" t="s">
        <v>130</v>
      </c>
      <c r="I1045" t="s">
        <v>171</v>
      </c>
      <c r="J1045" t="s">
        <v>172</v>
      </c>
      <c r="K1045" t="s">
        <v>69</v>
      </c>
      <c r="L1045" t="s">
        <v>3262</v>
      </c>
      <c r="M1045" t="s">
        <v>71</v>
      </c>
      <c r="N1045" t="s">
        <v>198</v>
      </c>
      <c r="O1045" t="s">
        <v>3146</v>
      </c>
      <c r="P1045" t="s">
        <v>3147</v>
      </c>
      <c r="R1045" t="s">
        <v>3148</v>
      </c>
      <c r="S1045" t="s">
        <v>183</v>
      </c>
      <c r="T1045" t="s">
        <v>258</v>
      </c>
      <c r="U1045" t="s">
        <v>104</v>
      </c>
      <c r="V1045" t="s">
        <v>593</v>
      </c>
      <c r="W1045">
        <v>590</v>
      </c>
      <c r="X1045">
        <v>29.99</v>
      </c>
      <c r="Y1045">
        <v>75</v>
      </c>
      <c r="Z1045">
        <v>429000</v>
      </c>
      <c r="AA1045">
        <v>297950</v>
      </c>
      <c r="AB1045">
        <v>160</v>
      </c>
      <c r="AD1045" t="s">
        <v>238</v>
      </c>
      <c r="AE1045">
        <v>2</v>
      </c>
      <c r="AF1045">
        <v>0</v>
      </c>
      <c r="AI1045">
        <v>0</v>
      </c>
      <c r="AJ1045">
        <v>90</v>
      </c>
      <c r="AK1045">
        <v>90</v>
      </c>
      <c r="AL1045">
        <v>505</v>
      </c>
      <c r="AM1045">
        <v>87</v>
      </c>
      <c r="AN1045">
        <v>0</v>
      </c>
      <c r="AO1045">
        <v>87</v>
      </c>
      <c r="AP1045" t="s">
        <v>80</v>
      </c>
      <c r="AQ1045" t="s">
        <v>190</v>
      </c>
      <c r="AR1045" t="s">
        <v>86</v>
      </c>
      <c r="AS1045" t="s">
        <v>86</v>
      </c>
      <c r="AT1045" t="s">
        <v>86</v>
      </c>
      <c r="AU1045" t="s">
        <v>86</v>
      </c>
      <c r="AV1045" t="s">
        <v>81</v>
      </c>
      <c r="AW1045" t="s">
        <v>69</v>
      </c>
      <c r="AX1045" t="s">
        <v>262</v>
      </c>
      <c r="AY1045" t="s">
        <v>3263</v>
      </c>
      <c r="AZ1045" t="s">
        <v>245</v>
      </c>
      <c r="BA1045" t="s">
        <v>244</v>
      </c>
      <c r="BB1045" t="s">
        <v>244</v>
      </c>
      <c r="BC1045" t="s">
        <v>264</v>
      </c>
      <c r="BD1045" t="s">
        <v>3269</v>
      </c>
      <c r="BE1045" t="s">
        <v>3265</v>
      </c>
      <c r="BF1045" t="s">
        <v>240</v>
      </c>
      <c r="BG1045" t="s">
        <v>150</v>
      </c>
      <c r="BH1045" t="str">
        <f>IF(COUNTIF(工作表1!A:A, $C1045)&gt;0, "預購款", "非預購款")</f>
        <v>非預購款</v>
      </c>
    </row>
    <row r="1046" spans="1:60" x14ac:dyDescent="0.25">
      <c r="A1046" t="s">
        <v>3257</v>
      </c>
      <c r="B1046" t="s">
        <v>2174</v>
      </c>
      <c r="C1046" t="s">
        <v>3258</v>
      </c>
      <c r="D1046" t="s">
        <v>3259</v>
      </c>
      <c r="E1046" t="s">
        <v>3260</v>
      </c>
      <c r="F1046" t="s">
        <v>176</v>
      </c>
      <c r="G1046" t="s">
        <v>3261</v>
      </c>
      <c r="H1046" t="s">
        <v>132</v>
      </c>
      <c r="I1046" t="s">
        <v>171</v>
      </c>
      <c r="J1046" t="s">
        <v>172</v>
      </c>
      <c r="K1046" t="s">
        <v>69</v>
      </c>
      <c r="L1046" t="s">
        <v>3262</v>
      </c>
      <c r="M1046" t="s">
        <v>71</v>
      </c>
      <c r="N1046" t="s">
        <v>198</v>
      </c>
      <c r="O1046" t="s">
        <v>3146</v>
      </c>
      <c r="P1046" t="s">
        <v>3147</v>
      </c>
      <c r="R1046" t="s">
        <v>3148</v>
      </c>
      <c r="S1046" t="s">
        <v>183</v>
      </c>
      <c r="T1046" t="s">
        <v>258</v>
      </c>
      <c r="U1046" t="s">
        <v>104</v>
      </c>
      <c r="V1046" t="s">
        <v>593</v>
      </c>
      <c r="W1046">
        <v>590</v>
      </c>
      <c r="X1046">
        <v>29.99</v>
      </c>
      <c r="Y1046">
        <v>75</v>
      </c>
      <c r="Z1046">
        <v>429000</v>
      </c>
      <c r="AA1046">
        <v>297950</v>
      </c>
      <c r="AB1046">
        <v>160</v>
      </c>
      <c r="AD1046" t="s">
        <v>238</v>
      </c>
      <c r="AE1046">
        <v>2</v>
      </c>
      <c r="AF1046">
        <v>0</v>
      </c>
      <c r="AI1046">
        <v>0</v>
      </c>
      <c r="AJ1046">
        <v>60</v>
      </c>
      <c r="AK1046">
        <v>60</v>
      </c>
      <c r="AL1046">
        <v>505</v>
      </c>
      <c r="AM1046">
        <v>59</v>
      </c>
      <c r="AN1046">
        <v>0</v>
      </c>
      <c r="AO1046">
        <v>59</v>
      </c>
      <c r="AP1046" t="s">
        <v>80</v>
      </c>
      <c r="AQ1046" t="s">
        <v>190</v>
      </c>
      <c r="AR1046" t="s">
        <v>86</v>
      </c>
      <c r="AS1046" t="s">
        <v>86</v>
      </c>
      <c r="AT1046" t="s">
        <v>86</v>
      </c>
      <c r="AU1046" t="s">
        <v>86</v>
      </c>
      <c r="AV1046" t="s">
        <v>81</v>
      </c>
      <c r="AW1046" t="s">
        <v>69</v>
      </c>
      <c r="AX1046" t="s">
        <v>262</v>
      </c>
      <c r="AY1046" t="s">
        <v>3263</v>
      </c>
      <c r="AZ1046" t="s">
        <v>245</v>
      </c>
      <c r="BA1046" t="s">
        <v>244</v>
      </c>
      <c r="BB1046" t="s">
        <v>244</v>
      </c>
      <c r="BC1046" t="s">
        <v>264</v>
      </c>
      <c r="BD1046" t="s">
        <v>3270</v>
      </c>
      <c r="BE1046" t="s">
        <v>3265</v>
      </c>
      <c r="BF1046" t="s">
        <v>240</v>
      </c>
      <c r="BG1046" t="s">
        <v>150</v>
      </c>
      <c r="BH1046" t="str">
        <f>IF(COUNTIF(工作表1!A:A, $C1046)&gt;0, "預購款", "非預購款")</f>
        <v>非預購款</v>
      </c>
    </row>
    <row r="1047" spans="1:60" x14ac:dyDescent="0.25">
      <c r="A1047" t="s">
        <v>3271</v>
      </c>
      <c r="B1047" t="s">
        <v>2174</v>
      </c>
      <c r="C1047" t="s">
        <v>3272</v>
      </c>
      <c r="D1047" t="s">
        <v>3273</v>
      </c>
      <c r="E1047" t="s">
        <v>3274</v>
      </c>
      <c r="F1047" t="s">
        <v>176</v>
      </c>
      <c r="G1047" t="s">
        <v>3275</v>
      </c>
      <c r="H1047" t="s">
        <v>273</v>
      </c>
      <c r="I1047" t="s">
        <v>171</v>
      </c>
      <c r="J1047" t="s">
        <v>172</v>
      </c>
      <c r="K1047" t="s">
        <v>69</v>
      </c>
      <c r="L1047" t="s">
        <v>3262</v>
      </c>
      <c r="M1047" t="s">
        <v>71</v>
      </c>
      <c r="N1047" t="s">
        <v>198</v>
      </c>
      <c r="O1047" t="s">
        <v>3146</v>
      </c>
      <c r="P1047" t="s">
        <v>3147</v>
      </c>
      <c r="R1047" t="s">
        <v>3148</v>
      </c>
      <c r="S1047" t="s">
        <v>183</v>
      </c>
      <c r="T1047" t="s">
        <v>274</v>
      </c>
      <c r="U1047" t="s">
        <v>104</v>
      </c>
      <c r="V1047" t="s">
        <v>1519</v>
      </c>
      <c r="W1047">
        <v>690</v>
      </c>
      <c r="X1047">
        <v>29.99</v>
      </c>
      <c r="Y1047">
        <v>89</v>
      </c>
      <c r="Z1047">
        <v>499000</v>
      </c>
      <c r="AA1047">
        <v>117300</v>
      </c>
      <c r="AB1047">
        <v>186</v>
      </c>
      <c r="AD1047" t="s">
        <v>238</v>
      </c>
      <c r="AE1047">
        <v>1</v>
      </c>
      <c r="AF1047">
        <v>5</v>
      </c>
      <c r="AI1047">
        <v>10</v>
      </c>
      <c r="AJ1047">
        <v>50</v>
      </c>
      <c r="AK1047">
        <v>65</v>
      </c>
      <c r="AL1047">
        <v>170</v>
      </c>
      <c r="AM1047">
        <v>64</v>
      </c>
      <c r="AN1047">
        <v>0</v>
      </c>
      <c r="AO1047">
        <v>64</v>
      </c>
      <c r="AP1047" t="s">
        <v>80</v>
      </c>
      <c r="AQ1047" t="s">
        <v>190</v>
      </c>
      <c r="AS1047" t="s">
        <v>86</v>
      </c>
      <c r="AT1047" t="s">
        <v>86</v>
      </c>
      <c r="AU1047" t="s">
        <v>86</v>
      </c>
      <c r="AV1047" t="s">
        <v>3276</v>
      </c>
      <c r="AW1047" t="s">
        <v>69</v>
      </c>
      <c r="AX1047" t="s">
        <v>126</v>
      </c>
      <c r="AY1047" t="s">
        <v>3277</v>
      </c>
      <c r="AZ1047" t="s">
        <v>245</v>
      </c>
      <c r="BA1047" t="s">
        <v>244</v>
      </c>
      <c r="BB1047" t="s">
        <v>244</v>
      </c>
      <c r="BC1047" t="s">
        <v>264</v>
      </c>
      <c r="BD1047" t="s">
        <v>3278</v>
      </c>
      <c r="BE1047" t="s">
        <v>3279</v>
      </c>
      <c r="BF1047" t="s">
        <v>279</v>
      </c>
      <c r="BG1047" t="s">
        <v>150</v>
      </c>
      <c r="BH1047" t="str">
        <f>IF(COUNTIF(工作表1!A:A, $C1047)&gt;0, "預購款", "非預購款")</f>
        <v>非預購款</v>
      </c>
    </row>
    <row r="1048" spans="1:60" x14ac:dyDescent="0.25">
      <c r="A1048" t="s">
        <v>3271</v>
      </c>
      <c r="B1048" t="s">
        <v>2174</v>
      </c>
      <c r="C1048" t="s">
        <v>3272</v>
      </c>
      <c r="D1048" t="s">
        <v>3273</v>
      </c>
      <c r="E1048" t="s">
        <v>3274</v>
      </c>
      <c r="F1048" t="s">
        <v>176</v>
      </c>
      <c r="G1048" t="s">
        <v>3275</v>
      </c>
      <c r="H1048" t="s">
        <v>501</v>
      </c>
      <c r="I1048" t="s">
        <v>171</v>
      </c>
      <c r="J1048" t="s">
        <v>172</v>
      </c>
      <c r="K1048" t="s">
        <v>69</v>
      </c>
      <c r="L1048" t="s">
        <v>3262</v>
      </c>
      <c r="M1048" t="s">
        <v>71</v>
      </c>
      <c r="N1048" t="s">
        <v>198</v>
      </c>
      <c r="O1048" t="s">
        <v>3146</v>
      </c>
      <c r="P1048" t="s">
        <v>3147</v>
      </c>
      <c r="R1048" t="s">
        <v>3148</v>
      </c>
      <c r="S1048" t="s">
        <v>183</v>
      </c>
      <c r="T1048" t="s">
        <v>274</v>
      </c>
      <c r="U1048" t="s">
        <v>104</v>
      </c>
      <c r="V1048" t="s">
        <v>1519</v>
      </c>
      <c r="W1048">
        <v>690</v>
      </c>
      <c r="X1048">
        <v>29.99</v>
      </c>
      <c r="Y1048">
        <v>89</v>
      </c>
      <c r="Z1048">
        <v>499000</v>
      </c>
      <c r="AA1048">
        <v>117300</v>
      </c>
      <c r="AB1048">
        <v>186</v>
      </c>
      <c r="AD1048" t="s">
        <v>238</v>
      </c>
      <c r="AE1048">
        <v>1</v>
      </c>
      <c r="AF1048">
        <v>0</v>
      </c>
      <c r="AI1048">
        <v>10</v>
      </c>
      <c r="AJ1048">
        <v>25</v>
      </c>
      <c r="AK1048">
        <v>35</v>
      </c>
      <c r="AL1048">
        <v>170</v>
      </c>
      <c r="AM1048">
        <v>35</v>
      </c>
      <c r="AN1048">
        <v>0</v>
      </c>
      <c r="AO1048">
        <v>35</v>
      </c>
      <c r="AP1048" t="s">
        <v>80</v>
      </c>
      <c r="AQ1048" t="s">
        <v>190</v>
      </c>
      <c r="AS1048" t="s">
        <v>86</v>
      </c>
      <c r="AT1048" t="s">
        <v>86</v>
      </c>
      <c r="AU1048" t="s">
        <v>86</v>
      </c>
      <c r="AV1048" t="s">
        <v>3276</v>
      </c>
      <c r="AW1048" t="s">
        <v>69</v>
      </c>
      <c r="AX1048" t="s">
        <v>126</v>
      </c>
      <c r="AY1048" t="s">
        <v>3277</v>
      </c>
      <c r="AZ1048" t="s">
        <v>245</v>
      </c>
      <c r="BA1048" t="s">
        <v>244</v>
      </c>
      <c r="BB1048" t="s">
        <v>244</v>
      </c>
      <c r="BC1048" t="s">
        <v>264</v>
      </c>
      <c r="BD1048" t="s">
        <v>3280</v>
      </c>
      <c r="BE1048" t="s">
        <v>3279</v>
      </c>
      <c r="BF1048" t="s">
        <v>279</v>
      </c>
      <c r="BG1048" t="s">
        <v>150</v>
      </c>
      <c r="BH1048" t="str">
        <f>IF(COUNTIF(工作表1!A:A, $C1048)&gt;0, "預購款", "非預購款")</f>
        <v>非預購款</v>
      </c>
    </row>
    <row r="1049" spans="1:60" x14ac:dyDescent="0.25">
      <c r="A1049" t="s">
        <v>3271</v>
      </c>
      <c r="B1049" t="s">
        <v>2174</v>
      </c>
      <c r="C1049" t="s">
        <v>3272</v>
      </c>
      <c r="D1049" t="s">
        <v>3273</v>
      </c>
      <c r="E1049" t="s">
        <v>3274</v>
      </c>
      <c r="F1049" t="s">
        <v>176</v>
      </c>
      <c r="G1049" t="s">
        <v>3275</v>
      </c>
      <c r="H1049" t="s">
        <v>280</v>
      </c>
      <c r="I1049" t="s">
        <v>171</v>
      </c>
      <c r="J1049" t="s">
        <v>172</v>
      </c>
      <c r="K1049" t="s">
        <v>69</v>
      </c>
      <c r="L1049" t="s">
        <v>3262</v>
      </c>
      <c r="M1049" t="s">
        <v>71</v>
      </c>
      <c r="N1049" t="s">
        <v>198</v>
      </c>
      <c r="O1049" t="s">
        <v>3146</v>
      </c>
      <c r="P1049" t="s">
        <v>3147</v>
      </c>
      <c r="R1049" t="s">
        <v>3148</v>
      </c>
      <c r="S1049" t="s">
        <v>183</v>
      </c>
      <c r="T1049" t="s">
        <v>274</v>
      </c>
      <c r="U1049" t="s">
        <v>104</v>
      </c>
      <c r="V1049" t="s">
        <v>1519</v>
      </c>
      <c r="W1049">
        <v>690</v>
      </c>
      <c r="X1049">
        <v>29.99</v>
      </c>
      <c r="Y1049">
        <v>89</v>
      </c>
      <c r="Z1049">
        <v>499000</v>
      </c>
      <c r="AA1049">
        <v>117300</v>
      </c>
      <c r="AB1049">
        <v>186</v>
      </c>
      <c r="AD1049" t="s">
        <v>238</v>
      </c>
      <c r="AE1049">
        <v>1</v>
      </c>
      <c r="AF1049">
        <v>0</v>
      </c>
      <c r="AI1049">
        <v>10</v>
      </c>
      <c r="AJ1049">
        <v>60</v>
      </c>
      <c r="AK1049">
        <v>70</v>
      </c>
      <c r="AL1049">
        <v>170</v>
      </c>
      <c r="AM1049">
        <v>70</v>
      </c>
      <c r="AN1049">
        <v>0</v>
      </c>
      <c r="AO1049">
        <v>70</v>
      </c>
      <c r="AP1049" t="s">
        <v>80</v>
      </c>
      <c r="AQ1049" t="s">
        <v>190</v>
      </c>
      <c r="AS1049" t="s">
        <v>86</v>
      </c>
      <c r="AT1049" t="s">
        <v>86</v>
      </c>
      <c r="AU1049" t="s">
        <v>86</v>
      </c>
      <c r="AV1049" t="s">
        <v>3276</v>
      </c>
      <c r="AW1049" t="s">
        <v>69</v>
      </c>
      <c r="AX1049" t="s">
        <v>126</v>
      </c>
      <c r="AY1049" t="s">
        <v>3277</v>
      </c>
      <c r="AZ1049" t="s">
        <v>245</v>
      </c>
      <c r="BA1049" t="s">
        <v>244</v>
      </c>
      <c r="BB1049" t="s">
        <v>244</v>
      </c>
      <c r="BC1049" t="s">
        <v>264</v>
      </c>
      <c r="BD1049" t="s">
        <v>3281</v>
      </c>
      <c r="BE1049" t="s">
        <v>3279</v>
      </c>
      <c r="BF1049" t="s">
        <v>279</v>
      </c>
      <c r="BG1049" t="s">
        <v>150</v>
      </c>
      <c r="BH1049" t="str">
        <f>IF(COUNTIF(工作表1!A:A, $C1049)&gt;0, "預購款", "非預購款")</f>
        <v>非預購款</v>
      </c>
    </row>
    <row r="1050" spans="1:60" x14ac:dyDescent="0.25">
      <c r="A1050" t="s">
        <v>3067</v>
      </c>
      <c r="B1050" t="s">
        <v>2174</v>
      </c>
      <c r="C1050" t="s">
        <v>3068</v>
      </c>
      <c r="D1050" t="s">
        <v>3069</v>
      </c>
      <c r="E1050" t="s">
        <v>3070</v>
      </c>
      <c r="F1050" t="s">
        <v>176</v>
      </c>
      <c r="G1050" t="s">
        <v>3071</v>
      </c>
      <c r="H1050" t="s">
        <v>273</v>
      </c>
      <c r="I1050" t="s">
        <v>171</v>
      </c>
      <c r="J1050" t="s">
        <v>172</v>
      </c>
      <c r="K1050" t="s">
        <v>69</v>
      </c>
      <c r="L1050" t="s">
        <v>3072</v>
      </c>
      <c r="M1050" t="s">
        <v>71</v>
      </c>
      <c r="N1050" t="s">
        <v>198</v>
      </c>
      <c r="O1050" t="s">
        <v>2893</v>
      </c>
      <c r="P1050" t="s">
        <v>2894</v>
      </c>
      <c r="R1050" t="s">
        <v>2518</v>
      </c>
      <c r="S1050" t="s">
        <v>183</v>
      </c>
      <c r="T1050" t="s">
        <v>274</v>
      </c>
      <c r="U1050" t="s">
        <v>150</v>
      </c>
      <c r="V1050" t="s">
        <v>641</v>
      </c>
      <c r="W1050">
        <v>890</v>
      </c>
      <c r="X1050">
        <v>39.99</v>
      </c>
      <c r="Y1050">
        <v>115</v>
      </c>
      <c r="Z1050">
        <v>639000</v>
      </c>
      <c r="AA1050">
        <v>275900</v>
      </c>
      <c r="AB1050">
        <v>272</v>
      </c>
      <c r="AD1050" t="s">
        <v>238</v>
      </c>
      <c r="AE1050">
        <v>1</v>
      </c>
      <c r="AF1050">
        <v>0</v>
      </c>
      <c r="AI1050">
        <v>100</v>
      </c>
      <c r="AJ1050">
        <v>40</v>
      </c>
      <c r="AK1050">
        <v>140</v>
      </c>
      <c r="AL1050">
        <v>310</v>
      </c>
      <c r="AM1050">
        <v>150</v>
      </c>
      <c r="AN1050">
        <v>0</v>
      </c>
      <c r="AO1050">
        <v>150</v>
      </c>
      <c r="AP1050" t="s">
        <v>80</v>
      </c>
      <c r="AQ1050" t="s">
        <v>2257</v>
      </c>
      <c r="AS1050" t="s">
        <v>86</v>
      </c>
      <c r="AT1050" t="s">
        <v>86</v>
      </c>
      <c r="AU1050" t="s">
        <v>86</v>
      </c>
      <c r="AV1050" t="s">
        <v>3073</v>
      </c>
      <c r="AW1050" t="s">
        <v>69</v>
      </c>
      <c r="AX1050" t="s">
        <v>3074</v>
      </c>
      <c r="AY1050" t="s">
        <v>3075</v>
      </c>
      <c r="AZ1050" t="s">
        <v>310</v>
      </c>
      <c r="BA1050" t="s">
        <v>244</v>
      </c>
      <c r="BB1050" t="s">
        <v>244</v>
      </c>
      <c r="BC1050" t="s">
        <v>244</v>
      </c>
      <c r="BD1050" t="s">
        <v>3076</v>
      </c>
      <c r="BE1050" t="s">
        <v>3282</v>
      </c>
      <c r="BF1050" t="s">
        <v>279</v>
      </c>
      <c r="BG1050" t="s">
        <v>87</v>
      </c>
      <c r="BH1050" t="str">
        <f>IF(COUNTIF(工作表1!A:A, $C1050)&gt;0, "預購款", "非預購款")</f>
        <v>非預購款</v>
      </c>
    </row>
    <row r="1051" spans="1:60" x14ac:dyDescent="0.25">
      <c r="A1051" t="s">
        <v>3067</v>
      </c>
      <c r="B1051" t="s">
        <v>2174</v>
      </c>
      <c r="C1051" t="s">
        <v>3068</v>
      </c>
      <c r="D1051" t="s">
        <v>3069</v>
      </c>
      <c r="E1051" t="s">
        <v>3070</v>
      </c>
      <c r="F1051" t="s">
        <v>176</v>
      </c>
      <c r="G1051" t="s">
        <v>3071</v>
      </c>
      <c r="H1051" t="s">
        <v>280</v>
      </c>
      <c r="I1051" t="s">
        <v>171</v>
      </c>
      <c r="J1051" t="s">
        <v>172</v>
      </c>
      <c r="K1051" t="s">
        <v>69</v>
      </c>
      <c r="L1051" t="s">
        <v>3072</v>
      </c>
      <c r="M1051" t="s">
        <v>71</v>
      </c>
      <c r="N1051" t="s">
        <v>198</v>
      </c>
      <c r="O1051" t="s">
        <v>2893</v>
      </c>
      <c r="P1051" t="s">
        <v>2894</v>
      </c>
      <c r="R1051" t="s">
        <v>2518</v>
      </c>
      <c r="S1051" t="s">
        <v>183</v>
      </c>
      <c r="T1051" t="s">
        <v>274</v>
      </c>
      <c r="U1051" t="s">
        <v>150</v>
      </c>
      <c r="V1051" t="s">
        <v>641</v>
      </c>
      <c r="W1051">
        <v>890</v>
      </c>
      <c r="X1051">
        <v>39.99</v>
      </c>
      <c r="Y1051">
        <v>115</v>
      </c>
      <c r="Z1051">
        <v>639000</v>
      </c>
      <c r="AA1051">
        <v>275900</v>
      </c>
      <c r="AB1051">
        <v>272</v>
      </c>
      <c r="AD1051" t="s">
        <v>238</v>
      </c>
      <c r="AE1051">
        <v>1</v>
      </c>
      <c r="AF1051">
        <v>0</v>
      </c>
      <c r="AI1051">
        <v>80</v>
      </c>
      <c r="AJ1051">
        <v>90</v>
      </c>
      <c r="AK1051">
        <v>170</v>
      </c>
      <c r="AL1051">
        <v>310</v>
      </c>
      <c r="AM1051">
        <v>180</v>
      </c>
      <c r="AN1051">
        <v>0</v>
      </c>
      <c r="AO1051">
        <v>180</v>
      </c>
      <c r="AP1051" t="s">
        <v>80</v>
      </c>
      <c r="AQ1051" t="s">
        <v>2257</v>
      </c>
      <c r="AS1051" t="s">
        <v>86</v>
      </c>
      <c r="AT1051" t="s">
        <v>86</v>
      </c>
      <c r="AU1051" t="s">
        <v>86</v>
      </c>
      <c r="AV1051" t="s">
        <v>3073</v>
      </c>
      <c r="AW1051" t="s">
        <v>69</v>
      </c>
      <c r="AX1051" t="s">
        <v>3074</v>
      </c>
      <c r="AY1051" t="s">
        <v>3075</v>
      </c>
      <c r="AZ1051" t="s">
        <v>310</v>
      </c>
      <c r="BA1051" t="s">
        <v>244</v>
      </c>
      <c r="BB1051" t="s">
        <v>244</v>
      </c>
      <c r="BC1051" t="s">
        <v>244</v>
      </c>
      <c r="BD1051" t="s">
        <v>3078</v>
      </c>
      <c r="BE1051" t="s">
        <v>3282</v>
      </c>
      <c r="BF1051" t="s">
        <v>279</v>
      </c>
      <c r="BG1051" t="s">
        <v>87</v>
      </c>
      <c r="BH1051" t="str">
        <f>IF(COUNTIF(工作表1!A:A, $C1051)&gt;0, "預購款", "非預購款")</f>
        <v>非預購款</v>
      </c>
    </row>
    <row r="1052" spans="1:60" x14ac:dyDescent="0.25">
      <c r="A1052" t="s">
        <v>3116</v>
      </c>
      <c r="B1052" t="s">
        <v>2174</v>
      </c>
      <c r="C1052" t="s">
        <v>3117</v>
      </c>
      <c r="D1052" t="s">
        <v>3118</v>
      </c>
      <c r="E1052" t="s">
        <v>3119</v>
      </c>
      <c r="F1052" t="s">
        <v>176</v>
      </c>
      <c r="G1052" t="s">
        <v>3120</v>
      </c>
      <c r="H1052" t="s">
        <v>273</v>
      </c>
      <c r="I1052" t="s">
        <v>97</v>
      </c>
      <c r="J1052" t="s">
        <v>98</v>
      </c>
      <c r="K1052" t="s">
        <v>69</v>
      </c>
      <c r="L1052" t="s">
        <v>3107</v>
      </c>
      <c r="M1052" t="s">
        <v>71</v>
      </c>
      <c r="N1052" t="s">
        <v>198</v>
      </c>
      <c r="O1052" t="s">
        <v>2893</v>
      </c>
      <c r="P1052" t="s">
        <v>2894</v>
      </c>
      <c r="R1052" t="s">
        <v>2518</v>
      </c>
      <c r="S1052" t="s">
        <v>183</v>
      </c>
      <c r="T1052" t="s">
        <v>274</v>
      </c>
      <c r="U1052" t="s">
        <v>150</v>
      </c>
      <c r="V1052" t="s">
        <v>641</v>
      </c>
      <c r="W1052">
        <v>790</v>
      </c>
      <c r="X1052">
        <v>34.99</v>
      </c>
      <c r="Y1052">
        <v>99</v>
      </c>
      <c r="Z1052">
        <v>569000</v>
      </c>
      <c r="AA1052">
        <v>118500</v>
      </c>
      <c r="AB1052">
        <v>284</v>
      </c>
      <c r="AD1052" t="s">
        <v>238</v>
      </c>
      <c r="AE1052">
        <v>1</v>
      </c>
      <c r="AF1052">
        <v>0</v>
      </c>
      <c r="AI1052">
        <v>0</v>
      </c>
      <c r="AJ1052">
        <v>60</v>
      </c>
      <c r="AK1052">
        <v>60</v>
      </c>
      <c r="AL1052">
        <v>150</v>
      </c>
      <c r="AM1052">
        <v>70</v>
      </c>
      <c r="AN1052">
        <v>0</v>
      </c>
      <c r="AO1052">
        <v>70</v>
      </c>
      <c r="AP1052" t="s">
        <v>80</v>
      </c>
      <c r="AQ1052" t="s">
        <v>190</v>
      </c>
      <c r="AS1052" t="s">
        <v>86</v>
      </c>
      <c r="AT1052" t="s">
        <v>240</v>
      </c>
      <c r="AU1052" t="s">
        <v>86</v>
      </c>
      <c r="AV1052" t="s">
        <v>2952</v>
      </c>
      <c r="AW1052" t="s">
        <v>69</v>
      </c>
      <c r="AX1052" t="s">
        <v>126</v>
      </c>
      <c r="AY1052" t="s">
        <v>3075</v>
      </c>
      <c r="AZ1052" t="s">
        <v>245</v>
      </c>
      <c r="BA1052" t="s">
        <v>244</v>
      </c>
      <c r="BB1052" t="s">
        <v>244</v>
      </c>
      <c r="BC1052" t="s">
        <v>244</v>
      </c>
      <c r="BD1052" t="s">
        <v>3121</v>
      </c>
      <c r="BE1052" t="s">
        <v>3283</v>
      </c>
      <c r="BF1052" t="s">
        <v>279</v>
      </c>
      <c r="BG1052" t="s">
        <v>87</v>
      </c>
      <c r="BH1052" t="str">
        <f>IF(COUNTIF(工作表1!A:A, $C1052)&gt;0, "預購款", "非預購款")</f>
        <v>非預購款</v>
      </c>
    </row>
    <row r="1053" spans="1:60" x14ac:dyDescent="0.25">
      <c r="A1053" t="s">
        <v>3116</v>
      </c>
      <c r="B1053" t="s">
        <v>2174</v>
      </c>
      <c r="C1053" t="s">
        <v>3117</v>
      </c>
      <c r="D1053" t="s">
        <v>3118</v>
      </c>
      <c r="E1053" t="s">
        <v>3119</v>
      </c>
      <c r="F1053" t="s">
        <v>176</v>
      </c>
      <c r="G1053" t="s">
        <v>3120</v>
      </c>
      <c r="H1053" t="s">
        <v>280</v>
      </c>
      <c r="I1053" t="s">
        <v>97</v>
      </c>
      <c r="J1053" t="s">
        <v>98</v>
      </c>
      <c r="K1053" t="s">
        <v>69</v>
      </c>
      <c r="L1053" t="s">
        <v>3107</v>
      </c>
      <c r="M1053" t="s">
        <v>71</v>
      </c>
      <c r="N1053" t="s">
        <v>198</v>
      </c>
      <c r="O1053" t="s">
        <v>2893</v>
      </c>
      <c r="P1053" t="s">
        <v>2894</v>
      </c>
      <c r="R1053" t="s">
        <v>2518</v>
      </c>
      <c r="S1053" t="s">
        <v>183</v>
      </c>
      <c r="T1053" t="s">
        <v>274</v>
      </c>
      <c r="U1053" t="s">
        <v>150</v>
      </c>
      <c r="V1053" t="s">
        <v>641</v>
      </c>
      <c r="W1053">
        <v>790</v>
      </c>
      <c r="X1053">
        <v>34.99</v>
      </c>
      <c r="Y1053">
        <v>99</v>
      </c>
      <c r="Z1053">
        <v>569000</v>
      </c>
      <c r="AA1053">
        <v>118500</v>
      </c>
      <c r="AB1053">
        <v>284</v>
      </c>
      <c r="AD1053" t="s">
        <v>238</v>
      </c>
      <c r="AE1053">
        <v>1</v>
      </c>
      <c r="AF1053">
        <v>0</v>
      </c>
      <c r="AI1053">
        <v>0</v>
      </c>
      <c r="AJ1053">
        <v>90</v>
      </c>
      <c r="AK1053">
        <v>90</v>
      </c>
      <c r="AL1053">
        <v>150</v>
      </c>
      <c r="AM1053">
        <v>100</v>
      </c>
      <c r="AN1053">
        <v>0</v>
      </c>
      <c r="AO1053">
        <v>100</v>
      </c>
      <c r="AP1053" t="s">
        <v>80</v>
      </c>
      <c r="AQ1053" t="s">
        <v>190</v>
      </c>
      <c r="AS1053" t="s">
        <v>86</v>
      </c>
      <c r="AT1053" t="s">
        <v>240</v>
      </c>
      <c r="AU1053" t="s">
        <v>86</v>
      </c>
      <c r="AV1053" t="s">
        <v>2952</v>
      </c>
      <c r="AW1053" t="s">
        <v>69</v>
      </c>
      <c r="AX1053" t="s">
        <v>126</v>
      </c>
      <c r="AY1053" t="s">
        <v>3075</v>
      </c>
      <c r="AZ1053" t="s">
        <v>245</v>
      </c>
      <c r="BA1053" t="s">
        <v>244</v>
      </c>
      <c r="BB1053" t="s">
        <v>244</v>
      </c>
      <c r="BC1053" t="s">
        <v>244</v>
      </c>
      <c r="BD1053" t="s">
        <v>3123</v>
      </c>
      <c r="BE1053" t="s">
        <v>3283</v>
      </c>
      <c r="BF1053" t="s">
        <v>279</v>
      </c>
      <c r="BG1053" t="s">
        <v>87</v>
      </c>
      <c r="BH1053" t="str">
        <f>IF(COUNTIF(工作表1!A:A, $C1053)&gt;0, "預購款", "非預購款")</f>
        <v>非預購款</v>
      </c>
    </row>
    <row r="1054" spans="1:60" x14ac:dyDescent="0.25">
      <c r="A1054" t="s">
        <v>3284</v>
      </c>
      <c r="B1054" t="s">
        <v>339</v>
      </c>
      <c r="C1054" t="s">
        <v>3285</v>
      </c>
      <c r="D1054" t="s">
        <v>3286</v>
      </c>
      <c r="E1054" t="s">
        <v>3287</v>
      </c>
      <c r="F1054" t="s">
        <v>176</v>
      </c>
      <c r="G1054" t="s">
        <v>3288</v>
      </c>
      <c r="H1054" t="s">
        <v>119</v>
      </c>
      <c r="I1054" t="s">
        <v>97</v>
      </c>
      <c r="J1054" t="s">
        <v>98</v>
      </c>
      <c r="K1054" t="s">
        <v>80</v>
      </c>
      <c r="L1054" t="s">
        <v>3289</v>
      </c>
      <c r="M1054" t="s">
        <v>71</v>
      </c>
      <c r="N1054" t="s">
        <v>198</v>
      </c>
      <c r="O1054" t="s">
        <v>3146</v>
      </c>
      <c r="P1054" t="s">
        <v>3147</v>
      </c>
      <c r="R1054" t="s">
        <v>3148</v>
      </c>
      <c r="S1054" t="s">
        <v>183</v>
      </c>
      <c r="T1054" t="s">
        <v>291</v>
      </c>
      <c r="U1054" t="s">
        <v>150</v>
      </c>
      <c r="V1054" t="s">
        <v>641</v>
      </c>
      <c r="W1054">
        <v>690</v>
      </c>
      <c r="X1054">
        <v>29.99</v>
      </c>
      <c r="Y1054">
        <v>89</v>
      </c>
      <c r="Z1054">
        <v>499000</v>
      </c>
      <c r="AA1054">
        <v>282900</v>
      </c>
      <c r="AB1054">
        <v>220</v>
      </c>
      <c r="AD1054" t="s">
        <v>238</v>
      </c>
      <c r="AE1054">
        <v>2</v>
      </c>
      <c r="AF1054">
        <v>0</v>
      </c>
      <c r="AI1054">
        <v>10</v>
      </c>
      <c r="AJ1054">
        <v>90</v>
      </c>
      <c r="AK1054">
        <v>100</v>
      </c>
      <c r="AL1054">
        <v>410</v>
      </c>
      <c r="AM1054">
        <v>105</v>
      </c>
      <c r="AN1054">
        <v>0</v>
      </c>
      <c r="AO1054">
        <v>105</v>
      </c>
      <c r="AP1054" t="s">
        <v>80</v>
      </c>
      <c r="AQ1054" t="s">
        <v>190</v>
      </c>
      <c r="AT1054" t="s">
        <v>86</v>
      </c>
      <c r="AU1054" t="s">
        <v>86</v>
      </c>
      <c r="AV1054" t="s">
        <v>3290</v>
      </c>
      <c r="AW1054" t="s">
        <v>69</v>
      </c>
      <c r="AX1054" t="s">
        <v>126</v>
      </c>
      <c r="AY1054" t="s">
        <v>2439</v>
      </c>
      <c r="AZ1054" t="s">
        <v>243</v>
      </c>
      <c r="BA1054" t="s">
        <v>245</v>
      </c>
      <c r="BB1054" t="s">
        <v>244</v>
      </c>
      <c r="BC1054" t="s">
        <v>244</v>
      </c>
      <c r="BD1054" t="s">
        <v>3291</v>
      </c>
      <c r="BE1054" t="s">
        <v>3292</v>
      </c>
      <c r="BF1054" t="s">
        <v>291</v>
      </c>
      <c r="BG1054" t="s">
        <v>87</v>
      </c>
      <c r="BH1054" t="str">
        <f>IF(COUNTIF(工作表1!A:A, $C1054)&gt;0, "預購款", "非預購款")</f>
        <v>非預購款</v>
      </c>
    </row>
    <row r="1055" spans="1:60" x14ac:dyDescent="0.25">
      <c r="A1055" t="s">
        <v>3284</v>
      </c>
      <c r="B1055" t="s">
        <v>339</v>
      </c>
      <c r="C1055" t="s">
        <v>3285</v>
      </c>
      <c r="D1055" t="s">
        <v>3286</v>
      </c>
      <c r="E1055" t="s">
        <v>3287</v>
      </c>
      <c r="F1055" t="s">
        <v>176</v>
      </c>
      <c r="G1055" t="s">
        <v>3288</v>
      </c>
      <c r="H1055" t="s">
        <v>130</v>
      </c>
      <c r="I1055" t="s">
        <v>97</v>
      </c>
      <c r="J1055" t="s">
        <v>98</v>
      </c>
      <c r="K1055" t="s">
        <v>80</v>
      </c>
      <c r="L1055" t="s">
        <v>3289</v>
      </c>
      <c r="M1055" t="s">
        <v>71</v>
      </c>
      <c r="N1055" t="s">
        <v>198</v>
      </c>
      <c r="O1055" t="s">
        <v>3146</v>
      </c>
      <c r="P1055" t="s">
        <v>3147</v>
      </c>
      <c r="R1055" t="s">
        <v>3148</v>
      </c>
      <c r="S1055" t="s">
        <v>183</v>
      </c>
      <c r="T1055" t="s">
        <v>291</v>
      </c>
      <c r="U1055" t="s">
        <v>150</v>
      </c>
      <c r="V1055" t="s">
        <v>641</v>
      </c>
      <c r="W1055">
        <v>690</v>
      </c>
      <c r="X1055">
        <v>29.99</v>
      </c>
      <c r="Y1055">
        <v>89</v>
      </c>
      <c r="Z1055">
        <v>499000</v>
      </c>
      <c r="AA1055">
        <v>282900</v>
      </c>
      <c r="AB1055">
        <v>220</v>
      </c>
      <c r="AD1055" t="s">
        <v>238</v>
      </c>
      <c r="AE1055">
        <v>2</v>
      </c>
      <c r="AF1055">
        <v>0</v>
      </c>
      <c r="AI1055">
        <v>20</v>
      </c>
      <c r="AJ1055">
        <v>120</v>
      </c>
      <c r="AK1055">
        <v>140</v>
      </c>
      <c r="AL1055">
        <v>410</v>
      </c>
      <c r="AM1055">
        <v>146</v>
      </c>
      <c r="AN1055">
        <v>0</v>
      </c>
      <c r="AO1055">
        <v>146</v>
      </c>
      <c r="AP1055" t="s">
        <v>80</v>
      </c>
      <c r="AQ1055" t="s">
        <v>190</v>
      </c>
      <c r="AT1055" t="s">
        <v>86</v>
      </c>
      <c r="AU1055" t="s">
        <v>86</v>
      </c>
      <c r="AV1055" t="s">
        <v>3290</v>
      </c>
      <c r="AW1055" t="s">
        <v>69</v>
      </c>
      <c r="AX1055" t="s">
        <v>126</v>
      </c>
      <c r="AY1055" t="s">
        <v>2439</v>
      </c>
      <c r="AZ1055" t="s">
        <v>243</v>
      </c>
      <c r="BA1055" t="s">
        <v>245</v>
      </c>
      <c r="BB1055" t="s">
        <v>244</v>
      </c>
      <c r="BC1055" t="s">
        <v>244</v>
      </c>
      <c r="BD1055" t="s">
        <v>3293</v>
      </c>
      <c r="BE1055" t="s">
        <v>3292</v>
      </c>
      <c r="BF1055" t="s">
        <v>291</v>
      </c>
      <c r="BG1055" t="s">
        <v>87</v>
      </c>
      <c r="BH1055" t="str">
        <f>IF(COUNTIF(工作表1!A:A, $C1055)&gt;0, "預購款", "非預購款")</f>
        <v>非預購款</v>
      </c>
    </row>
    <row r="1056" spans="1:60" x14ac:dyDescent="0.25">
      <c r="A1056" t="s">
        <v>3284</v>
      </c>
      <c r="B1056" t="s">
        <v>339</v>
      </c>
      <c r="C1056" t="s">
        <v>3285</v>
      </c>
      <c r="D1056" t="s">
        <v>3286</v>
      </c>
      <c r="E1056" t="s">
        <v>3287</v>
      </c>
      <c r="F1056" t="s">
        <v>176</v>
      </c>
      <c r="G1056" t="s">
        <v>3288</v>
      </c>
      <c r="H1056" t="s">
        <v>119</v>
      </c>
      <c r="I1056" t="s">
        <v>214</v>
      </c>
      <c r="J1056" t="s">
        <v>215</v>
      </c>
      <c r="K1056" t="s">
        <v>69</v>
      </c>
      <c r="L1056" t="s">
        <v>3289</v>
      </c>
      <c r="M1056" t="s">
        <v>71</v>
      </c>
      <c r="N1056" t="s">
        <v>198</v>
      </c>
      <c r="O1056" t="s">
        <v>3146</v>
      </c>
      <c r="P1056" t="s">
        <v>3147</v>
      </c>
      <c r="R1056" t="s">
        <v>3148</v>
      </c>
      <c r="S1056" t="s">
        <v>183</v>
      </c>
      <c r="T1056" t="s">
        <v>291</v>
      </c>
      <c r="U1056" t="s">
        <v>150</v>
      </c>
      <c r="V1056" t="s">
        <v>641</v>
      </c>
      <c r="W1056">
        <v>690</v>
      </c>
      <c r="X1056">
        <v>29.99</v>
      </c>
      <c r="Y1056">
        <v>89</v>
      </c>
      <c r="Z1056">
        <v>499000</v>
      </c>
      <c r="AA1056">
        <v>282900</v>
      </c>
      <c r="AB1056">
        <v>220</v>
      </c>
      <c r="AD1056" t="s">
        <v>238</v>
      </c>
      <c r="AE1056">
        <v>2</v>
      </c>
      <c r="AF1056">
        <v>0</v>
      </c>
      <c r="AI1056">
        <v>10</v>
      </c>
      <c r="AJ1056">
        <v>80</v>
      </c>
      <c r="AK1056">
        <v>90</v>
      </c>
      <c r="AL1056">
        <v>410</v>
      </c>
      <c r="AM1056">
        <v>93</v>
      </c>
      <c r="AN1056">
        <v>0</v>
      </c>
      <c r="AO1056">
        <v>93</v>
      </c>
      <c r="AP1056" t="s">
        <v>80</v>
      </c>
      <c r="AQ1056" t="s">
        <v>190</v>
      </c>
      <c r="AT1056" t="s">
        <v>86</v>
      </c>
      <c r="AU1056" t="s">
        <v>86</v>
      </c>
      <c r="AV1056" t="s">
        <v>3290</v>
      </c>
      <c r="AW1056" t="s">
        <v>69</v>
      </c>
      <c r="AX1056" t="s">
        <v>126</v>
      </c>
      <c r="AY1056" t="s">
        <v>2439</v>
      </c>
      <c r="AZ1056" t="s">
        <v>243</v>
      </c>
      <c r="BA1056" t="s">
        <v>245</v>
      </c>
      <c r="BB1056" t="s">
        <v>244</v>
      </c>
      <c r="BC1056" t="s">
        <v>244</v>
      </c>
      <c r="BD1056" t="s">
        <v>3294</v>
      </c>
      <c r="BE1056" t="s">
        <v>3292</v>
      </c>
      <c r="BF1056" t="s">
        <v>291</v>
      </c>
      <c r="BG1056" t="s">
        <v>87</v>
      </c>
      <c r="BH1056" t="str">
        <f>IF(COUNTIF(工作表1!A:A, $C1056)&gt;0, "預購款", "非預購款")</f>
        <v>非預購款</v>
      </c>
    </row>
    <row r="1057" spans="1:60" x14ac:dyDescent="0.25">
      <c r="A1057" t="s">
        <v>3284</v>
      </c>
      <c r="B1057" t="s">
        <v>339</v>
      </c>
      <c r="C1057" t="s">
        <v>3285</v>
      </c>
      <c r="D1057" t="s">
        <v>3286</v>
      </c>
      <c r="E1057" t="s">
        <v>3287</v>
      </c>
      <c r="F1057" t="s">
        <v>176</v>
      </c>
      <c r="G1057" t="s">
        <v>3288</v>
      </c>
      <c r="H1057" t="s">
        <v>130</v>
      </c>
      <c r="I1057" t="s">
        <v>214</v>
      </c>
      <c r="J1057" t="s">
        <v>215</v>
      </c>
      <c r="K1057" t="s">
        <v>69</v>
      </c>
      <c r="L1057" t="s">
        <v>3289</v>
      </c>
      <c r="M1057" t="s">
        <v>71</v>
      </c>
      <c r="N1057" t="s">
        <v>198</v>
      </c>
      <c r="O1057" t="s">
        <v>3146</v>
      </c>
      <c r="P1057" t="s">
        <v>3147</v>
      </c>
      <c r="R1057" t="s">
        <v>3148</v>
      </c>
      <c r="S1057" t="s">
        <v>183</v>
      </c>
      <c r="T1057" t="s">
        <v>291</v>
      </c>
      <c r="U1057" t="s">
        <v>150</v>
      </c>
      <c r="V1057" t="s">
        <v>641</v>
      </c>
      <c r="W1057">
        <v>690</v>
      </c>
      <c r="X1057">
        <v>29.99</v>
      </c>
      <c r="Y1057">
        <v>89</v>
      </c>
      <c r="Z1057">
        <v>499000</v>
      </c>
      <c r="AA1057">
        <v>282900</v>
      </c>
      <c r="AB1057">
        <v>220</v>
      </c>
      <c r="AD1057" t="s">
        <v>238</v>
      </c>
      <c r="AE1057">
        <v>2</v>
      </c>
      <c r="AF1057">
        <v>0</v>
      </c>
      <c r="AI1057">
        <v>20</v>
      </c>
      <c r="AJ1057">
        <v>60</v>
      </c>
      <c r="AK1057">
        <v>80</v>
      </c>
      <c r="AL1057">
        <v>410</v>
      </c>
      <c r="AM1057">
        <v>87</v>
      </c>
      <c r="AN1057">
        <v>0</v>
      </c>
      <c r="AO1057">
        <v>87</v>
      </c>
      <c r="AP1057" t="s">
        <v>80</v>
      </c>
      <c r="AQ1057" t="s">
        <v>190</v>
      </c>
      <c r="AT1057" t="s">
        <v>86</v>
      </c>
      <c r="AU1057" t="s">
        <v>86</v>
      </c>
      <c r="AV1057" t="s">
        <v>3290</v>
      </c>
      <c r="AW1057" t="s">
        <v>69</v>
      </c>
      <c r="AX1057" t="s">
        <v>126</v>
      </c>
      <c r="AY1057" t="s">
        <v>2439</v>
      </c>
      <c r="AZ1057" t="s">
        <v>243</v>
      </c>
      <c r="BA1057" t="s">
        <v>245</v>
      </c>
      <c r="BB1057" t="s">
        <v>244</v>
      </c>
      <c r="BC1057" t="s">
        <v>244</v>
      </c>
      <c r="BD1057" t="s">
        <v>3295</v>
      </c>
      <c r="BE1057" t="s">
        <v>3292</v>
      </c>
      <c r="BF1057" t="s">
        <v>291</v>
      </c>
      <c r="BG1057" t="s">
        <v>87</v>
      </c>
      <c r="BH1057" t="str">
        <f>IF(COUNTIF(工作表1!A:A, $C1057)&gt;0, "預購款", "非預購款")</f>
        <v>非預購款</v>
      </c>
    </row>
    <row r="1058" spans="1:60" x14ac:dyDescent="0.25">
      <c r="A1058" t="s">
        <v>3057</v>
      </c>
      <c r="B1058" t="s">
        <v>315</v>
      </c>
      <c r="C1058" t="s">
        <v>3058</v>
      </c>
      <c r="D1058" t="s">
        <v>3059</v>
      </c>
      <c r="E1058" t="s">
        <v>3060</v>
      </c>
      <c r="F1058" t="s">
        <v>176</v>
      </c>
      <c r="G1058" t="s">
        <v>3061</v>
      </c>
      <c r="H1058" t="s">
        <v>119</v>
      </c>
      <c r="I1058" t="s">
        <v>214</v>
      </c>
      <c r="J1058" t="s">
        <v>215</v>
      </c>
      <c r="K1058" t="s">
        <v>69</v>
      </c>
      <c r="L1058" t="s">
        <v>3062</v>
      </c>
      <c r="M1058" t="s">
        <v>71</v>
      </c>
      <c r="N1058" t="s">
        <v>198</v>
      </c>
      <c r="O1058" t="s">
        <v>2893</v>
      </c>
      <c r="P1058" t="s">
        <v>2894</v>
      </c>
      <c r="R1058" t="s">
        <v>2518</v>
      </c>
      <c r="S1058" t="s">
        <v>183</v>
      </c>
      <c r="T1058" t="s">
        <v>258</v>
      </c>
      <c r="U1058" t="s">
        <v>146</v>
      </c>
      <c r="V1058" t="s">
        <v>321</v>
      </c>
      <c r="W1058">
        <v>890</v>
      </c>
      <c r="X1058">
        <v>39.99</v>
      </c>
      <c r="Y1058">
        <v>115</v>
      </c>
      <c r="Z1058">
        <v>639000</v>
      </c>
      <c r="AA1058">
        <v>137950</v>
      </c>
      <c r="AB1058">
        <v>355</v>
      </c>
      <c r="AD1058" t="s">
        <v>238</v>
      </c>
      <c r="AE1058">
        <v>1</v>
      </c>
      <c r="AF1058">
        <v>0</v>
      </c>
      <c r="AI1058">
        <v>15</v>
      </c>
      <c r="AJ1058">
        <v>80</v>
      </c>
      <c r="AK1058">
        <v>95</v>
      </c>
      <c r="AL1058">
        <v>155</v>
      </c>
      <c r="AM1058">
        <v>110</v>
      </c>
      <c r="AN1058">
        <v>0</v>
      </c>
      <c r="AO1058">
        <v>110</v>
      </c>
      <c r="AP1058" t="s">
        <v>80</v>
      </c>
      <c r="AQ1058" t="s">
        <v>2257</v>
      </c>
      <c r="AR1058" t="s">
        <v>86</v>
      </c>
      <c r="AS1058" t="s">
        <v>86</v>
      </c>
      <c r="AT1058" t="s">
        <v>86</v>
      </c>
      <c r="AU1058" t="s">
        <v>86</v>
      </c>
      <c r="AV1058" t="s">
        <v>3063</v>
      </c>
      <c r="AW1058" t="s">
        <v>69</v>
      </c>
      <c r="AX1058" t="s">
        <v>262</v>
      </c>
      <c r="AY1058" t="s">
        <v>3064</v>
      </c>
      <c r="AZ1058" t="s">
        <v>264</v>
      </c>
      <c r="BA1058" t="s">
        <v>245</v>
      </c>
      <c r="BB1058" t="s">
        <v>245</v>
      </c>
      <c r="BC1058" t="s">
        <v>245</v>
      </c>
      <c r="BD1058" t="s">
        <v>3296</v>
      </c>
      <c r="BE1058" t="s">
        <v>3297</v>
      </c>
      <c r="BF1058" t="s">
        <v>240</v>
      </c>
      <c r="BG1058" t="s">
        <v>110</v>
      </c>
      <c r="BH1058" t="str">
        <f>IF(COUNTIF(工作表1!A:A, $C1058)&gt;0, "預購款", "非預購款")</f>
        <v>非預購款</v>
      </c>
    </row>
    <row r="1059" spans="1:60" x14ac:dyDescent="0.25">
      <c r="A1059" t="s">
        <v>3057</v>
      </c>
      <c r="B1059" t="s">
        <v>315</v>
      </c>
      <c r="C1059" t="s">
        <v>3058</v>
      </c>
      <c r="D1059" t="s">
        <v>3059</v>
      </c>
      <c r="E1059" t="s">
        <v>3060</v>
      </c>
      <c r="F1059" t="s">
        <v>176</v>
      </c>
      <c r="G1059" t="s">
        <v>3061</v>
      </c>
      <c r="H1059" t="s">
        <v>130</v>
      </c>
      <c r="I1059" t="s">
        <v>214</v>
      </c>
      <c r="J1059" t="s">
        <v>215</v>
      </c>
      <c r="K1059" t="s">
        <v>69</v>
      </c>
      <c r="L1059" t="s">
        <v>3062</v>
      </c>
      <c r="M1059" t="s">
        <v>71</v>
      </c>
      <c r="N1059" t="s">
        <v>198</v>
      </c>
      <c r="O1059" t="s">
        <v>2893</v>
      </c>
      <c r="P1059" t="s">
        <v>2894</v>
      </c>
      <c r="R1059" t="s">
        <v>2518</v>
      </c>
      <c r="S1059" t="s">
        <v>183</v>
      </c>
      <c r="T1059" t="s">
        <v>258</v>
      </c>
      <c r="U1059" t="s">
        <v>146</v>
      </c>
      <c r="V1059" t="s">
        <v>321</v>
      </c>
      <c r="W1059">
        <v>890</v>
      </c>
      <c r="X1059">
        <v>39.99</v>
      </c>
      <c r="Y1059">
        <v>115</v>
      </c>
      <c r="Z1059">
        <v>639000</v>
      </c>
      <c r="AA1059">
        <v>137950</v>
      </c>
      <c r="AB1059">
        <v>355</v>
      </c>
      <c r="AD1059" t="s">
        <v>238</v>
      </c>
      <c r="AE1059">
        <v>1</v>
      </c>
      <c r="AF1059">
        <v>0</v>
      </c>
      <c r="AI1059">
        <v>10</v>
      </c>
      <c r="AJ1059">
        <v>40</v>
      </c>
      <c r="AK1059">
        <v>50</v>
      </c>
      <c r="AL1059">
        <v>155</v>
      </c>
      <c r="AM1059">
        <v>60</v>
      </c>
      <c r="AN1059">
        <v>0</v>
      </c>
      <c r="AO1059">
        <v>60</v>
      </c>
      <c r="AP1059" t="s">
        <v>80</v>
      </c>
      <c r="AQ1059" t="s">
        <v>2257</v>
      </c>
      <c r="AR1059" t="s">
        <v>86</v>
      </c>
      <c r="AS1059" t="s">
        <v>86</v>
      </c>
      <c r="AT1059" t="s">
        <v>86</v>
      </c>
      <c r="AU1059" t="s">
        <v>86</v>
      </c>
      <c r="AV1059" t="s">
        <v>3063</v>
      </c>
      <c r="AW1059" t="s">
        <v>69</v>
      </c>
      <c r="AX1059" t="s">
        <v>262</v>
      </c>
      <c r="AY1059" t="s">
        <v>3064</v>
      </c>
      <c r="AZ1059" t="s">
        <v>264</v>
      </c>
      <c r="BA1059" t="s">
        <v>245</v>
      </c>
      <c r="BB1059" t="s">
        <v>245</v>
      </c>
      <c r="BC1059" t="s">
        <v>245</v>
      </c>
      <c r="BD1059" t="s">
        <v>3298</v>
      </c>
      <c r="BE1059" t="s">
        <v>3297</v>
      </c>
      <c r="BF1059" t="s">
        <v>240</v>
      </c>
      <c r="BG1059" t="s">
        <v>110</v>
      </c>
      <c r="BH1059" t="str">
        <f>IF(COUNTIF(工作表1!A:A, $C1059)&gt;0, "預購款", "非預購款")</f>
        <v>非預購款</v>
      </c>
    </row>
    <row r="1060" spans="1:60" x14ac:dyDescent="0.25">
      <c r="A1060" t="s">
        <v>3057</v>
      </c>
      <c r="B1060" t="s">
        <v>315</v>
      </c>
      <c r="C1060" t="s">
        <v>3058</v>
      </c>
      <c r="D1060" t="s">
        <v>3059</v>
      </c>
      <c r="E1060" t="s">
        <v>3060</v>
      </c>
      <c r="F1060" t="s">
        <v>176</v>
      </c>
      <c r="G1060" t="s">
        <v>3061</v>
      </c>
      <c r="H1060" t="s">
        <v>132</v>
      </c>
      <c r="I1060" t="s">
        <v>214</v>
      </c>
      <c r="J1060" t="s">
        <v>215</v>
      </c>
      <c r="K1060" t="s">
        <v>69</v>
      </c>
      <c r="L1060" t="s">
        <v>3062</v>
      </c>
      <c r="M1060" t="s">
        <v>71</v>
      </c>
      <c r="N1060" t="s">
        <v>198</v>
      </c>
      <c r="O1060" t="s">
        <v>2893</v>
      </c>
      <c r="P1060" t="s">
        <v>2894</v>
      </c>
      <c r="R1060" t="s">
        <v>2518</v>
      </c>
      <c r="S1060" t="s">
        <v>183</v>
      </c>
      <c r="T1060" t="s">
        <v>258</v>
      </c>
      <c r="U1060" t="s">
        <v>146</v>
      </c>
      <c r="V1060" t="s">
        <v>321</v>
      </c>
      <c r="W1060">
        <v>890</v>
      </c>
      <c r="X1060">
        <v>39.99</v>
      </c>
      <c r="Y1060">
        <v>115</v>
      </c>
      <c r="Z1060">
        <v>639000</v>
      </c>
      <c r="AA1060">
        <v>137950</v>
      </c>
      <c r="AB1060">
        <v>355</v>
      </c>
      <c r="AD1060" t="s">
        <v>238</v>
      </c>
      <c r="AE1060">
        <v>1</v>
      </c>
      <c r="AF1060">
        <v>0</v>
      </c>
      <c r="AI1060">
        <v>0</v>
      </c>
      <c r="AJ1060">
        <v>10</v>
      </c>
      <c r="AK1060">
        <v>10</v>
      </c>
      <c r="AL1060">
        <v>155</v>
      </c>
      <c r="AM1060">
        <v>15</v>
      </c>
      <c r="AN1060">
        <v>0</v>
      </c>
      <c r="AO1060">
        <v>15</v>
      </c>
      <c r="AP1060" t="s">
        <v>80</v>
      </c>
      <c r="AQ1060" t="s">
        <v>2257</v>
      </c>
      <c r="AR1060" t="s">
        <v>86</v>
      </c>
      <c r="AS1060" t="s">
        <v>86</v>
      </c>
      <c r="AT1060" t="s">
        <v>86</v>
      </c>
      <c r="AU1060" t="s">
        <v>86</v>
      </c>
      <c r="AV1060" t="s">
        <v>3063</v>
      </c>
      <c r="AW1060" t="s">
        <v>69</v>
      </c>
      <c r="AX1060" t="s">
        <v>262</v>
      </c>
      <c r="AY1060" t="s">
        <v>3064</v>
      </c>
      <c r="AZ1060" t="s">
        <v>264</v>
      </c>
      <c r="BA1060" t="s">
        <v>245</v>
      </c>
      <c r="BB1060" t="s">
        <v>245</v>
      </c>
      <c r="BC1060" t="s">
        <v>245</v>
      </c>
      <c r="BD1060" t="s">
        <v>3299</v>
      </c>
      <c r="BE1060" t="s">
        <v>3297</v>
      </c>
      <c r="BF1060" t="s">
        <v>240</v>
      </c>
      <c r="BG1060" t="s">
        <v>110</v>
      </c>
      <c r="BH1060" t="str">
        <f>IF(COUNTIF(工作表1!A:A, $C1060)&gt;0, "預購款", "非預購款")</f>
        <v>非預購款</v>
      </c>
    </row>
    <row r="1061" spans="1:60" x14ac:dyDescent="0.25">
      <c r="A1061" t="s">
        <v>2762</v>
      </c>
      <c r="B1061" t="s">
        <v>315</v>
      </c>
      <c r="C1061" t="s">
        <v>2763</v>
      </c>
      <c r="D1061" t="s">
        <v>2764</v>
      </c>
      <c r="E1061" t="s">
        <v>2765</v>
      </c>
      <c r="F1061" t="s">
        <v>176</v>
      </c>
      <c r="G1061" t="s">
        <v>2766</v>
      </c>
      <c r="H1061" t="s">
        <v>119</v>
      </c>
      <c r="I1061" t="s">
        <v>120</v>
      </c>
      <c r="J1061" t="s">
        <v>121</v>
      </c>
      <c r="K1061" t="s">
        <v>69</v>
      </c>
      <c r="L1061" t="s">
        <v>2767</v>
      </c>
      <c r="M1061" t="s">
        <v>71</v>
      </c>
      <c r="N1061" t="s">
        <v>198</v>
      </c>
      <c r="O1061" t="s">
        <v>2597</v>
      </c>
      <c r="P1061" t="s">
        <v>2598</v>
      </c>
      <c r="R1061" t="s">
        <v>2599</v>
      </c>
      <c r="S1061" t="s">
        <v>183</v>
      </c>
      <c r="T1061" t="s">
        <v>76</v>
      </c>
      <c r="U1061" t="s">
        <v>502</v>
      </c>
      <c r="V1061" t="s">
        <v>765</v>
      </c>
      <c r="W1061">
        <v>1180</v>
      </c>
      <c r="X1061">
        <v>49.99</v>
      </c>
      <c r="Y1061">
        <v>155</v>
      </c>
      <c r="Z1061">
        <v>859000</v>
      </c>
      <c r="AA1061">
        <v>991200</v>
      </c>
      <c r="AB1061">
        <v>490</v>
      </c>
      <c r="AD1061" t="s">
        <v>238</v>
      </c>
      <c r="AE1061">
        <v>2</v>
      </c>
      <c r="AF1061">
        <v>20</v>
      </c>
      <c r="AI1061">
        <v>15</v>
      </c>
      <c r="AJ1061">
        <v>60</v>
      </c>
      <c r="AK1061">
        <v>95</v>
      </c>
      <c r="AL1061">
        <v>840</v>
      </c>
      <c r="AM1061">
        <v>0</v>
      </c>
      <c r="AN1061">
        <v>0</v>
      </c>
      <c r="AO1061">
        <v>0</v>
      </c>
      <c r="AP1061" t="s">
        <v>69</v>
      </c>
      <c r="AR1061" t="s">
        <v>86</v>
      </c>
      <c r="AS1061" t="s">
        <v>86</v>
      </c>
      <c r="AT1061" t="s">
        <v>86</v>
      </c>
      <c r="AU1061" t="s">
        <v>86</v>
      </c>
      <c r="AV1061" t="s">
        <v>2768</v>
      </c>
      <c r="AW1061" t="s">
        <v>80</v>
      </c>
      <c r="AX1061" t="s">
        <v>126</v>
      </c>
      <c r="AY1061" t="s">
        <v>2769</v>
      </c>
      <c r="AZ1061" t="s">
        <v>264</v>
      </c>
      <c r="BA1061" t="s">
        <v>245</v>
      </c>
      <c r="BB1061" t="s">
        <v>244</v>
      </c>
      <c r="BC1061" t="s">
        <v>244</v>
      </c>
      <c r="BD1061" t="s">
        <v>2770</v>
      </c>
      <c r="BE1061" t="s">
        <v>3300</v>
      </c>
      <c r="BF1061" t="s">
        <v>86</v>
      </c>
      <c r="BG1061" t="s">
        <v>110</v>
      </c>
      <c r="BH1061" t="str">
        <f>IF(COUNTIF(工作表1!A:A, $C1061)&gt;0, "預購款", "非預購款")</f>
        <v>非預購款</v>
      </c>
    </row>
    <row r="1062" spans="1:60" x14ac:dyDescent="0.25">
      <c r="A1062" t="s">
        <v>2762</v>
      </c>
      <c r="B1062" t="s">
        <v>315</v>
      </c>
      <c r="C1062" t="s">
        <v>2763</v>
      </c>
      <c r="D1062" t="s">
        <v>2764</v>
      </c>
      <c r="E1062" t="s">
        <v>2765</v>
      </c>
      <c r="F1062" t="s">
        <v>176</v>
      </c>
      <c r="G1062" t="s">
        <v>2766</v>
      </c>
      <c r="H1062" t="s">
        <v>130</v>
      </c>
      <c r="I1062" t="s">
        <v>120</v>
      </c>
      <c r="J1062" t="s">
        <v>121</v>
      </c>
      <c r="K1062" t="s">
        <v>69</v>
      </c>
      <c r="L1062" t="s">
        <v>2767</v>
      </c>
      <c r="M1062" t="s">
        <v>71</v>
      </c>
      <c r="N1062" t="s">
        <v>198</v>
      </c>
      <c r="O1062" t="s">
        <v>2597</v>
      </c>
      <c r="P1062" t="s">
        <v>2598</v>
      </c>
      <c r="R1062" t="s">
        <v>2599</v>
      </c>
      <c r="S1062" t="s">
        <v>183</v>
      </c>
      <c r="T1062" t="s">
        <v>76</v>
      </c>
      <c r="U1062" t="s">
        <v>502</v>
      </c>
      <c r="V1062" t="s">
        <v>765</v>
      </c>
      <c r="W1062">
        <v>1180</v>
      </c>
      <c r="X1062">
        <v>49.99</v>
      </c>
      <c r="Y1062">
        <v>155</v>
      </c>
      <c r="Z1062">
        <v>859000</v>
      </c>
      <c r="AA1062">
        <v>991200</v>
      </c>
      <c r="AB1062">
        <v>490</v>
      </c>
      <c r="AD1062" t="s">
        <v>238</v>
      </c>
      <c r="AE1062">
        <v>2</v>
      </c>
      <c r="AF1062">
        <v>15</v>
      </c>
      <c r="AI1062">
        <v>0</v>
      </c>
      <c r="AJ1062">
        <v>40</v>
      </c>
      <c r="AK1062">
        <v>55</v>
      </c>
      <c r="AL1062">
        <v>840</v>
      </c>
      <c r="AM1062">
        <v>0</v>
      </c>
      <c r="AN1062">
        <v>0</v>
      </c>
      <c r="AO1062">
        <v>0</v>
      </c>
      <c r="AP1062" t="s">
        <v>69</v>
      </c>
      <c r="AR1062" t="s">
        <v>86</v>
      </c>
      <c r="AS1062" t="s">
        <v>86</v>
      </c>
      <c r="AT1062" t="s">
        <v>86</v>
      </c>
      <c r="AU1062" t="s">
        <v>86</v>
      </c>
      <c r="AV1062" t="s">
        <v>2768</v>
      </c>
      <c r="AW1062" t="s">
        <v>80</v>
      </c>
      <c r="AX1062" t="s">
        <v>126</v>
      </c>
      <c r="AY1062" t="s">
        <v>2769</v>
      </c>
      <c r="AZ1062" t="s">
        <v>264</v>
      </c>
      <c r="BA1062" t="s">
        <v>245</v>
      </c>
      <c r="BB1062" t="s">
        <v>244</v>
      </c>
      <c r="BC1062" t="s">
        <v>244</v>
      </c>
      <c r="BD1062" t="s">
        <v>2772</v>
      </c>
      <c r="BE1062" t="s">
        <v>3300</v>
      </c>
      <c r="BF1062" t="s">
        <v>86</v>
      </c>
      <c r="BG1062" t="s">
        <v>110</v>
      </c>
      <c r="BH1062" t="str">
        <f>IF(COUNTIF(工作表1!A:A, $C1062)&gt;0, "預購款", "非預購款")</f>
        <v>非預購款</v>
      </c>
    </row>
    <row r="1063" spans="1:60" x14ac:dyDescent="0.25">
      <c r="A1063" t="s">
        <v>2762</v>
      </c>
      <c r="B1063" t="s">
        <v>315</v>
      </c>
      <c r="C1063" t="s">
        <v>2763</v>
      </c>
      <c r="D1063" t="s">
        <v>2764</v>
      </c>
      <c r="E1063" t="s">
        <v>2765</v>
      </c>
      <c r="F1063" t="s">
        <v>176</v>
      </c>
      <c r="G1063" t="s">
        <v>2766</v>
      </c>
      <c r="H1063" t="s">
        <v>132</v>
      </c>
      <c r="I1063" t="s">
        <v>120</v>
      </c>
      <c r="J1063" t="s">
        <v>121</v>
      </c>
      <c r="K1063" t="s">
        <v>69</v>
      </c>
      <c r="L1063" t="s">
        <v>2767</v>
      </c>
      <c r="M1063" t="s">
        <v>71</v>
      </c>
      <c r="N1063" t="s">
        <v>198</v>
      </c>
      <c r="O1063" t="s">
        <v>2597</v>
      </c>
      <c r="P1063" t="s">
        <v>2598</v>
      </c>
      <c r="R1063" t="s">
        <v>2599</v>
      </c>
      <c r="S1063" t="s">
        <v>183</v>
      </c>
      <c r="T1063" t="s">
        <v>76</v>
      </c>
      <c r="U1063" t="s">
        <v>502</v>
      </c>
      <c r="V1063" t="s">
        <v>765</v>
      </c>
      <c r="W1063">
        <v>1180</v>
      </c>
      <c r="X1063">
        <v>49.99</v>
      </c>
      <c r="Y1063">
        <v>155</v>
      </c>
      <c r="Z1063">
        <v>859000</v>
      </c>
      <c r="AA1063">
        <v>991200</v>
      </c>
      <c r="AB1063">
        <v>490</v>
      </c>
      <c r="AD1063" t="s">
        <v>238</v>
      </c>
      <c r="AE1063">
        <v>2</v>
      </c>
      <c r="AF1063">
        <v>5</v>
      </c>
      <c r="AI1063">
        <v>15</v>
      </c>
      <c r="AJ1063">
        <v>20</v>
      </c>
      <c r="AK1063">
        <v>40</v>
      </c>
      <c r="AL1063">
        <v>840</v>
      </c>
      <c r="AM1063">
        <v>0</v>
      </c>
      <c r="AN1063">
        <v>0</v>
      </c>
      <c r="AO1063">
        <v>0</v>
      </c>
      <c r="AP1063" t="s">
        <v>69</v>
      </c>
      <c r="AR1063" t="s">
        <v>86</v>
      </c>
      <c r="AS1063" t="s">
        <v>86</v>
      </c>
      <c r="AT1063" t="s">
        <v>86</v>
      </c>
      <c r="AU1063" t="s">
        <v>86</v>
      </c>
      <c r="AV1063" t="s">
        <v>2768</v>
      </c>
      <c r="AW1063" t="s">
        <v>80</v>
      </c>
      <c r="AX1063" t="s">
        <v>126</v>
      </c>
      <c r="AY1063" t="s">
        <v>2769</v>
      </c>
      <c r="AZ1063" t="s">
        <v>264</v>
      </c>
      <c r="BA1063" t="s">
        <v>245</v>
      </c>
      <c r="BB1063" t="s">
        <v>244</v>
      </c>
      <c r="BC1063" t="s">
        <v>244</v>
      </c>
      <c r="BD1063" t="s">
        <v>2773</v>
      </c>
      <c r="BE1063" t="s">
        <v>3300</v>
      </c>
      <c r="BF1063" t="s">
        <v>86</v>
      </c>
      <c r="BG1063" t="s">
        <v>110</v>
      </c>
      <c r="BH1063" t="str">
        <f>IF(COUNTIF(工作表1!A:A, $C1063)&gt;0, "預購款", "非預購款")</f>
        <v>非預購款</v>
      </c>
    </row>
    <row r="1064" spans="1:60" x14ac:dyDescent="0.25">
      <c r="A1064" t="s">
        <v>2825</v>
      </c>
      <c r="B1064" t="s">
        <v>315</v>
      </c>
      <c r="C1064" t="s">
        <v>2826</v>
      </c>
      <c r="D1064" t="s">
        <v>2827</v>
      </c>
      <c r="E1064" t="s">
        <v>2828</v>
      </c>
      <c r="F1064" t="s">
        <v>176</v>
      </c>
      <c r="G1064" t="s">
        <v>2829</v>
      </c>
      <c r="H1064" t="s">
        <v>119</v>
      </c>
      <c r="I1064" t="s">
        <v>88</v>
      </c>
      <c r="J1064" t="s">
        <v>89</v>
      </c>
      <c r="K1064" t="s">
        <v>69</v>
      </c>
      <c r="L1064" t="s">
        <v>2830</v>
      </c>
      <c r="M1064" t="s">
        <v>71</v>
      </c>
      <c r="N1064" t="s">
        <v>198</v>
      </c>
      <c r="O1064" t="s">
        <v>2597</v>
      </c>
      <c r="P1064" t="s">
        <v>2598</v>
      </c>
      <c r="R1064" t="s">
        <v>2599</v>
      </c>
      <c r="S1064" t="s">
        <v>183</v>
      </c>
      <c r="T1064" t="s">
        <v>291</v>
      </c>
      <c r="U1064" t="s">
        <v>146</v>
      </c>
      <c r="V1064" t="s">
        <v>144</v>
      </c>
      <c r="W1064">
        <v>990</v>
      </c>
      <c r="X1064">
        <v>39.99</v>
      </c>
      <c r="Y1064">
        <v>129</v>
      </c>
      <c r="Z1064">
        <v>709000</v>
      </c>
      <c r="AA1064">
        <v>460350</v>
      </c>
      <c r="AB1064">
        <v>480</v>
      </c>
      <c r="AD1064" t="s">
        <v>238</v>
      </c>
      <c r="AE1064">
        <v>2</v>
      </c>
      <c r="AF1064">
        <v>10</v>
      </c>
      <c r="AI1064">
        <v>35</v>
      </c>
      <c r="AJ1064">
        <v>50</v>
      </c>
      <c r="AK1064">
        <v>95</v>
      </c>
      <c r="AL1064">
        <v>465</v>
      </c>
      <c r="AM1064">
        <v>108</v>
      </c>
      <c r="AN1064">
        <v>0</v>
      </c>
      <c r="AO1064">
        <v>108</v>
      </c>
      <c r="AP1064" t="s">
        <v>69</v>
      </c>
      <c r="AT1064" t="s">
        <v>240</v>
      </c>
      <c r="AU1064" t="s">
        <v>240</v>
      </c>
      <c r="AV1064" t="s">
        <v>2831</v>
      </c>
      <c r="AW1064" t="s">
        <v>80</v>
      </c>
      <c r="AX1064" t="s">
        <v>126</v>
      </c>
      <c r="AY1064" t="s">
        <v>2813</v>
      </c>
      <c r="AZ1064" t="s">
        <v>264</v>
      </c>
      <c r="BA1064" t="s">
        <v>245</v>
      </c>
      <c r="BB1064" t="s">
        <v>244</v>
      </c>
      <c r="BC1064" t="s">
        <v>244</v>
      </c>
      <c r="BD1064" t="s">
        <v>2839</v>
      </c>
      <c r="BE1064" t="s">
        <v>3301</v>
      </c>
      <c r="BF1064" t="s">
        <v>291</v>
      </c>
      <c r="BG1064" t="s">
        <v>110</v>
      </c>
      <c r="BH1064" t="str">
        <f>IF(COUNTIF(工作表1!A:A, $C1064)&gt;0, "預購款", "非預購款")</f>
        <v>非預購款</v>
      </c>
    </row>
    <row r="1065" spans="1:60" x14ac:dyDescent="0.25">
      <c r="A1065" t="s">
        <v>2825</v>
      </c>
      <c r="B1065" t="s">
        <v>315</v>
      </c>
      <c r="C1065" t="s">
        <v>2826</v>
      </c>
      <c r="D1065" t="s">
        <v>2827</v>
      </c>
      <c r="E1065" t="s">
        <v>2828</v>
      </c>
      <c r="F1065" t="s">
        <v>176</v>
      </c>
      <c r="G1065" t="s">
        <v>2829</v>
      </c>
      <c r="H1065" t="s">
        <v>392</v>
      </c>
      <c r="I1065" t="s">
        <v>88</v>
      </c>
      <c r="J1065" t="s">
        <v>89</v>
      </c>
      <c r="K1065" t="s">
        <v>69</v>
      </c>
      <c r="L1065" t="s">
        <v>2830</v>
      </c>
      <c r="M1065" t="s">
        <v>71</v>
      </c>
      <c r="N1065" t="s">
        <v>198</v>
      </c>
      <c r="O1065" t="s">
        <v>2597</v>
      </c>
      <c r="P1065" t="s">
        <v>2598</v>
      </c>
      <c r="R1065" t="s">
        <v>2599</v>
      </c>
      <c r="S1065" t="s">
        <v>183</v>
      </c>
      <c r="T1065" t="s">
        <v>291</v>
      </c>
      <c r="U1065" t="s">
        <v>146</v>
      </c>
      <c r="V1065" t="s">
        <v>144</v>
      </c>
      <c r="W1065">
        <v>990</v>
      </c>
      <c r="X1065">
        <v>39.99</v>
      </c>
      <c r="Y1065">
        <v>129</v>
      </c>
      <c r="Z1065">
        <v>709000</v>
      </c>
      <c r="AA1065">
        <v>460350</v>
      </c>
      <c r="AB1065">
        <v>480</v>
      </c>
      <c r="AD1065" t="s">
        <v>238</v>
      </c>
      <c r="AE1065">
        <v>2</v>
      </c>
      <c r="AF1065">
        <v>5</v>
      </c>
      <c r="AI1065">
        <v>10</v>
      </c>
      <c r="AJ1065">
        <v>20</v>
      </c>
      <c r="AK1065">
        <v>35</v>
      </c>
      <c r="AL1065">
        <v>465</v>
      </c>
      <c r="AM1065">
        <v>45</v>
      </c>
      <c r="AN1065">
        <v>0</v>
      </c>
      <c r="AO1065">
        <v>45</v>
      </c>
      <c r="AP1065" t="s">
        <v>69</v>
      </c>
      <c r="AT1065" t="s">
        <v>240</v>
      </c>
      <c r="AU1065" t="s">
        <v>240</v>
      </c>
      <c r="AV1065" t="s">
        <v>2831</v>
      </c>
      <c r="AW1065" t="s">
        <v>80</v>
      </c>
      <c r="AX1065" t="s">
        <v>126</v>
      </c>
      <c r="AY1065" t="s">
        <v>2813</v>
      </c>
      <c r="AZ1065" t="s">
        <v>264</v>
      </c>
      <c r="BA1065" t="s">
        <v>245</v>
      </c>
      <c r="BB1065" t="s">
        <v>244</v>
      </c>
      <c r="BC1065" t="s">
        <v>244</v>
      </c>
      <c r="BD1065" t="s">
        <v>2840</v>
      </c>
      <c r="BE1065" t="s">
        <v>3301</v>
      </c>
      <c r="BF1065" t="s">
        <v>291</v>
      </c>
      <c r="BG1065" t="s">
        <v>110</v>
      </c>
      <c r="BH1065" t="str">
        <f>IF(COUNTIF(工作表1!A:A, $C1065)&gt;0, "預購款", "非預購款")</f>
        <v>非預購款</v>
      </c>
    </row>
    <row r="1066" spans="1:60" x14ac:dyDescent="0.25">
      <c r="A1066" t="s">
        <v>2825</v>
      </c>
      <c r="B1066" t="s">
        <v>315</v>
      </c>
      <c r="C1066" t="s">
        <v>2826</v>
      </c>
      <c r="D1066" t="s">
        <v>2827</v>
      </c>
      <c r="E1066" t="s">
        <v>2828</v>
      </c>
      <c r="F1066" t="s">
        <v>176</v>
      </c>
      <c r="G1066" t="s">
        <v>2829</v>
      </c>
      <c r="H1066" t="s">
        <v>130</v>
      </c>
      <c r="I1066" t="s">
        <v>88</v>
      </c>
      <c r="J1066" t="s">
        <v>89</v>
      </c>
      <c r="K1066" t="s">
        <v>69</v>
      </c>
      <c r="L1066" t="s">
        <v>2830</v>
      </c>
      <c r="M1066" t="s">
        <v>71</v>
      </c>
      <c r="N1066" t="s">
        <v>198</v>
      </c>
      <c r="O1066" t="s">
        <v>2597</v>
      </c>
      <c r="P1066" t="s">
        <v>2598</v>
      </c>
      <c r="R1066" t="s">
        <v>2599</v>
      </c>
      <c r="S1066" t="s">
        <v>183</v>
      </c>
      <c r="T1066" t="s">
        <v>291</v>
      </c>
      <c r="U1066" t="s">
        <v>146</v>
      </c>
      <c r="V1066" t="s">
        <v>144</v>
      </c>
      <c r="W1066">
        <v>990</v>
      </c>
      <c r="X1066">
        <v>39.99</v>
      </c>
      <c r="Y1066">
        <v>129</v>
      </c>
      <c r="Z1066">
        <v>709000</v>
      </c>
      <c r="AA1066">
        <v>460350</v>
      </c>
      <c r="AB1066">
        <v>480</v>
      </c>
      <c r="AD1066" t="s">
        <v>238</v>
      </c>
      <c r="AE1066">
        <v>2</v>
      </c>
      <c r="AF1066">
        <v>10</v>
      </c>
      <c r="AI1066">
        <v>75</v>
      </c>
      <c r="AJ1066">
        <v>35</v>
      </c>
      <c r="AK1066">
        <v>120</v>
      </c>
      <c r="AL1066">
        <v>465</v>
      </c>
      <c r="AM1066">
        <v>120</v>
      </c>
      <c r="AN1066">
        <v>0</v>
      </c>
      <c r="AO1066">
        <v>120</v>
      </c>
      <c r="AP1066" t="s">
        <v>69</v>
      </c>
      <c r="AT1066" t="s">
        <v>240</v>
      </c>
      <c r="AU1066" t="s">
        <v>240</v>
      </c>
      <c r="AV1066" t="s">
        <v>2831</v>
      </c>
      <c r="AW1066" t="s">
        <v>80</v>
      </c>
      <c r="AX1066" t="s">
        <v>126</v>
      </c>
      <c r="AY1066" t="s">
        <v>2813</v>
      </c>
      <c r="AZ1066" t="s">
        <v>264</v>
      </c>
      <c r="BA1066" t="s">
        <v>245</v>
      </c>
      <c r="BB1066" t="s">
        <v>244</v>
      </c>
      <c r="BC1066" t="s">
        <v>244</v>
      </c>
      <c r="BD1066" t="s">
        <v>2841</v>
      </c>
      <c r="BE1066" t="s">
        <v>3301</v>
      </c>
      <c r="BF1066" t="s">
        <v>291</v>
      </c>
      <c r="BG1066" t="s">
        <v>110</v>
      </c>
      <c r="BH1066" t="str">
        <f>IF(COUNTIF(工作表1!A:A, $C1066)&gt;0, "預購款", "非預購款")</f>
        <v>非預購款</v>
      </c>
    </row>
    <row r="1067" spans="1:60" x14ac:dyDescent="0.25">
      <c r="A1067" t="s">
        <v>2825</v>
      </c>
      <c r="B1067" t="s">
        <v>315</v>
      </c>
      <c r="C1067" t="s">
        <v>2826</v>
      </c>
      <c r="D1067" t="s">
        <v>2827</v>
      </c>
      <c r="E1067" t="s">
        <v>2828</v>
      </c>
      <c r="F1067" t="s">
        <v>176</v>
      </c>
      <c r="G1067" t="s">
        <v>2829</v>
      </c>
      <c r="H1067" t="s">
        <v>132</v>
      </c>
      <c r="I1067" t="s">
        <v>88</v>
      </c>
      <c r="J1067" t="s">
        <v>89</v>
      </c>
      <c r="K1067" t="s">
        <v>69</v>
      </c>
      <c r="L1067" t="s">
        <v>2830</v>
      </c>
      <c r="M1067" t="s">
        <v>71</v>
      </c>
      <c r="N1067" t="s">
        <v>198</v>
      </c>
      <c r="O1067" t="s">
        <v>2597</v>
      </c>
      <c r="P1067" t="s">
        <v>2598</v>
      </c>
      <c r="R1067" t="s">
        <v>2599</v>
      </c>
      <c r="S1067" t="s">
        <v>183</v>
      </c>
      <c r="T1067" t="s">
        <v>291</v>
      </c>
      <c r="U1067" t="s">
        <v>146</v>
      </c>
      <c r="V1067" t="s">
        <v>144</v>
      </c>
      <c r="W1067">
        <v>990</v>
      </c>
      <c r="X1067">
        <v>39.99</v>
      </c>
      <c r="Y1067">
        <v>129</v>
      </c>
      <c r="Z1067">
        <v>709000</v>
      </c>
      <c r="AA1067">
        <v>460350</v>
      </c>
      <c r="AB1067">
        <v>480</v>
      </c>
      <c r="AD1067" t="s">
        <v>238</v>
      </c>
      <c r="AE1067">
        <v>2</v>
      </c>
      <c r="AF1067">
        <v>5</v>
      </c>
      <c r="AI1067">
        <v>40</v>
      </c>
      <c r="AJ1067">
        <v>25</v>
      </c>
      <c r="AK1067">
        <v>70</v>
      </c>
      <c r="AL1067">
        <v>465</v>
      </c>
      <c r="AM1067">
        <v>80</v>
      </c>
      <c r="AN1067">
        <v>0</v>
      </c>
      <c r="AO1067">
        <v>80</v>
      </c>
      <c r="AP1067" t="s">
        <v>69</v>
      </c>
      <c r="AT1067" t="s">
        <v>240</v>
      </c>
      <c r="AU1067" t="s">
        <v>240</v>
      </c>
      <c r="AV1067" t="s">
        <v>2831</v>
      </c>
      <c r="AW1067" t="s">
        <v>80</v>
      </c>
      <c r="AX1067" t="s">
        <v>126</v>
      </c>
      <c r="AY1067" t="s">
        <v>2813</v>
      </c>
      <c r="AZ1067" t="s">
        <v>264</v>
      </c>
      <c r="BA1067" t="s">
        <v>245</v>
      </c>
      <c r="BB1067" t="s">
        <v>244</v>
      </c>
      <c r="BC1067" t="s">
        <v>244</v>
      </c>
      <c r="BD1067" t="s">
        <v>2842</v>
      </c>
      <c r="BE1067" t="s">
        <v>3301</v>
      </c>
      <c r="BF1067" t="s">
        <v>291</v>
      </c>
      <c r="BG1067" t="s">
        <v>110</v>
      </c>
      <c r="BH1067" t="str">
        <f>IF(COUNTIF(工作表1!A:A, $C1067)&gt;0, "預購款", "非預購款")</f>
        <v>非預購款</v>
      </c>
    </row>
    <row r="1068" spans="1:60" x14ac:dyDescent="0.25">
      <c r="A1068" t="s">
        <v>3309</v>
      </c>
      <c r="B1068" t="s">
        <v>315</v>
      </c>
      <c r="C1068" t="s">
        <v>3310</v>
      </c>
      <c r="D1068" t="s">
        <v>3311</v>
      </c>
      <c r="E1068" t="s">
        <v>3312</v>
      </c>
      <c r="F1068" t="s">
        <v>176</v>
      </c>
      <c r="G1068" t="s">
        <v>3313</v>
      </c>
      <c r="H1068" t="s">
        <v>119</v>
      </c>
      <c r="I1068" t="s">
        <v>97</v>
      </c>
      <c r="J1068" t="s">
        <v>98</v>
      </c>
      <c r="K1068" t="s">
        <v>69</v>
      </c>
      <c r="L1068" t="s">
        <v>3314</v>
      </c>
      <c r="M1068" t="s">
        <v>71</v>
      </c>
      <c r="N1068" t="s">
        <v>198</v>
      </c>
      <c r="O1068" t="s">
        <v>3146</v>
      </c>
      <c r="P1068" t="s">
        <v>3147</v>
      </c>
      <c r="R1068" t="s">
        <v>3148</v>
      </c>
      <c r="S1068" t="s">
        <v>183</v>
      </c>
      <c r="T1068" t="s">
        <v>258</v>
      </c>
      <c r="U1068" t="s">
        <v>104</v>
      </c>
      <c r="V1068" t="s">
        <v>1220</v>
      </c>
      <c r="W1068">
        <v>790</v>
      </c>
      <c r="X1068">
        <v>34.99</v>
      </c>
      <c r="Y1068">
        <v>99</v>
      </c>
      <c r="Z1068">
        <v>569000</v>
      </c>
      <c r="AA1068">
        <v>643850</v>
      </c>
      <c r="AB1068">
        <v>185</v>
      </c>
      <c r="AD1068" t="s">
        <v>238</v>
      </c>
      <c r="AE1068">
        <v>2</v>
      </c>
      <c r="AF1068">
        <v>15</v>
      </c>
      <c r="AI1068">
        <v>100</v>
      </c>
      <c r="AJ1068">
        <v>350</v>
      </c>
      <c r="AK1068">
        <v>465</v>
      </c>
      <c r="AL1068">
        <v>815</v>
      </c>
      <c r="AM1068">
        <v>465</v>
      </c>
      <c r="AN1068">
        <v>0</v>
      </c>
      <c r="AO1068">
        <v>465</v>
      </c>
      <c r="AP1068" t="s">
        <v>69</v>
      </c>
      <c r="AR1068" t="s">
        <v>86</v>
      </c>
      <c r="AS1068" t="s">
        <v>86</v>
      </c>
      <c r="AT1068" t="s">
        <v>86</v>
      </c>
      <c r="AU1068" t="s">
        <v>86</v>
      </c>
      <c r="AV1068" t="s">
        <v>3315</v>
      </c>
      <c r="AW1068" t="s">
        <v>69</v>
      </c>
      <c r="AX1068" t="s">
        <v>737</v>
      </c>
      <c r="AY1068" t="s">
        <v>3316</v>
      </c>
      <c r="AZ1068" t="s">
        <v>244</v>
      </c>
      <c r="BA1068" t="s">
        <v>244</v>
      </c>
      <c r="BB1068" t="s">
        <v>264</v>
      </c>
      <c r="BC1068" t="s">
        <v>244</v>
      </c>
      <c r="BD1068" t="s">
        <v>3318</v>
      </c>
      <c r="BE1068" t="s">
        <v>3317</v>
      </c>
      <c r="BF1068" t="s">
        <v>240</v>
      </c>
      <c r="BG1068" t="s">
        <v>110</v>
      </c>
      <c r="BH1068" t="str">
        <f>IF(COUNTIF(工作表1!A:A, $C1068)&gt;0, "預購款", "非預購款")</f>
        <v>非預購款</v>
      </c>
    </row>
    <row r="1069" spans="1:60" x14ac:dyDescent="0.25">
      <c r="A1069" t="s">
        <v>3309</v>
      </c>
      <c r="B1069" t="s">
        <v>315</v>
      </c>
      <c r="C1069" t="s">
        <v>3310</v>
      </c>
      <c r="D1069" t="s">
        <v>3311</v>
      </c>
      <c r="E1069" t="s">
        <v>3312</v>
      </c>
      <c r="F1069" t="s">
        <v>176</v>
      </c>
      <c r="G1069" t="s">
        <v>3313</v>
      </c>
      <c r="H1069" t="s">
        <v>130</v>
      </c>
      <c r="I1069" t="s">
        <v>97</v>
      </c>
      <c r="J1069" t="s">
        <v>98</v>
      </c>
      <c r="K1069" t="s">
        <v>69</v>
      </c>
      <c r="L1069" t="s">
        <v>3314</v>
      </c>
      <c r="M1069" t="s">
        <v>71</v>
      </c>
      <c r="N1069" t="s">
        <v>198</v>
      </c>
      <c r="O1069" t="s">
        <v>3146</v>
      </c>
      <c r="P1069" t="s">
        <v>3147</v>
      </c>
      <c r="R1069" t="s">
        <v>3148</v>
      </c>
      <c r="S1069" t="s">
        <v>183</v>
      </c>
      <c r="T1069" t="s">
        <v>258</v>
      </c>
      <c r="U1069" t="s">
        <v>104</v>
      </c>
      <c r="V1069" t="s">
        <v>1220</v>
      </c>
      <c r="W1069">
        <v>790</v>
      </c>
      <c r="X1069">
        <v>34.99</v>
      </c>
      <c r="Y1069">
        <v>99</v>
      </c>
      <c r="Z1069">
        <v>569000</v>
      </c>
      <c r="AA1069">
        <v>643850</v>
      </c>
      <c r="AB1069">
        <v>185</v>
      </c>
      <c r="AD1069" t="s">
        <v>238</v>
      </c>
      <c r="AE1069">
        <v>2</v>
      </c>
      <c r="AF1069">
        <v>10</v>
      </c>
      <c r="AI1069">
        <v>50</v>
      </c>
      <c r="AJ1069">
        <v>120</v>
      </c>
      <c r="AK1069">
        <v>180</v>
      </c>
      <c r="AL1069">
        <v>815</v>
      </c>
      <c r="AM1069">
        <v>180</v>
      </c>
      <c r="AN1069">
        <v>0</v>
      </c>
      <c r="AO1069">
        <v>180</v>
      </c>
      <c r="AP1069" t="s">
        <v>69</v>
      </c>
      <c r="AR1069" t="s">
        <v>86</v>
      </c>
      <c r="AS1069" t="s">
        <v>86</v>
      </c>
      <c r="AT1069" t="s">
        <v>86</v>
      </c>
      <c r="AU1069" t="s">
        <v>86</v>
      </c>
      <c r="AV1069" t="s">
        <v>3315</v>
      </c>
      <c r="AW1069" t="s">
        <v>69</v>
      </c>
      <c r="AX1069" t="s">
        <v>737</v>
      </c>
      <c r="AY1069" t="s">
        <v>3316</v>
      </c>
      <c r="AZ1069" t="s">
        <v>244</v>
      </c>
      <c r="BA1069" t="s">
        <v>244</v>
      </c>
      <c r="BB1069" t="s">
        <v>264</v>
      </c>
      <c r="BC1069" t="s">
        <v>244</v>
      </c>
      <c r="BD1069" t="s">
        <v>3319</v>
      </c>
      <c r="BE1069" t="s">
        <v>3317</v>
      </c>
      <c r="BF1069" t="s">
        <v>240</v>
      </c>
      <c r="BG1069" t="s">
        <v>110</v>
      </c>
      <c r="BH1069" t="str">
        <f>IF(COUNTIF(工作表1!A:A, $C1069)&gt;0, "預購款", "非預購款")</f>
        <v>非預購款</v>
      </c>
    </row>
    <row r="1070" spans="1:60" x14ac:dyDescent="0.25">
      <c r="A1070" t="s">
        <v>3309</v>
      </c>
      <c r="B1070" t="s">
        <v>315</v>
      </c>
      <c r="C1070" t="s">
        <v>3310</v>
      </c>
      <c r="D1070" t="s">
        <v>3311</v>
      </c>
      <c r="E1070" t="s">
        <v>3312</v>
      </c>
      <c r="F1070" t="s">
        <v>176</v>
      </c>
      <c r="G1070" t="s">
        <v>3313</v>
      </c>
      <c r="H1070" t="s">
        <v>132</v>
      </c>
      <c r="I1070" t="s">
        <v>97</v>
      </c>
      <c r="J1070" t="s">
        <v>98</v>
      </c>
      <c r="K1070" t="s">
        <v>69</v>
      </c>
      <c r="L1070" t="s">
        <v>3314</v>
      </c>
      <c r="M1070" t="s">
        <v>71</v>
      </c>
      <c r="N1070" t="s">
        <v>198</v>
      </c>
      <c r="O1070" t="s">
        <v>3146</v>
      </c>
      <c r="P1070" t="s">
        <v>3147</v>
      </c>
      <c r="R1070" t="s">
        <v>3148</v>
      </c>
      <c r="S1070" t="s">
        <v>183</v>
      </c>
      <c r="T1070" t="s">
        <v>258</v>
      </c>
      <c r="U1070" t="s">
        <v>104</v>
      </c>
      <c r="V1070" t="s">
        <v>1220</v>
      </c>
      <c r="W1070">
        <v>790</v>
      </c>
      <c r="X1070">
        <v>34.99</v>
      </c>
      <c r="Y1070">
        <v>99</v>
      </c>
      <c r="Z1070">
        <v>569000</v>
      </c>
      <c r="AA1070">
        <v>643850</v>
      </c>
      <c r="AB1070">
        <v>185</v>
      </c>
      <c r="AD1070" t="s">
        <v>238</v>
      </c>
      <c r="AE1070">
        <v>2</v>
      </c>
      <c r="AF1070">
        <v>0</v>
      </c>
      <c r="AI1070">
        <v>30</v>
      </c>
      <c r="AJ1070">
        <v>60</v>
      </c>
      <c r="AK1070">
        <v>90</v>
      </c>
      <c r="AL1070">
        <v>815</v>
      </c>
      <c r="AM1070">
        <v>96</v>
      </c>
      <c r="AN1070">
        <v>0</v>
      </c>
      <c r="AO1070">
        <v>96</v>
      </c>
      <c r="AP1070" t="s">
        <v>69</v>
      </c>
      <c r="AR1070" t="s">
        <v>86</v>
      </c>
      <c r="AS1070" t="s">
        <v>86</v>
      </c>
      <c r="AT1070" t="s">
        <v>86</v>
      </c>
      <c r="AU1070" t="s">
        <v>86</v>
      </c>
      <c r="AV1070" t="s">
        <v>3315</v>
      </c>
      <c r="AW1070" t="s">
        <v>69</v>
      </c>
      <c r="AX1070" t="s">
        <v>737</v>
      </c>
      <c r="AY1070" t="s">
        <v>3316</v>
      </c>
      <c r="AZ1070" t="s">
        <v>244</v>
      </c>
      <c r="BA1070" t="s">
        <v>244</v>
      </c>
      <c r="BB1070" t="s">
        <v>264</v>
      </c>
      <c r="BC1070" t="s">
        <v>244</v>
      </c>
      <c r="BD1070" t="s">
        <v>3320</v>
      </c>
      <c r="BE1070" t="s">
        <v>3317</v>
      </c>
      <c r="BF1070" t="s">
        <v>240</v>
      </c>
      <c r="BG1070" t="s">
        <v>110</v>
      </c>
      <c r="BH1070" t="str">
        <f>IF(COUNTIF(工作表1!A:A, $C1070)&gt;0, "預購款", "非預購款")</f>
        <v>非預購款</v>
      </c>
    </row>
    <row r="1071" spans="1:60" x14ac:dyDescent="0.25">
      <c r="A1071" t="s">
        <v>3321</v>
      </c>
      <c r="B1071" t="s">
        <v>315</v>
      </c>
      <c r="C1071" t="s">
        <v>3322</v>
      </c>
      <c r="D1071" t="s">
        <v>3323</v>
      </c>
      <c r="E1071" t="s">
        <v>3324</v>
      </c>
      <c r="F1071" t="s">
        <v>176</v>
      </c>
      <c r="G1071" t="s">
        <v>3325</v>
      </c>
      <c r="H1071" t="s">
        <v>119</v>
      </c>
      <c r="I1071" t="s">
        <v>97</v>
      </c>
      <c r="J1071" t="s">
        <v>98</v>
      </c>
      <c r="K1071" t="s">
        <v>69</v>
      </c>
      <c r="L1071" t="s">
        <v>3326</v>
      </c>
      <c r="M1071" t="s">
        <v>71</v>
      </c>
      <c r="N1071" t="s">
        <v>198</v>
      </c>
      <c r="O1071" t="s">
        <v>3146</v>
      </c>
      <c r="P1071" t="s">
        <v>3147</v>
      </c>
      <c r="R1071" t="s">
        <v>3148</v>
      </c>
      <c r="S1071" t="s">
        <v>183</v>
      </c>
      <c r="T1071" t="s">
        <v>76</v>
      </c>
      <c r="U1071" t="s">
        <v>77</v>
      </c>
      <c r="V1071" t="s">
        <v>3327</v>
      </c>
      <c r="W1071">
        <v>790</v>
      </c>
      <c r="X1071">
        <v>34.99</v>
      </c>
      <c r="Y1071">
        <v>99</v>
      </c>
      <c r="Z1071">
        <v>569000</v>
      </c>
      <c r="AA1071">
        <v>276500</v>
      </c>
      <c r="AB1071">
        <v>328</v>
      </c>
      <c r="AD1071" t="s">
        <v>238</v>
      </c>
      <c r="AE1071">
        <v>1</v>
      </c>
      <c r="AF1071">
        <v>0</v>
      </c>
      <c r="AI1071">
        <v>15</v>
      </c>
      <c r="AJ1071">
        <v>130</v>
      </c>
      <c r="AK1071">
        <v>145</v>
      </c>
      <c r="AL1071">
        <v>350</v>
      </c>
      <c r="AM1071">
        <v>146</v>
      </c>
      <c r="AN1071">
        <v>0</v>
      </c>
      <c r="AO1071">
        <v>146</v>
      </c>
      <c r="AP1071" t="s">
        <v>80</v>
      </c>
      <c r="AQ1071" t="s">
        <v>190</v>
      </c>
      <c r="AR1071" t="s">
        <v>86</v>
      </c>
      <c r="AS1071" t="s">
        <v>261</v>
      </c>
      <c r="AT1071" t="s">
        <v>86</v>
      </c>
      <c r="AU1071" t="s">
        <v>261</v>
      </c>
      <c r="AV1071" t="s">
        <v>3328</v>
      </c>
      <c r="AW1071" t="s">
        <v>69</v>
      </c>
      <c r="AX1071" t="s">
        <v>3329</v>
      </c>
      <c r="AY1071" t="s">
        <v>747</v>
      </c>
      <c r="AZ1071" t="s">
        <v>244</v>
      </c>
      <c r="BA1071" t="s">
        <v>244</v>
      </c>
      <c r="BB1071" t="s">
        <v>244</v>
      </c>
      <c r="BC1071" t="s">
        <v>244</v>
      </c>
      <c r="BD1071" t="s">
        <v>3330</v>
      </c>
      <c r="BE1071" t="s">
        <v>3331</v>
      </c>
      <c r="BF1071" t="s">
        <v>86</v>
      </c>
      <c r="BG1071" t="s">
        <v>150</v>
      </c>
      <c r="BH1071" t="str">
        <f>IF(COUNTIF(工作表1!A:A, $C1071)&gt;0, "預購款", "非預購款")</f>
        <v>非預購款</v>
      </c>
    </row>
    <row r="1072" spans="1:60" x14ac:dyDescent="0.25">
      <c r="A1072" t="s">
        <v>3321</v>
      </c>
      <c r="B1072" t="s">
        <v>315</v>
      </c>
      <c r="C1072" t="s">
        <v>3322</v>
      </c>
      <c r="D1072" t="s">
        <v>3323</v>
      </c>
      <c r="E1072" t="s">
        <v>3324</v>
      </c>
      <c r="F1072" t="s">
        <v>176</v>
      </c>
      <c r="G1072" t="s">
        <v>3325</v>
      </c>
      <c r="H1072" t="s">
        <v>130</v>
      </c>
      <c r="I1072" t="s">
        <v>97</v>
      </c>
      <c r="J1072" t="s">
        <v>98</v>
      </c>
      <c r="K1072" t="s">
        <v>69</v>
      </c>
      <c r="L1072" t="s">
        <v>3326</v>
      </c>
      <c r="M1072" t="s">
        <v>71</v>
      </c>
      <c r="N1072" t="s">
        <v>198</v>
      </c>
      <c r="O1072" t="s">
        <v>3146</v>
      </c>
      <c r="P1072" t="s">
        <v>3147</v>
      </c>
      <c r="R1072" t="s">
        <v>3148</v>
      </c>
      <c r="S1072" t="s">
        <v>183</v>
      </c>
      <c r="T1072" t="s">
        <v>76</v>
      </c>
      <c r="U1072" t="s">
        <v>77</v>
      </c>
      <c r="V1072" t="s">
        <v>3327</v>
      </c>
      <c r="W1072">
        <v>790</v>
      </c>
      <c r="X1072">
        <v>34.99</v>
      </c>
      <c r="Y1072">
        <v>99</v>
      </c>
      <c r="Z1072">
        <v>569000</v>
      </c>
      <c r="AA1072">
        <v>276500</v>
      </c>
      <c r="AB1072">
        <v>328</v>
      </c>
      <c r="AD1072" t="s">
        <v>238</v>
      </c>
      <c r="AE1072">
        <v>1</v>
      </c>
      <c r="AF1072">
        <v>0</v>
      </c>
      <c r="AI1072">
        <v>15</v>
      </c>
      <c r="AJ1072">
        <v>100</v>
      </c>
      <c r="AK1072">
        <v>115</v>
      </c>
      <c r="AL1072">
        <v>350</v>
      </c>
      <c r="AM1072">
        <v>116</v>
      </c>
      <c r="AN1072">
        <v>0</v>
      </c>
      <c r="AO1072">
        <v>116</v>
      </c>
      <c r="AP1072" t="s">
        <v>80</v>
      </c>
      <c r="AQ1072" t="s">
        <v>190</v>
      </c>
      <c r="AR1072" t="s">
        <v>86</v>
      </c>
      <c r="AS1072" t="s">
        <v>261</v>
      </c>
      <c r="AT1072" t="s">
        <v>86</v>
      </c>
      <c r="AU1072" t="s">
        <v>261</v>
      </c>
      <c r="AV1072" t="s">
        <v>3328</v>
      </c>
      <c r="AW1072" t="s">
        <v>69</v>
      </c>
      <c r="AX1072" t="s">
        <v>3329</v>
      </c>
      <c r="AY1072" t="s">
        <v>747</v>
      </c>
      <c r="AZ1072" t="s">
        <v>244</v>
      </c>
      <c r="BA1072" t="s">
        <v>244</v>
      </c>
      <c r="BB1072" t="s">
        <v>244</v>
      </c>
      <c r="BC1072" t="s">
        <v>244</v>
      </c>
      <c r="BD1072" t="s">
        <v>3332</v>
      </c>
      <c r="BE1072" t="s">
        <v>3331</v>
      </c>
      <c r="BF1072" t="s">
        <v>86</v>
      </c>
      <c r="BG1072" t="s">
        <v>150</v>
      </c>
      <c r="BH1072" t="str">
        <f>IF(COUNTIF(工作表1!A:A, $C1072)&gt;0, "預購款", "非預購款")</f>
        <v>非預購款</v>
      </c>
    </row>
    <row r="1073" spans="1:60" x14ac:dyDescent="0.25">
      <c r="A1073" t="s">
        <v>3321</v>
      </c>
      <c r="B1073" t="s">
        <v>315</v>
      </c>
      <c r="C1073" t="s">
        <v>3322</v>
      </c>
      <c r="D1073" t="s">
        <v>3323</v>
      </c>
      <c r="E1073" t="s">
        <v>3324</v>
      </c>
      <c r="F1073" t="s">
        <v>176</v>
      </c>
      <c r="G1073" t="s">
        <v>3325</v>
      </c>
      <c r="H1073" t="s">
        <v>132</v>
      </c>
      <c r="I1073" t="s">
        <v>97</v>
      </c>
      <c r="J1073" t="s">
        <v>98</v>
      </c>
      <c r="K1073" t="s">
        <v>69</v>
      </c>
      <c r="L1073" t="s">
        <v>3326</v>
      </c>
      <c r="M1073" t="s">
        <v>71</v>
      </c>
      <c r="N1073" t="s">
        <v>198</v>
      </c>
      <c r="O1073" t="s">
        <v>3146</v>
      </c>
      <c r="P1073" t="s">
        <v>3147</v>
      </c>
      <c r="R1073" t="s">
        <v>3148</v>
      </c>
      <c r="S1073" t="s">
        <v>183</v>
      </c>
      <c r="T1073" t="s">
        <v>76</v>
      </c>
      <c r="U1073" t="s">
        <v>77</v>
      </c>
      <c r="V1073" t="s">
        <v>3327</v>
      </c>
      <c r="W1073">
        <v>790</v>
      </c>
      <c r="X1073">
        <v>34.99</v>
      </c>
      <c r="Y1073">
        <v>99</v>
      </c>
      <c r="Z1073">
        <v>569000</v>
      </c>
      <c r="AA1073">
        <v>276500</v>
      </c>
      <c r="AB1073">
        <v>328</v>
      </c>
      <c r="AD1073" t="s">
        <v>238</v>
      </c>
      <c r="AE1073">
        <v>1</v>
      </c>
      <c r="AF1073">
        <v>0</v>
      </c>
      <c r="AI1073">
        <v>20</v>
      </c>
      <c r="AJ1073">
        <v>70</v>
      </c>
      <c r="AK1073">
        <v>90</v>
      </c>
      <c r="AL1073">
        <v>350</v>
      </c>
      <c r="AM1073">
        <v>90</v>
      </c>
      <c r="AN1073">
        <v>0</v>
      </c>
      <c r="AO1073">
        <v>90</v>
      </c>
      <c r="AP1073" t="s">
        <v>80</v>
      </c>
      <c r="AQ1073" t="s">
        <v>190</v>
      </c>
      <c r="AR1073" t="s">
        <v>86</v>
      </c>
      <c r="AS1073" t="s">
        <v>261</v>
      </c>
      <c r="AT1073" t="s">
        <v>86</v>
      </c>
      <c r="AU1073" t="s">
        <v>261</v>
      </c>
      <c r="AV1073" t="s">
        <v>3328</v>
      </c>
      <c r="AW1073" t="s">
        <v>69</v>
      </c>
      <c r="AX1073" t="s">
        <v>3329</v>
      </c>
      <c r="AY1073" t="s">
        <v>747</v>
      </c>
      <c r="AZ1073" t="s">
        <v>244</v>
      </c>
      <c r="BA1073" t="s">
        <v>244</v>
      </c>
      <c r="BB1073" t="s">
        <v>244</v>
      </c>
      <c r="BC1073" t="s">
        <v>244</v>
      </c>
      <c r="BD1073" t="s">
        <v>3333</v>
      </c>
      <c r="BE1073" t="s">
        <v>3331</v>
      </c>
      <c r="BF1073" t="s">
        <v>86</v>
      </c>
      <c r="BG1073" t="s">
        <v>150</v>
      </c>
      <c r="BH1073" t="str">
        <f>IF(COUNTIF(工作表1!A:A, $C1073)&gt;0, "預購款", "非預購款")</f>
        <v>非預購款</v>
      </c>
    </row>
    <row r="1074" spans="1:60" x14ac:dyDescent="0.25">
      <c r="A1074" t="s">
        <v>3334</v>
      </c>
      <c r="B1074" t="s">
        <v>576</v>
      </c>
      <c r="C1074" t="s">
        <v>3335</v>
      </c>
      <c r="D1074" t="s">
        <v>3336</v>
      </c>
      <c r="E1074" t="s">
        <v>3337</v>
      </c>
      <c r="F1074" t="s">
        <v>176</v>
      </c>
      <c r="G1074" t="s">
        <v>3338</v>
      </c>
      <c r="H1074" t="s">
        <v>119</v>
      </c>
      <c r="I1074" t="s">
        <v>67</v>
      </c>
      <c r="J1074" t="s">
        <v>68</v>
      </c>
      <c r="K1074" t="s">
        <v>69</v>
      </c>
      <c r="L1074" t="s">
        <v>3339</v>
      </c>
      <c r="M1074" t="s">
        <v>71</v>
      </c>
      <c r="N1074" t="s">
        <v>198</v>
      </c>
      <c r="O1074" t="s">
        <v>3146</v>
      </c>
      <c r="P1074" t="s">
        <v>3147</v>
      </c>
      <c r="R1074" t="s">
        <v>3148</v>
      </c>
      <c r="S1074" t="s">
        <v>183</v>
      </c>
      <c r="T1074" t="s">
        <v>291</v>
      </c>
      <c r="U1074" t="s">
        <v>383</v>
      </c>
      <c r="V1074" t="s">
        <v>384</v>
      </c>
      <c r="W1074">
        <v>890</v>
      </c>
      <c r="X1074">
        <v>39.99</v>
      </c>
      <c r="Y1074">
        <v>115</v>
      </c>
      <c r="Z1074">
        <v>639000</v>
      </c>
      <c r="AA1074">
        <v>329300</v>
      </c>
      <c r="AB1074">
        <v>420</v>
      </c>
      <c r="AD1074" t="s">
        <v>238</v>
      </c>
      <c r="AE1074">
        <v>2</v>
      </c>
      <c r="AF1074">
        <v>0</v>
      </c>
      <c r="AI1074">
        <v>20</v>
      </c>
      <c r="AJ1074">
        <v>70</v>
      </c>
      <c r="AK1074">
        <v>90</v>
      </c>
      <c r="AL1074">
        <v>370</v>
      </c>
      <c r="AM1074">
        <v>100</v>
      </c>
      <c r="AN1074">
        <v>0</v>
      </c>
      <c r="AO1074">
        <v>100</v>
      </c>
      <c r="AP1074" t="s">
        <v>69</v>
      </c>
      <c r="AT1074" t="s">
        <v>240</v>
      </c>
      <c r="AU1074" t="s">
        <v>86</v>
      </c>
      <c r="AV1074" t="s">
        <v>3340</v>
      </c>
      <c r="AW1074" t="s">
        <v>69</v>
      </c>
      <c r="AX1074" t="s">
        <v>126</v>
      </c>
      <c r="AY1074" t="s">
        <v>3341</v>
      </c>
      <c r="AZ1074" t="s">
        <v>244</v>
      </c>
      <c r="BA1074" t="s">
        <v>310</v>
      </c>
      <c r="BB1074" t="s">
        <v>244</v>
      </c>
      <c r="BC1074" t="s">
        <v>244</v>
      </c>
      <c r="BD1074" t="s">
        <v>3342</v>
      </c>
      <c r="BE1074" t="s">
        <v>3343</v>
      </c>
      <c r="BF1074" t="s">
        <v>291</v>
      </c>
      <c r="BG1074" t="s">
        <v>110</v>
      </c>
      <c r="BH1074" t="str">
        <f>IF(COUNTIF(工作表1!A:A, $C1074)&gt;0, "預購款", "非預購款")</f>
        <v>非預購款</v>
      </c>
    </row>
    <row r="1075" spans="1:60" x14ac:dyDescent="0.25">
      <c r="A1075" t="s">
        <v>3334</v>
      </c>
      <c r="B1075" t="s">
        <v>576</v>
      </c>
      <c r="C1075" t="s">
        <v>3335</v>
      </c>
      <c r="D1075" t="s">
        <v>3336</v>
      </c>
      <c r="E1075" t="s">
        <v>3337</v>
      </c>
      <c r="F1075" t="s">
        <v>176</v>
      </c>
      <c r="G1075" t="s">
        <v>3338</v>
      </c>
      <c r="H1075" t="s">
        <v>130</v>
      </c>
      <c r="I1075" t="s">
        <v>67</v>
      </c>
      <c r="J1075" t="s">
        <v>68</v>
      </c>
      <c r="K1075" t="s">
        <v>69</v>
      </c>
      <c r="L1075" t="s">
        <v>3339</v>
      </c>
      <c r="M1075" t="s">
        <v>71</v>
      </c>
      <c r="N1075" t="s">
        <v>198</v>
      </c>
      <c r="O1075" t="s">
        <v>3146</v>
      </c>
      <c r="P1075" t="s">
        <v>3147</v>
      </c>
      <c r="R1075" t="s">
        <v>3148</v>
      </c>
      <c r="S1075" t="s">
        <v>183</v>
      </c>
      <c r="T1075" t="s">
        <v>291</v>
      </c>
      <c r="U1075" t="s">
        <v>383</v>
      </c>
      <c r="V1075" t="s">
        <v>384</v>
      </c>
      <c r="W1075">
        <v>890</v>
      </c>
      <c r="X1075">
        <v>39.99</v>
      </c>
      <c r="Y1075">
        <v>115</v>
      </c>
      <c r="Z1075">
        <v>639000</v>
      </c>
      <c r="AA1075">
        <v>329300</v>
      </c>
      <c r="AB1075">
        <v>420</v>
      </c>
      <c r="AD1075" t="s">
        <v>238</v>
      </c>
      <c r="AE1075">
        <v>2</v>
      </c>
      <c r="AF1075">
        <v>0</v>
      </c>
      <c r="AI1075">
        <v>20</v>
      </c>
      <c r="AJ1075">
        <v>40</v>
      </c>
      <c r="AK1075">
        <v>60</v>
      </c>
      <c r="AL1075">
        <v>370</v>
      </c>
      <c r="AM1075">
        <v>68</v>
      </c>
      <c r="AN1075">
        <v>0</v>
      </c>
      <c r="AO1075">
        <v>68</v>
      </c>
      <c r="AP1075" t="s">
        <v>69</v>
      </c>
      <c r="AT1075" t="s">
        <v>240</v>
      </c>
      <c r="AU1075" t="s">
        <v>86</v>
      </c>
      <c r="AV1075" t="s">
        <v>3340</v>
      </c>
      <c r="AW1075" t="s">
        <v>69</v>
      </c>
      <c r="AX1075" t="s">
        <v>126</v>
      </c>
      <c r="AY1075" t="s">
        <v>3341</v>
      </c>
      <c r="AZ1075" t="s">
        <v>244</v>
      </c>
      <c r="BA1075" t="s">
        <v>310</v>
      </c>
      <c r="BB1075" t="s">
        <v>244</v>
      </c>
      <c r="BC1075" t="s">
        <v>244</v>
      </c>
      <c r="BD1075" t="s">
        <v>3344</v>
      </c>
      <c r="BE1075" t="s">
        <v>3343</v>
      </c>
      <c r="BF1075" t="s">
        <v>291</v>
      </c>
      <c r="BG1075" t="s">
        <v>110</v>
      </c>
      <c r="BH1075" t="str">
        <f>IF(COUNTIF(工作表1!A:A, $C1075)&gt;0, "預購款", "非預購款")</f>
        <v>非預購款</v>
      </c>
    </row>
    <row r="1076" spans="1:60" x14ac:dyDescent="0.25">
      <c r="A1076" t="s">
        <v>3334</v>
      </c>
      <c r="B1076" t="s">
        <v>576</v>
      </c>
      <c r="C1076" t="s">
        <v>3335</v>
      </c>
      <c r="D1076" t="s">
        <v>3336</v>
      </c>
      <c r="E1076" t="s">
        <v>3337</v>
      </c>
      <c r="F1076" t="s">
        <v>176</v>
      </c>
      <c r="G1076" t="s">
        <v>3338</v>
      </c>
      <c r="H1076" t="s">
        <v>132</v>
      </c>
      <c r="I1076" t="s">
        <v>67</v>
      </c>
      <c r="J1076" t="s">
        <v>68</v>
      </c>
      <c r="K1076" t="s">
        <v>69</v>
      </c>
      <c r="L1076" t="s">
        <v>3339</v>
      </c>
      <c r="M1076" t="s">
        <v>71</v>
      </c>
      <c r="N1076" t="s">
        <v>198</v>
      </c>
      <c r="O1076" t="s">
        <v>3146</v>
      </c>
      <c r="P1076" t="s">
        <v>3147</v>
      </c>
      <c r="R1076" t="s">
        <v>3148</v>
      </c>
      <c r="S1076" t="s">
        <v>183</v>
      </c>
      <c r="T1076" t="s">
        <v>291</v>
      </c>
      <c r="U1076" t="s">
        <v>383</v>
      </c>
      <c r="V1076" t="s">
        <v>384</v>
      </c>
      <c r="W1076">
        <v>890</v>
      </c>
      <c r="X1076">
        <v>39.99</v>
      </c>
      <c r="Y1076">
        <v>115</v>
      </c>
      <c r="Z1076">
        <v>639000</v>
      </c>
      <c r="AA1076">
        <v>329300</v>
      </c>
      <c r="AB1076">
        <v>420</v>
      </c>
      <c r="AD1076" t="s">
        <v>238</v>
      </c>
      <c r="AE1076">
        <v>2</v>
      </c>
      <c r="AF1076">
        <v>0</v>
      </c>
      <c r="AI1076">
        <v>20</v>
      </c>
      <c r="AJ1076">
        <v>15</v>
      </c>
      <c r="AK1076">
        <v>35</v>
      </c>
      <c r="AL1076">
        <v>370</v>
      </c>
      <c r="AM1076">
        <v>37</v>
      </c>
      <c r="AN1076">
        <v>0</v>
      </c>
      <c r="AO1076">
        <v>37</v>
      </c>
      <c r="AP1076" t="s">
        <v>69</v>
      </c>
      <c r="AT1076" t="s">
        <v>240</v>
      </c>
      <c r="AU1076" t="s">
        <v>86</v>
      </c>
      <c r="AV1076" t="s">
        <v>3340</v>
      </c>
      <c r="AW1076" t="s">
        <v>69</v>
      </c>
      <c r="AX1076" t="s">
        <v>126</v>
      </c>
      <c r="AY1076" t="s">
        <v>3341</v>
      </c>
      <c r="AZ1076" t="s">
        <v>244</v>
      </c>
      <c r="BA1076" t="s">
        <v>310</v>
      </c>
      <c r="BB1076" t="s">
        <v>244</v>
      </c>
      <c r="BC1076" t="s">
        <v>244</v>
      </c>
      <c r="BD1076" t="s">
        <v>3345</v>
      </c>
      <c r="BE1076" t="s">
        <v>3343</v>
      </c>
      <c r="BF1076" t="s">
        <v>291</v>
      </c>
      <c r="BG1076" t="s">
        <v>110</v>
      </c>
      <c r="BH1076" t="str">
        <f>IF(COUNTIF(工作表1!A:A, $C1076)&gt;0, "預購款", "非預購款")</f>
        <v>非預購款</v>
      </c>
    </row>
    <row r="1077" spans="1:60" x14ac:dyDescent="0.25">
      <c r="A1077" t="s">
        <v>3334</v>
      </c>
      <c r="B1077" t="s">
        <v>576</v>
      </c>
      <c r="C1077" t="s">
        <v>3335</v>
      </c>
      <c r="D1077" t="s">
        <v>3336</v>
      </c>
      <c r="E1077" t="s">
        <v>3337</v>
      </c>
      <c r="F1077" t="s">
        <v>176</v>
      </c>
      <c r="G1077" t="s">
        <v>3338</v>
      </c>
      <c r="H1077" t="s">
        <v>119</v>
      </c>
      <c r="I1077" t="s">
        <v>134</v>
      </c>
      <c r="J1077" t="s">
        <v>135</v>
      </c>
      <c r="K1077" t="s">
        <v>69</v>
      </c>
      <c r="L1077" t="s">
        <v>3339</v>
      </c>
      <c r="M1077" t="s">
        <v>71</v>
      </c>
      <c r="N1077" t="s">
        <v>198</v>
      </c>
      <c r="O1077" t="s">
        <v>3146</v>
      </c>
      <c r="P1077" t="s">
        <v>3147</v>
      </c>
      <c r="R1077" t="s">
        <v>3148</v>
      </c>
      <c r="S1077" t="s">
        <v>183</v>
      </c>
      <c r="T1077" t="s">
        <v>291</v>
      </c>
      <c r="U1077" t="s">
        <v>383</v>
      </c>
      <c r="V1077" t="s">
        <v>384</v>
      </c>
      <c r="W1077">
        <v>890</v>
      </c>
      <c r="X1077">
        <v>39.99</v>
      </c>
      <c r="Y1077">
        <v>115</v>
      </c>
      <c r="Z1077">
        <v>639000</v>
      </c>
      <c r="AA1077">
        <v>329300</v>
      </c>
      <c r="AB1077">
        <v>420</v>
      </c>
      <c r="AD1077" t="s">
        <v>238</v>
      </c>
      <c r="AE1077">
        <v>2</v>
      </c>
      <c r="AF1077">
        <v>0</v>
      </c>
      <c r="AI1077">
        <v>20</v>
      </c>
      <c r="AJ1077">
        <v>60</v>
      </c>
      <c r="AK1077">
        <v>80</v>
      </c>
      <c r="AL1077">
        <v>370</v>
      </c>
      <c r="AM1077">
        <v>84</v>
      </c>
      <c r="AN1077">
        <v>0</v>
      </c>
      <c r="AO1077">
        <v>84</v>
      </c>
      <c r="AP1077" t="s">
        <v>69</v>
      </c>
      <c r="AT1077" t="s">
        <v>240</v>
      </c>
      <c r="AU1077" t="s">
        <v>86</v>
      </c>
      <c r="AV1077" t="s">
        <v>3340</v>
      </c>
      <c r="AW1077" t="s">
        <v>69</v>
      </c>
      <c r="AX1077" t="s">
        <v>126</v>
      </c>
      <c r="AY1077" t="s">
        <v>3341</v>
      </c>
      <c r="AZ1077" t="s">
        <v>244</v>
      </c>
      <c r="BA1077" t="s">
        <v>310</v>
      </c>
      <c r="BB1077" t="s">
        <v>244</v>
      </c>
      <c r="BC1077" t="s">
        <v>244</v>
      </c>
      <c r="BD1077" t="s">
        <v>3346</v>
      </c>
      <c r="BE1077" t="s">
        <v>3343</v>
      </c>
      <c r="BF1077" t="s">
        <v>291</v>
      </c>
      <c r="BG1077" t="s">
        <v>110</v>
      </c>
      <c r="BH1077" t="str">
        <f>IF(COUNTIF(工作表1!A:A, $C1077)&gt;0, "預購款", "非預購款")</f>
        <v>非預購款</v>
      </c>
    </row>
    <row r="1078" spans="1:60" x14ac:dyDescent="0.25">
      <c r="A1078" t="s">
        <v>3334</v>
      </c>
      <c r="B1078" t="s">
        <v>576</v>
      </c>
      <c r="C1078" t="s">
        <v>3335</v>
      </c>
      <c r="D1078" t="s">
        <v>3336</v>
      </c>
      <c r="E1078" t="s">
        <v>3337</v>
      </c>
      <c r="F1078" t="s">
        <v>176</v>
      </c>
      <c r="G1078" t="s">
        <v>3338</v>
      </c>
      <c r="H1078" t="s">
        <v>130</v>
      </c>
      <c r="I1078" t="s">
        <v>134</v>
      </c>
      <c r="J1078" t="s">
        <v>135</v>
      </c>
      <c r="K1078" t="s">
        <v>69</v>
      </c>
      <c r="L1078" t="s">
        <v>3339</v>
      </c>
      <c r="M1078" t="s">
        <v>71</v>
      </c>
      <c r="N1078" t="s">
        <v>198</v>
      </c>
      <c r="O1078" t="s">
        <v>3146</v>
      </c>
      <c r="P1078" t="s">
        <v>3147</v>
      </c>
      <c r="R1078" t="s">
        <v>3148</v>
      </c>
      <c r="S1078" t="s">
        <v>183</v>
      </c>
      <c r="T1078" t="s">
        <v>291</v>
      </c>
      <c r="U1078" t="s">
        <v>383</v>
      </c>
      <c r="V1078" t="s">
        <v>384</v>
      </c>
      <c r="W1078">
        <v>890</v>
      </c>
      <c r="X1078">
        <v>39.99</v>
      </c>
      <c r="Y1078">
        <v>115</v>
      </c>
      <c r="Z1078">
        <v>639000</v>
      </c>
      <c r="AA1078">
        <v>329300</v>
      </c>
      <c r="AB1078">
        <v>420</v>
      </c>
      <c r="AD1078" t="s">
        <v>238</v>
      </c>
      <c r="AE1078">
        <v>2</v>
      </c>
      <c r="AF1078">
        <v>0</v>
      </c>
      <c r="AI1078">
        <v>20</v>
      </c>
      <c r="AJ1078">
        <v>45</v>
      </c>
      <c r="AK1078">
        <v>65</v>
      </c>
      <c r="AL1078">
        <v>370</v>
      </c>
      <c r="AM1078">
        <v>70</v>
      </c>
      <c r="AN1078">
        <v>0</v>
      </c>
      <c r="AO1078">
        <v>70</v>
      </c>
      <c r="AP1078" t="s">
        <v>69</v>
      </c>
      <c r="AT1078" t="s">
        <v>240</v>
      </c>
      <c r="AU1078" t="s">
        <v>86</v>
      </c>
      <c r="AV1078" t="s">
        <v>3340</v>
      </c>
      <c r="AW1078" t="s">
        <v>69</v>
      </c>
      <c r="AX1078" t="s">
        <v>126</v>
      </c>
      <c r="AY1078" t="s">
        <v>3341</v>
      </c>
      <c r="AZ1078" t="s">
        <v>244</v>
      </c>
      <c r="BA1078" t="s">
        <v>310</v>
      </c>
      <c r="BB1078" t="s">
        <v>244</v>
      </c>
      <c r="BC1078" t="s">
        <v>244</v>
      </c>
      <c r="BD1078" t="s">
        <v>3347</v>
      </c>
      <c r="BE1078" t="s">
        <v>3343</v>
      </c>
      <c r="BF1078" t="s">
        <v>291</v>
      </c>
      <c r="BG1078" t="s">
        <v>110</v>
      </c>
      <c r="BH1078" t="str">
        <f>IF(COUNTIF(工作表1!A:A, $C1078)&gt;0, "預購款", "非預購款")</f>
        <v>非預購款</v>
      </c>
    </row>
    <row r="1079" spans="1:60" x14ac:dyDescent="0.25">
      <c r="A1079" t="s">
        <v>3334</v>
      </c>
      <c r="B1079" t="s">
        <v>576</v>
      </c>
      <c r="C1079" t="s">
        <v>3335</v>
      </c>
      <c r="D1079" t="s">
        <v>3336</v>
      </c>
      <c r="E1079" t="s">
        <v>3337</v>
      </c>
      <c r="F1079" t="s">
        <v>176</v>
      </c>
      <c r="G1079" t="s">
        <v>3338</v>
      </c>
      <c r="H1079" t="s">
        <v>132</v>
      </c>
      <c r="I1079" t="s">
        <v>134</v>
      </c>
      <c r="J1079" t="s">
        <v>135</v>
      </c>
      <c r="K1079" t="s">
        <v>69</v>
      </c>
      <c r="L1079" t="s">
        <v>3339</v>
      </c>
      <c r="M1079" t="s">
        <v>71</v>
      </c>
      <c r="N1079" t="s">
        <v>198</v>
      </c>
      <c r="O1079" t="s">
        <v>3146</v>
      </c>
      <c r="P1079" t="s">
        <v>3147</v>
      </c>
      <c r="R1079" t="s">
        <v>3148</v>
      </c>
      <c r="S1079" t="s">
        <v>183</v>
      </c>
      <c r="T1079" t="s">
        <v>291</v>
      </c>
      <c r="U1079" t="s">
        <v>383</v>
      </c>
      <c r="V1079" t="s">
        <v>384</v>
      </c>
      <c r="W1079">
        <v>890</v>
      </c>
      <c r="X1079">
        <v>39.99</v>
      </c>
      <c r="Y1079">
        <v>115</v>
      </c>
      <c r="Z1079">
        <v>639000</v>
      </c>
      <c r="AA1079">
        <v>329300</v>
      </c>
      <c r="AB1079">
        <v>420</v>
      </c>
      <c r="AD1079" t="s">
        <v>238</v>
      </c>
      <c r="AE1079">
        <v>2</v>
      </c>
      <c r="AF1079">
        <v>0</v>
      </c>
      <c r="AI1079">
        <v>20</v>
      </c>
      <c r="AJ1079">
        <v>20</v>
      </c>
      <c r="AK1079">
        <v>40</v>
      </c>
      <c r="AL1079">
        <v>370</v>
      </c>
      <c r="AM1079">
        <v>41</v>
      </c>
      <c r="AN1079">
        <v>0</v>
      </c>
      <c r="AO1079">
        <v>41</v>
      </c>
      <c r="AP1079" t="s">
        <v>69</v>
      </c>
      <c r="AT1079" t="s">
        <v>240</v>
      </c>
      <c r="AU1079" t="s">
        <v>86</v>
      </c>
      <c r="AV1079" t="s">
        <v>3340</v>
      </c>
      <c r="AW1079" t="s">
        <v>69</v>
      </c>
      <c r="AX1079" t="s">
        <v>126</v>
      </c>
      <c r="AY1079" t="s">
        <v>3341</v>
      </c>
      <c r="AZ1079" t="s">
        <v>244</v>
      </c>
      <c r="BA1079" t="s">
        <v>310</v>
      </c>
      <c r="BB1079" t="s">
        <v>244</v>
      </c>
      <c r="BC1079" t="s">
        <v>244</v>
      </c>
      <c r="BD1079" t="s">
        <v>3348</v>
      </c>
      <c r="BE1079" t="s">
        <v>3343</v>
      </c>
      <c r="BF1079" t="s">
        <v>291</v>
      </c>
      <c r="BG1079" t="s">
        <v>110</v>
      </c>
      <c r="BH1079" t="str">
        <f>IF(COUNTIF(工作表1!A:A, $C1079)&gt;0, "預購款", "非預購款")</f>
        <v>非預購款</v>
      </c>
    </row>
    <row r="1080" spans="1:60" x14ac:dyDescent="0.25">
      <c r="A1080" t="s">
        <v>3349</v>
      </c>
      <c r="B1080" t="s">
        <v>576</v>
      </c>
      <c r="C1080" t="s">
        <v>3350</v>
      </c>
      <c r="D1080" t="s">
        <v>3351</v>
      </c>
      <c r="E1080" t="s">
        <v>3352</v>
      </c>
      <c r="F1080" t="s">
        <v>176</v>
      </c>
      <c r="G1080" t="s">
        <v>3353</v>
      </c>
      <c r="H1080" t="s">
        <v>66</v>
      </c>
      <c r="I1080" t="s">
        <v>97</v>
      </c>
      <c r="J1080" t="s">
        <v>98</v>
      </c>
      <c r="K1080" t="s">
        <v>69</v>
      </c>
      <c r="L1080" t="s">
        <v>3354</v>
      </c>
      <c r="M1080" t="s">
        <v>71</v>
      </c>
      <c r="N1080" t="s">
        <v>198</v>
      </c>
      <c r="O1080" t="s">
        <v>3146</v>
      </c>
      <c r="P1080" t="s">
        <v>3147</v>
      </c>
      <c r="R1080" t="s">
        <v>3148</v>
      </c>
      <c r="S1080" t="s">
        <v>183</v>
      </c>
      <c r="T1080" t="s">
        <v>258</v>
      </c>
      <c r="U1080" t="s">
        <v>104</v>
      </c>
      <c r="V1080" t="s">
        <v>99</v>
      </c>
      <c r="W1080">
        <v>890</v>
      </c>
      <c r="X1080">
        <v>39.99</v>
      </c>
      <c r="Y1080">
        <v>115</v>
      </c>
      <c r="Z1080">
        <v>639000</v>
      </c>
      <c r="AA1080">
        <v>284800</v>
      </c>
      <c r="AB1080">
        <v>250</v>
      </c>
      <c r="AD1080" t="s">
        <v>238</v>
      </c>
      <c r="AE1080">
        <v>2</v>
      </c>
      <c r="AF1080">
        <v>10</v>
      </c>
      <c r="AI1080">
        <v>0</v>
      </c>
      <c r="AJ1080">
        <v>200</v>
      </c>
      <c r="AK1080">
        <v>210</v>
      </c>
      <c r="AL1080">
        <v>320</v>
      </c>
      <c r="AM1080">
        <v>220</v>
      </c>
      <c r="AN1080">
        <v>0</v>
      </c>
      <c r="AO1080">
        <v>220</v>
      </c>
      <c r="AP1080" t="s">
        <v>80</v>
      </c>
      <c r="AQ1080" t="s">
        <v>2257</v>
      </c>
      <c r="AR1080" t="s">
        <v>86</v>
      </c>
      <c r="AS1080" t="s">
        <v>86</v>
      </c>
      <c r="AT1080" t="s">
        <v>86</v>
      </c>
      <c r="AU1080" t="s">
        <v>86</v>
      </c>
      <c r="AV1080" t="s">
        <v>81</v>
      </c>
      <c r="AW1080" t="s">
        <v>69</v>
      </c>
      <c r="AX1080" t="s">
        <v>2337</v>
      </c>
      <c r="AY1080" t="s">
        <v>3355</v>
      </c>
      <c r="AZ1080" t="s">
        <v>264</v>
      </c>
      <c r="BA1080" t="s">
        <v>243</v>
      </c>
      <c r="BB1080" t="s">
        <v>264</v>
      </c>
      <c r="BC1080" t="s">
        <v>264</v>
      </c>
      <c r="BD1080" t="s">
        <v>3356</v>
      </c>
      <c r="BE1080" t="s">
        <v>3357</v>
      </c>
      <c r="BF1080" t="s">
        <v>240</v>
      </c>
      <c r="BG1080" t="s">
        <v>110</v>
      </c>
      <c r="BH1080" t="str">
        <f>IF(COUNTIF(工作表1!A:A, $C1080)&gt;0, "預購款", "非預購款")</f>
        <v>非預購款</v>
      </c>
    </row>
    <row r="1081" spans="1:60" x14ac:dyDescent="0.25">
      <c r="A1081" t="s">
        <v>3349</v>
      </c>
      <c r="B1081" t="s">
        <v>576</v>
      </c>
      <c r="C1081" t="s">
        <v>3350</v>
      </c>
      <c r="D1081" t="s">
        <v>3351</v>
      </c>
      <c r="E1081" t="s">
        <v>3352</v>
      </c>
      <c r="F1081" t="s">
        <v>176</v>
      </c>
      <c r="G1081" t="s">
        <v>3353</v>
      </c>
      <c r="H1081" t="s">
        <v>66</v>
      </c>
      <c r="I1081" t="s">
        <v>111</v>
      </c>
      <c r="J1081" t="s">
        <v>112</v>
      </c>
      <c r="K1081" t="s">
        <v>69</v>
      </c>
      <c r="L1081" t="s">
        <v>3354</v>
      </c>
      <c r="M1081" t="s">
        <v>71</v>
      </c>
      <c r="N1081" t="s">
        <v>198</v>
      </c>
      <c r="O1081" t="s">
        <v>3146</v>
      </c>
      <c r="P1081" t="s">
        <v>3147</v>
      </c>
      <c r="R1081" t="s">
        <v>3148</v>
      </c>
      <c r="S1081" t="s">
        <v>183</v>
      </c>
      <c r="T1081" t="s">
        <v>258</v>
      </c>
      <c r="U1081" t="s">
        <v>104</v>
      </c>
      <c r="V1081" t="s">
        <v>99</v>
      </c>
      <c r="W1081">
        <v>890</v>
      </c>
      <c r="X1081">
        <v>39.99</v>
      </c>
      <c r="Y1081">
        <v>115</v>
      </c>
      <c r="Z1081">
        <v>639000</v>
      </c>
      <c r="AA1081">
        <v>284800</v>
      </c>
      <c r="AB1081">
        <v>250</v>
      </c>
      <c r="AD1081" t="s">
        <v>238</v>
      </c>
      <c r="AE1081">
        <v>2</v>
      </c>
      <c r="AF1081">
        <v>10</v>
      </c>
      <c r="AI1081">
        <v>0</v>
      </c>
      <c r="AJ1081">
        <v>100</v>
      </c>
      <c r="AK1081">
        <v>110</v>
      </c>
      <c r="AL1081">
        <v>320</v>
      </c>
      <c r="AM1081">
        <v>119</v>
      </c>
      <c r="AN1081">
        <v>0</v>
      </c>
      <c r="AO1081">
        <v>119</v>
      </c>
      <c r="AP1081" t="s">
        <v>80</v>
      </c>
      <c r="AQ1081" t="s">
        <v>2257</v>
      </c>
      <c r="AR1081" t="s">
        <v>86</v>
      </c>
      <c r="AS1081" t="s">
        <v>86</v>
      </c>
      <c r="AT1081" t="s">
        <v>86</v>
      </c>
      <c r="AU1081" t="s">
        <v>86</v>
      </c>
      <c r="AV1081" t="s">
        <v>81</v>
      </c>
      <c r="AW1081" t="s">
        <v>69</v>
      </c>
      <c r="AX1081" t="s">
        <v>2337</v>
      </c>
      <c r="AY1081" t="s">
        <v>3355</v>
      </c>
      <c r="AZ1081" t="s">
        <v>264</v>
      </c>
      <c r="BA1081" t="s">
        <v>243</v>
      </c>
      <c r="BB1081" t="s">
        <v>264</v>
      </c>
      <c r="BC1081" t="s">
        <v>264</v>
      </c>
      <c r="BD1081" t="s">
        <v>3358</v>
      </c>
      <c r="BE1081" t="s">
        <v>3357</v>
      </c>
      <c r="BF1081" t="s">
        <v>240</v>
      </c>
      <c r="BG1081" t="s">
        <v>110</v>
      </c>
      <c r="BH1081" t="str">
        <f>IF(COUNTIF(工作表1!A:A, $C1081)&gt;0, "預購款", "非預購款")</f>
        <v>非預購款</v>
      </c>
    </row>
    <row r="1082" spans="1:60" x14ac:dyDescent="0.25">
      <c r="A1082" t="s">
        <v>3383</v>
      </c>
      <c r="B1082" t="s">
        <v>1875</v>
      </c>
      <c r="C1082" t="s">
        <v>3384</v>
      </c>
      <c r="D1082" t="s">
        <v>3385</v>
      </c>
      <c r="E1082" t="s">
        <v>3386</v>
      </c>
      <c r="F1082" t="s">
        <v>176</v>
      </c>
      <c r="G1082" t="s">
        <v>3385</v>
      </c>
      <c r="H1082" t="s">
        <v>273</v>
      </c>
      <c r="I1082" t="s">
        <v>162</v>
      </c>
      <c r="J1082" t="s">
        <v>163</v>
      </c>
      <c r="K1082" t="s">
        <v>69</v>
      </c>
      <c r="L1082" t="s">
        <v>3387</v>
      </c>
      <c r="M1082" t="s">
        <v>71</v>
      </c>
      <c r="N1082" t="s">
        <v>198</v>
      </c>
      <c r="O1082" t="s">
        <v>2893</v>
      </c>
      <c r="P1082" t="s">
        <v>2894</v>
      </c>
      <c r="R1082" t="s">
        <v>2518</v>
      </c>
      <c r="S1082" t="s">
        <v>183</v>
      </c>
      <c r="T1082" t="s">
        <v>258</v>
      </c>
      <c r="U1082" t="s">
        <v>1876</v>
      </c>
      <c r="V1082" t="s">
        <v>2844</v>
      </c>
      <c r="W1082">
        <v>1680</v>
      </c>
      <c r="X1082">
        <v>64.989999999999995</v>
      </c>
      <c r="Y1082">
        <v>219</v>
      </c>
      <c r="Z1082">
        <v>1209000</v>
      </c>
      <c r="AA1082">
        <v>554400</v>
      </c>
      <c r="AB1082">
        <v>800</v>
      </c>
      <c r="AD1082" t="s">
        <v>238</v>
      </c>
      <c r="AE1082">
        <v>2</v>
      </c>
      <c r="AF1082">
        <v>0</v>
      </c>
      <c r="AI1082">
        <v>20</v>
      </c>
      <c r="AJ1082">
        <v>10</v>
      </c>
      <c r="AK1082">
        <v>30</v>
      </c>
      <c r="AL1082">
        <v>330</v>
      </c>
      <c r="AM1082">
        <v>0</v>
      </c>
      <c r="AN1082">
        <v>0</v>
      </c>
      <c r="AO1082">
        <v>0</v>
      </c>
      <c r="AP1082" t="s">
        <v>69</v>
      </c>
      <c r="AS1082" t="s">
        <v>86</v>
      </c>
      <c r="AT1082" t="s">
        <v>86</v>
      </c>
      <c r="AU1082" t="s">
        <v>86</v>
      </c>
      <c r="AW1082" t="s">
        <v>69</v>
      </c>
      <c r="AX1082" t="s">
        <v>2843</v>
      </c>
      <c r="AY1082" t="s">
        <v>3388</v>
      </c>
      <c r="BD1082" t="s">
        <v>3390</v>
      </c>
      <c r="BE1082" t="s">
        <v>3389</v>
      </c>
      <c r="BH1082" t="str">
        <f>IF(COUNTIF(工作表1!A:A, $C1082)&gt;0, "預購款", "非預購款")</f>
        <v>非預購款</v>
      </c>
    </row>
    <row r="1083" spans="1:60" x14ac:dyDescent="0.25">
      <c r="A1083" t="s">
        <v>3383</v>
      </c>
      <c r="B1083" t="s">
        <v>1875</v>
      </c>
      <c r="C1083" t="s">
        <v>3384</v>
      </c>
      <c r="D1083" t="s">
        <v>3385</v>
      </c>
      <c r="E1083" t="s">
        <v>3386</v>
      </c>
      <c r="F1083" t="s">
        <v>176</v>
      </c>
      <c r="G1083" t="s">
        <v>3385</v>
      </c>
      <c r="H1083" t="s">
        <v>119</v>
      </c>
      <c r="I1083" t="s">
        <v>162</v>
      </c>
      <c r="J1083" t="s">
        <v>163</v>
      </c>
      <c r="K1083" t="s">
        <v>69</v>
      </c>
      <c r="L1083" t="s">
        <v>3387</v>
      </c>
      <c r="M1083" t="s">
        <v>71</v>
      </c>
      <c r="N1083" t="s">
        <v>198</v>
      </c>
      <c r="O1083" t="s">
        <v>2893</v>
      </c>
      <c r="P1083" t="s">
        <v>2894</v>
      </c>
      <c r="R1083" t="s">
        <v>2518</v>
      </c>
      <c r="S1083" t="s">
        <v>183</v>
      </c>
      <c r="T1083" t="s">
        <v>258</v>
      </c>
      <c r="U1083" t="s">
        <v>1876</v>
      </c>
      <c r="V1083" t="s">
        <v>2844</v>
      </c>
      <c r="W1083">
        <v>1680</v>
      </c>
      <c r="X1083">
        <v>64.989999999999995</v>
      </c>
      <c r="Y1083">
        <v>219</v>
      </c>
      <c r="Z1083">
        <v>1209000</v>
      </c>
      <c r="AA1083">
        <v>554400</v>
      </c>
      <c r="AB1083">
        <v>800</v>
      </c>
      <c r="AD1083" t="s">
        <v>238</v>
      </c>
      <c r="AE1083">
        <v>2</v>
      </c>
      <c r="AF1083">
        <v>0</v>
      </c>
      <c r="AI1083">
        <v>60</v>
      </c>
      <c r="AJ1083">
        <v>30</v>
      </c>
      <c r="AK1083">
        <v>90</v>
      </c>
      <c r="AL1083">
        <v>330</v>
      </c>
      <c r="AM1083">
        <v>0</v>
      </c>
      <c r="AN1083">
        <v>0</v>
      </c>
      <c r="AO1083">
        <v>0</v>
      </c>
      <c r="AP1083" t="s">
        <v>69</v>
      </c>
      <c r="AS1083" t="s">
        <v>86</v>
      </c>
      <c r="AT1083" t="s">
        <v>86</v>
      </c>
      <c r="AU1083" t="s">
        <v>86</v>
      </c>
      <c r="AW1083" t="s">
        <v>69</v>
      </c>
      <c r="AX1083" t="s">
        <v>2843</v>
      </c>
      <c r="AY1083" t="s">
        <v>3388</v>
      </c>
      <c r="BD1083" t="s">
        <v>3391</v>
      </c>
      <c r="BE1083" t="s">
        <v>3389</v>
      </c>
      <c r="BH1083" t="str">
        <f>IF(COUNTIF(工作表1!A:A, $C1083)&gt;0, "預購款", "非預購款")</f>
        <v>非預購款</v>
      </c>
    </row>
    <row r="1084" spans="1:60" x14ac:dyDescent="0.25">
      <c r="A1084" t="s">
        <v>3383</v>
      </c>
      <c r="B1084" t="s">
        <v>1875</v>
      </c>
      <c r="C1084" t="s">
        <v>3384</v>
      </c>
      <c r="D1084" t="s">
        <v>3385</v>
      </c>
      <c r="E1084" t="s">
        <v>3386</v>
      </c>
      <c r="F1084" t="s">
        <v>176</v>
      </c>
      <c r="G1084" t="s">
        <v>3385</v>
      </c>
      <c r="H1084" t="s">
        <v>130</v>
      </c>
      <c r="I1084" t="s">
        <v>162</v>
      </c>
      <c r="J1084" t="s">
        <v>163</v>
      </c>
      <c r="K1084" t="s">
        <v>69</v>
      </c>
      <c r="L1084" t="s">
        <v>3387</v>
      </c>
      <c r="M1084" t="s">
        <v>71</v>
      </c>
      <c r="N1084" t="s">
        <v>198</v>
      </c>
      <c r="O1084" t="s">
        <v>2893</v>
      </c>
      <c r="P1084" t="s">
        <v>2894</v>
      </c>
      <c r="R1084" t="s">
        <v>2518</v>
      </c>
      <c r="S1084" t="s">
        <v>183</v>
      </c>
      <c r="T1084" t="s">
        <v>258</v>
      </c>
      <c r="U1084" t="s">
        <v>1876</v>
      </c>
      <c r="V1084" t="s">
        <v>2844</v>
      </c>
      <c r="W1084">
        <v>1680</v>
      </c>
      <c r="X1084">
        <v>64.989999999999995</v>
      </c>
      <c r="Y1084">
        <v>219</v>
      </c>
      <c r="Z1084">
        <v>1209000</v>
      </c>
      <c r="AA1084">
        <v>554400</v>
      </c>
      <c r="AB1084">
        <v>800</v>
      </c>
      <c r="AD1084" t="s">
        <v>238</v>
      </c>
      <c r="AE1084">
        <v>2</v>
      </c>
      <c r="AF1084">
        <v>0</v>
      </c>
      <c r="AI1084">
        <v>30</v>
      </c>
      <c r="AJ1084">
        <v>30</v>
      </c>
      <c r="AK1084">
        <v>60</v>
      </c>
      <c r="AL1084">
        <v>330</v>
      </c>
      <c r="AM1084">
        <v>0</v>
      </c>
      <c r="AN1084">
        <v>0</v>
      </c>
      <c r="AO1084">
        <v>0</v>
      </c>
      <c r="AP1084" t="s">
        <v>69</v>
      </c>
      <c r="AS1084" t="s">
        <v>86</v>
      </c>
      <c r="AT1084" t="s">
        <v>86</v>
      </c>
      <c r="AU1084" t="s">
        <v>86</v>
      </c>
      <c r="AW1084" t="s">
        <v>69</v>
      </c>
      <c r="AX1084" t="s">
        <v>2843</v>
      </c>
      <c r="AY1084" t="s">
        <v>3388</v>
      </c>
      <c r="BD1084" t="s">
        <v>3392</v>
      </c>
      <c r="BE1084" t="s">
        <v>3389</v>
      </c>
      <c r="BH1084" t="str">
        <f>IF(COUNTIF(工作表1!A:A, $C1084)&gt;0, "預購款", "非預購款")</f>
        <v>非預購款</v>
      </c>
    </row>
    <row r="1085" spans="1:60" x14ac:dyDescent="0.25">
      <c r="A1085" t="s">
        <v>3383</v>
      </c>
      <c r="B1085" t="s">
        <v>1875</v>
      </c>
      <c r="C1085" t="s">
        <v>3384</v>
      </c>
      <c r="D1085" t="s">
        <v>3385</v>
      </c>
      <c r="E1085" t="s">
        <v>3386</v>
      </c>
      <c r="F1085" t="s">
        <v>176</v>
      </c>
      <c r="G1085" t="s">
        <v>3385</v>
      </c>
      <c r="H1085" t="s">
        <v>132</v>
      </c>
      <c r="I1085" t="s">
        <v>162</v>
      </c>
      <c r="J1085" t="s">
        <v>163</v>
      </c>
      <c r="K1085" t="s">
        <v>69</v>
      </c>
      <c r="L1085" t="s">
        <v>3387</v>
      </c>
      <c r="M1085" t="s">
        <v>71</v>
      </c>
      <c r="N1085" t="s">
        <v>198</v>
      </c>
      <c r="O1085" t="s">
        <v>2893</v>
      </c>
      <c r="P1085" t="s">
        <v>2894</v>
      </c>
      <c r="R1085" t="s">
        <v>2518</v>
      </c>
      <c r="S1085" t="s">
        <v>183</v>
      </c>
      <c r="T1085" t="s">
        <v>258</v>
      </c>
      <c r="U1085" t="s">
        <v>1876</v>
      </c>
      <c r="V1085" t="s">
        <v>2844</v>
      </c>
      <c r="W1085">
        <v>1680</v>
      </c>
      <c r="X1085">
        <v>64.989999999999995</v>
      </c>
      <c r="Y1085">
        <v>219</v>
      </c>
      <c r="Z1085">
        <v>1209000</v>
      </c>
      <c r="AA1085">
        <v>554400</v>
      </c>
      <c r="AB1085">
        <v>800</v>
      </c>
      <c r="AD1085" t="s">
        <v>238</v>
      </c>
      <c r="AE1085">
        <v>2</v>
      </c>
      <c r="AF1085">
        <v>0</v>
      </c>
      <c r="AI1085">
        <v>20</v>
      </c>
      <c r="AJ1085">
        <v>10</v>
      </c>
      <c r="AK1085">
        <v>30</v>
      </c>
      <c r="AL1085">
        <v>330</v>
      </c>
      <c r="AM1085">
        <v>0</v>
      </c>
      <c r="AN1085">
        <v>0</v>
      </c>
      <c r="AO1085">
        <v>0</v>
      </c>
      <c r="AP1085" t="s">
        <v>69</v>
      </c>
      <c r="AS1085" t="s">
        <v>86</v>
      </c>
      <c r="AT1085" t="s">
        <v>86</v>
      </c>
      <c r="AU1085" t="s">
        <v>86</v>
      </c>
      <c r="AW1085" t="s">
        <v>69</v>
      </c>
      <c r="AX1085" t="s">
        <v>2843</v>
      </c>
      <c r="AY1085" t="s">
        <v>3388</v>
      </c>
      <c r="BD1085" t="s">
        <v>3393</v>
      </c>
      <c r="BE1085" t="s">
        <v>3389</v>
      </c>
      <c r="BH1085" t="str">
        <f>IF(COUNTIF(工作表1!A:A, $C1085)&gt;0, "預購款", "非預購款")</f>
        <v>非預購款</v>
      </c>
    </row>
    <row r="1086" spans="1:60" x14ac:dyDescent="0.25">
      <c r="A1086" t="s">
        <v>3383</v>
      </c>
      <c r="B1086" t="s">
        <v>1875</v>
      </c>
      <c r="C1086" t="s">
        <v>3384</v>
      </c>
      <c r="D1086" t="s">
        <v>3385</v>
      </c>
      <c r="E1086" t="s">
        <v>3386</v>
      </c>
      <c r="F1086" t="s">
        <v>176</v>
      </c>
      <c r="G1086" t="s">
        <v>3385</v>
      </c>
      <c r="H1086" t="s">
        <v>2858</v>
      </c>
      <c r="I1086" t="s">
        <v>162</v>
      </c>
      <c r="J1086" t="s">
        <v>163</v>
      </c>
      <c r="K1086" t="s">
        <v>69</v>
      </c>
      <c r="L1086" t="s">
        <v>3387</v>
      </c>
      <c r="M1086" t="s">
        <v>71</v>
      </c>
      <c r="N1086" t="s">
        <v>198</v>
      </c>
      <c r="O1086" t="s">
        <v>2893</v>
      </c>
      <c r="P1086" t="s">
        <v>2894</v>
      </c>
      <c r="R1086" t="s">
        <v>2518</v>
      </c>
      <c r="S1086" t="s">
        <v>183</v>
      </c>
      <c r="T1086" t="s">
        <v>258</v>
      </c>
      <c r="U1086" t="s">
        <v>1876</v>
      </c>
      <c r="V1086" t="s">
        <v>2844</v>
      </c>
      <c r="W1086">
        <v>1680</v>
      </c>
      <c r="X1086">
        <v>64.989999999999995</v>
      </c>
      <c r="Y1086">
        <v>219</v>
      </c>
      <c r="Z1086">
        <v>1209000</v>
      </c>
      <c r="AA1086">
        <v>554400</v>
      </c>
      <c r="AB1086">
        <v>800</v>
      </c>
      <c r="AD1086" t="s">
        <v>238</v>
      </c>
      <c r="AE1086">
        <v>2</v>
      </c>
      <c r="AF1086">
        <v>0</v>
      </c>
      <c r="AI1086">
        <v>20</v>
      </c>
      <c r="AJ1086">
        <v>10</v>
      </c>
      <c r="AK1086">
        <v>30</v>
      </c>
      <c r="AL1086">
        <v>330</v>
      </c>
      <c r="AM1086">
        <v>0</v>
      </c>
      <c r="AN1086">
        <v>0</v>
      </c>
      <c r="AO1086">
        <v>0</v>
      </c>
      <c r="AP1086" t="s">
        <v>69</v>
      </c>
      <c r="AS1086" t="s">
        <v>86</v>
      </c>
      <c r="AT1086" t="s">
        <v>86</v>
      </c>
      <c r="AU1086" t="s">
        <v>86</v>
      </c>
      <c r="AW1086" t="s">
        <v>69</v>
      </c>
      <c r="AX1086" t="s">
        <v>2843</v>
      </c>
      <c r="AY1086" t="s">
        <v>3388</v>
      </c>
      <c r="BD1086" t="s">
        <v>3394</v>
      </c>
      <c r="BE1086" t="s">
        <v>3389</v>
      </c>
      <c r="BH1086" t="str">
        <f>IF(COUNTIF(工作表1!A:A, $C1086)&gt;0, "預購款", "非預購款")</f>
        <v>非預購款</v>
      </c>
    </row>
    <row r="1087" spans="1:60" x14ac:dyDescent="0.25">
      <c r="A1087" t="s">
        <v>3383</v>
      </c>
      <c r="B1087" t="s">
        <v>1875</v>
      </c>
      <c r="C1087" t="s">
        <v>3384</v>
      </c>
      <c r="D1087" t="s">
        <v>3385</v>
      </c>
      <c r="E1087" t="s">
        <v>3386</v>
      </c>
      <c r="F1087" t="s">
        <v>176</v>
      </c>
      <c r="G1087" t="s">
        <v>3385</v>
      </c>
      <c r="H1087" t="s">
        <v>2860</v>
      </c>
      <c r="I1087" t="s">
        <v>162</v>
      </c>
      <c r="J1087" t="s">
        <v>163</v>
      </c>
      <c r="K1087" t="s">
        <v>69</v>
      </c>
      <c r="L1087" t="s">
        <v>3387</v>
      </c>
      <c r="M1087" t="s">
        <v>71</v>
      </c>
      <c r="N1087" t="s">
        <v>198</v>
      </c>
      <c r="O1087" t="s">
        <v>2893</v>
      </c>
      <c r="P1087" t="s">
        <v>2894</v>
      </c>
      <c r="R1087" t="s">
        <v>2518</v>
      </c>
      <c r="S1087" t="s">
        <v>183</v>
      </c>
      <c r="T1087" t="s">
        <v>258</v>
      </c>
      <c r="U1087" t="s">
        <v>1876</v>
      </c>
      <c r="V1087" t="s">
        <v>2844</v>
      </c>
      <c r="W1087">
        <v>1680</v>
      </c>
      <c r="X1087">
        <v>64.989999999999995</v>
      </c>
      <c r="Y1087">
        <v>219</v>
      </c>
      <c r="Z1087">
        <v>1209000</v>
      </c>
      <c r="AA1087">
        <v>554400</v>
      </c>
      <c r="AB1087">
        <v>800</v>
      </c>
      <c r="AD1087" t="s">
        <v>238</v>
      </c>
      <c r="AE1087">
        <v>2</v>
      </c>
      <c r="AF1087">
        <v>0</v>
      </c>
      <c r="AI1087">
        <v>20</v>
      </c>
      <c r="AJ1087">
        <v>10</v>
      </c>
      <c r="AK1087">
        <v>30</v>
      </c>
      <c r="AL1087">
        <v>330</v>
      </c>
      <c r="AM1087">
        <v>0</v>
      </c>
      <c r="AN1087">
        <v>0</v>
      </c>
      <c r="AO1087">
        <v>0</v>
      </c>
      <c r="AP1087" t="s">
        <v>69</v>
      </c>
      <c r="AS1087" t="s">
        <v>86</v>
      </c>
      <c r="AT1087" t="s">
        <v>86</v>
      </c>
      <c r="AU1087" t="s">
        <v>86</v>
      </c>
      <c r="AW1087" t="s">
        <v>69</v>
      </c>
      <c r="AX1087" t="s">
        <v>2843</v>
      </c>
      <c r="AY1087" t="s">
        <v>3388</v>
      </c>
      <c r="BD1087" t="s">
        <v>3395</v>
      </c>
      <c r="BE1087" t="s">
        <v>3389</v>
      </c>
      <c r="BH1087" t="str">
        <f>IF(COUNTIF(工作表1!A:A, $C1087)&gt;0, "預購款", "非預購款")</f>
        <v>非預購款</v>
      </c>
    </row>
    <row r="1088" spans="1:60" x14ac:dyDescent="0.25">
      <c r="A1088" t="s">
        <v>1894</v>
      </c>
      <c r="B1088" t="s">
        <v>488</v>
      </c>
      <c r="C1088" t="s">
        <v>1895</v>
      </c>
      <c r="D1088" t="s">
        <v>1896</v>
      </c>
      <c r="E1088" t="s">
        <v>1897</v>
      </c>
      <c r="F1088" t="s">
        <v>1631</v>
      </c>
      <c r="G1088" t="s">
        <v>1898</v>
      </c>
      <c r="H1088" t="s">
        <v>119</v>
      </c>
      <c r="I1088" t="s">
        <v>67</v>
      </c>
      <c r="J1088" t="s">
        <v>68</v>
      </c>
      <c r="K1088" t="s">
        <v>69</v>
      </c>
      <c r="L1088" t="s">
        <v>1899</v>
      </c>
      <c r="M1088" t="s">
        <v>71</v>
      </c>
      <c r="N1088" t="s">
        <v>100</v>
      </c>
      <c r="O1088" t="s">
        <v>1900</v>
      </c>
      <c r="P1088" t="s">
        <v>1901</v>
      </c>
      <c r="R1088" t="s">
        <v>1902</v>
      </c>
      <c r="S1088" t="s">
        <v>1893</v>
      </c>
      <c r="T1088" t="s">
        <v>258</v>
      </c>
      <c r="U1088" t="s">
        <v>146</v>
      </c>
      <c r="V1088" t="s">
        <v>144</v>
      </c>
      <c r="W1088">
        <v>890</v>
      </c>
      <c r="X1088">
        <v>39.99</v>
      </c>
      <c r="Y1088">
        <v>115</v>
      </c>
      <c r="Z1088">
        <v>639000</v>
      </c>
      <c r="AA1088">
        <v>3560</v>
      </c>
      <c r="AB1088">
        <v>430</v>
      </c>
      <c r="AD1088" t="s">
        <v>238</v>
      </c>
      <c r="AE1088">
        <v>1</v>
      </c>
      <c r="AF1088">
        <v>0</v>
      </c>
      <c r="AI1088">
        <v>0</v>
      </c>
      <c r="AJ1088">
        <v>1</v>
      </c>
      <c r="AK1088">
        <v>1</v>
      </c>
      <c r="AL1088">
        <v>4</v>
      </c>
      <c r="AM1088">
        <v>1</v>
      </c>
      <c r="AN1088">
        <v>0</v>
      </c>
      <c r="AO1088">
        <v>1</v>
      </c>
      <c r="AP1088" t="s">
        <v>80</v>
      </c>
      <c r="AQ1088" t="s">
        <v>187</v>
      </c>
      <c r="AR1088" t="s">
        <v>86</v>
      </c>
      <c r="AS1088" t="s">
        <v>86</v>
      </c>
      <c r="AT1088" t="s">
        <v>86</v>
      </c>
      <c r="AU1088" t="s">
        <v>86</v>
      </c>
      <c r="AV1088" t="s">
        <v>1903</v>
      </c>
      <c r="AW1088" t="s">
        <v>69</v>
      </c>
      <c r="AX1088" t="s">
        <v>262</v>
      </c>
      <c r="AY1088" t="s">
        <v>1904</v>
      </c>
      <c r="AZ1088" t="s">
        <v>243</v>
      </c>
      <c r="BA1088" t="s">
        <v>245</v>
      </c>
      <c r="BB1088" t="s">
        <v>244</v>
      </c>
      <c r="BC1088" t="s">
        <v>245</v>
      </c>
      <c r="BD1088" t="s">
        <v>1905</v>
      </c>
      <c r="BE1088" t="s">
        <v>3417</v>
      </c>
      <c r="BF1088" t="s">
        <v>240</v>
      </c>
      <c r="BG1088" t="s">
        <v>150</v>
      </c>
      <c r="BH1088" t="str">
        <f>IF(COUNTIF(工作表1!A:A, $C1088)&gt;0, "預購款", "非預購款")</f>
        <v>非預購款</v>
      </c>
    </row>
    <row r="1089" spans="1:60" x14ac:dyDescent="0.25">
      <c r="A1089" t="s">
        <v>1894</v>
      </c>
      <c r="B1089" t="s">
        <v>488</v>
      </c>
      <c r="C1089" t="s">
        <v>1895</v>
      </c>
      <c r="D1089" t="s">
        <v>1896</v>
      </c>
      <c r="E1089" t="s">
        <v>1897</v>
      </c>
      <c r="F1089" t="s">
        <v>1631</v>
      </c>
      <c r="G1089" t="s">
        <v>1898</v>
      </c>
      <c r="H1089" t="s">
        <v>130</v>
      </c>
      <c r="I1089" t="s">
        <v>67</v>
      </c>
      <c r="J1089" t="s">
        <v>68</v>
      </c>
      <c r="K1089" t="s">
        <v>69</v>
      </c>
      <c r="L1089" t="s">
        <v>1899</v>
      </c>
      <c r="M1089" t="s">
        <v>71</v>
      </c>
      <c r="N1089" t="s">
        <v>100</v>
      </c>
      <c r="O1089" t="s">
        <v>1900</v>
      </c>
      <c r="P1089" t="s">
        <v>1901</v>
      </c>
      <c r="R1089" t="s">
        <v>1902</v>
      </c>
      <c r="S1089" t="s">
        <v>1893</v>
      </c>
      <c r="T1089" t="s">
        <v>258</v>
      </c>
      <c r="U1089" t="s">
        <v>146</v>
      </c>
      <c r="V1089" t="s">
        <v>144</v>
      </c>
      <c r="W1089">
        <v>890</v>
      </c>
      <c r="X1089">
        <v>39.99</v>
      </c>
      <c r="Y1089">
        <v>115</v>
      </c>
      <c r="Z1089">
        <v>639000</v>
      </c>
      <c r="AA1089">
        <v>3560</v>
      </c>
      <c r="AB1089">
        <v>430</v>
      </c>
      <c r="AD1089" t="s">
        <v>238</v>
      </c>
      <c r="AE1089">
        <v>1</v>
      </c>
      <c r="AF1089">
        <v>0</v>
      </c>
      <c r="AI1089">
        <v>0</v>
      </c>
      <c r="AJ1089">
        <v>3</v>
      </c>
      <c r="AK1089">
        <v>3</v>
      </c>
      <c r="AL1089">
        <v>4</v>
      </c>
      <c r="AM1089">
        <v>3</v>
      </c>
      <c r="AN1089">
        <v>0</v>
      </c>
      <c r="AO1089">
        <v>3</v>
      </c>
      <c r="AP1089" t="s">
        <v>80</v>
      </c>
      <c r="AQ1089" t="s">
        <v>187</v>
      </c>
      <c r="AR1089" t="s">
        <v>86</v>
      </c>
      <c r="AS1089" t="s">
        <v>86</v>
      </c>
      <c r="AT1089" t="s">
        <v>86</v>
      </c>
      <c r="AU1089" t="s">
        <v>86</v>
      </c>
      <c r="AV1089" t="s">
        <v>1903</v>
      </c>
      <c r="AW1089" t="s">
        <v>69</v>
      </c>
      <c r="AX1089" t="s">
        <v>262</v>
      </c>
      <c r="AY1089" t="s">
        <v>1904</v>
      </c>
      <c r="AZ1089" t="s">
        <v>243</v>
      </c>
      <c r="BA1089" t="s">
        <v>245</v>
      </c>
      <c r="BB1089" t="s">
        <v>244</v>
      </c>
      <c r="BC1089" t="s">
        <v>245</v>
      </c>
      <c r="BD1089" t="s">
        <v>1907</v>
      </c>
      <c r="BE1089" t="s">
        <v>3417</v>
      </c>
      <c r="BF1089" t="s">
        <v>240</v>
      </c>
      <c r="BG1089" t="s">
        <v>150</v>
      </c>
      <c r="BH1089" t="str">
        <f>IF(COUNTIF(工作表1!A:A, $C1089)&gt;0, "預購款", "非預購款")</f>
        <v>非預購款</v>
      </c>
    </row>
    <row r="1090" spans="1:60" x14ac:dyDescent="0.25">
      <c r="A1090" t="s">
        <v>1921</v>
      </c>
      <c r="B1090" t="s">
        <v>488</v>
      </c>
      <c r="C1090" t="s">
        <v>1922</v>
      </c>
      <c r="D1090" t="s">
        <v>1923</v>
      </c>
      <c r="E1090" t="s">
        <v>1924</v>
      </c>
      <c r="F1090" t="s">
        <v>1631</v>
      </c>
      <c r="G1090" t="s">
        <v>1925</v>
      </c>
      <c r="H1090" t="s">
        <v>119</v>
      </c>
      <c r="I1090" t="s">
        <v>111</v>
      </c>
      <c r="J1090" t="s">
        <v>112</v>
      </c>
      <c r="K1090" t="s">
        <v>69</v>
      </c>
      <c r="L1090" t="s">
        <v>1926</v>
      </c>
      <c r="M1090" t="s">
        <v>71</v>
      </c>
      <c r="N1090" t="s">
        <v>100</v>
      </c>
      <c r="O1090" t="s">
        <v>1900</v>
      </c>
      <c r="P1090" t="s">
        <v>1901</v>
      </c>
      <c r="R1090" t="s">
        <v>1902</v>
      </c>
      <c r="S1090" t="s">
        <v>1893</v>
      </c>
      <c r="T1090" t="s">
        <v>258</v>
      </c>
      <c r="U1090" t="s">
        <v>383</v>
      </c>
      <c r="V1090" t="s">
        <v>124</v>
      </c>
      <c r="W1090">
        <v>690</v>
      </c>
      <c r="X1090">
        <v>29.99</v>
      </c>
      <c r="Y1090">
        <v>89</v>
      </c>
      <c r="Z1090">
        <v>499000</v>
      </c>
      <c r="AA1090">
        <v>2760</v>
      </c>
      <c r="AB1090">
        <v>290</v>
      </c>
      <c r="AD1090" t="s">
        <v>238</v>
      </c>
      <c r="AE1090">
        <v>2</v>
      </c>
      <c r="AF1090">
        <v>0</v>
      </c>
      <c r="AI1090">
        <v>0</v>
      </c>
      <c r="AJ1090">
        <v>1</v>
      </c>
      <c r="AK1090">
        <v>1</v>
      </c>
      <c r="AL1090">
        <v>4</v>
      </c>
      <c r="AM1090">
        <v>1</v>
      </c>
      <c r="AN1090">
        <v>0</v>
      </c>
      <c r="AO1090">
        <v>1</v>
      </c>
      <c r="AP1090" t="s">
        <v>80</v>
      </c>
      <c r="AQ1090" t="s">
        <v>187</v>
      </c>
      <c r="AR1090" t="s">
        <v>86</v>
      </c>
      <c r="AS1090" t="s">
        <v>86</v>
      </c>
      <c r="AT1090" t="s">
        <v>86</v>
      </c>
      <c r="AU1090" t="s">
        <v>86</v>
      </c>
      <c r="AV1090" t="s">
        <v>799</v>
      </c>
      <c r="AW1090" t="s">
        <v>69</v>
      </c>
      <c r="AX1090" t="s">
        <v>1927</v>
      </c>
      <c r="AY1090" t="s">
        <v>1928</v>
      </c>
      <c r="AZ1090" t="s">
        <v>264</v>
      </c>
      <c r="BA1090" t="s">
        <v>245</v>
      </c>
      <c r="BB1090" t="s">
        <v>245</v>
      </c>
      <c r="BC1090" t="s">
        <v>245</v>
      </c>
      <c r="BD1090" t="s">
        <v>1929</v>
      </c>
      <c r="BE1090" t="s">
        <v>3418</v>
      </c>
      <c r="BF1090" t="s">
        <v>240</v>
      </c>
      <c r="BG1090" t="s">
        <v>110</v>
      </c>
      <c r="BH1090" t="str">
        <f>IF(COUNTIF(工作表1!A:A, $C1090)&gt;0, "預購款", "非預購款")</f>
        <v>非預購款</v>
      </c>
    </row>
    <row r="1091" spans="1:60" x14ac:dyDescent="0.25">
      <c r="A1091" t="s">
        <v>1921</v>
      </c>
      <c r="B1091" t="s">
        <v>488</v>
      </c>
      <c r="C1091" t="s">
        <v>1922</v>
      </c>
      <c r="D1091" t="s">
        <v>1923</v>
      </c>
      <c r="E1091" t="s">
        <v>1924</v>
      </c>
      <c r="F1091" t="s">
        <v>1631</v>
      </c>
      <c r="G1091" t="s">
        <v>1925</v>
      </c>
      <c r="H1091" t="s">
        <v>130</v>
      </c>
      <c r="I1091" t="s">
        <v>88</v>
      </c>
      <c r="J1091" t="s">
        <v>89</v>
      </c>
      <c r="K1091" t="s">
        <v>69</v>
      </c>
      <c r="L1091" t="s">
        <v>1926</v>
      </c>
      <c r="M1091" t="s">
        <v>71</v>
      </c>
      <c r="N1091" t="s">
        <v>100</v>
      </c>
      <c r="O1091" t="s">
        <v>1900</v>
      </c>
      <c r="P1091" t="s">
        <v>1901</v>
      </c>
      <c r="R1091" t="s">
        <v>1902</v>
      </c>
      <c r="S1091" t="s">
        <v>1893</v>
      </c>
      <c r="T1091" t="s">
        <v>258</v>
      </c>
      <c r="U1091" t="s">
        <v>383</v>
      </c>
      <c r="V1091" t="s">
        <v>124</v>
      </c>
      <c r="W1091">
        <v>690</v>
      </c>
      <c r="X1091">
        <v>29.99</v>
      </c>
      <c r="Y1091">
        <v>89</v>
      </c>
      <c r="Z1091">
        <v>499000</v>
      </c>
      <c r="AA1091">
        <v>2760</v>
      </c>
      <c r="AB1091">
        <v>290</v>
      </c>
      <c r="AD1091" t="s">
        <v>238</v>
      </c>
      <c r="AE1091">
        <v>2</v>
      </c>
      <c r="AF1091">
        <v>0</v>
      </c>
      <c r="AI1091">
        <v>0</v>
      </c>
      <c r="AJ1091">
        <v>1</v>
      </c>
      <c r="AK1091">
        <v>1</v>
      </c>
      <c r="AL1091">
        <v>4</v>
      </c>
      <c r="AM1091">
        <v>1</v>
      </c>
      <c r="AN1091">
        <v>0</v>
      </c>
      <c r="AO1091">
        <v>1</v>
      </c>
      <c r="AP1091" t="s">
        <v>80</v>
      </c>
      <c r="AQ1091" t="s">
        <v>187</v>
      </c>
      <c r="AR1091" t="s">
        <v>86</v>
      </c>
      <c r="AS1091" t="s">
        <v>86</v>
      </c>
      <c r="AT1091" t="s">
        <v>86</v>
      </c>
      <c r="AU1091" t="s">
        <v>86</v>
      </c>
      <c r="AV1091" t="s">
        <v>799</v>
      </c>
      <c r="AW1091" t="s">
        <v>69</v>
      </c>
      <c r="AX1091" t="s">
        <v>1927</v>
      </c>
      <c r="AY1091" t="s">
        <v>1928</v>
      </c>
      <c r="AZ1091" t="s">
        <v>264</v>
      </c>
      <c r="BA1091" t="s">
        <v>245</v>
      </c>
      <c r="BB1091" t="s">
        <v>245</v>
      </c>
      <c r="BC1091" t="s">
        <v>245</v>
      </c>
      <c r="BD1091" t="s">
        <v>1934</v>
      </c>
      <c r="BE1091" t="s">
        <v>3418</v>
      </c>
      <c r="BF1091" t="s">
        <v>240</v>
      </c>
      <c r="BG1091" t="s">
        <v>110</v>
      </c>
      <c r="BH1091" t="str">
        <f>IF(COUNTIF(工作表1!A:A, $C1091)&gt;0, "預購款", "非預購款")</f>
        <v>非預購款</v>
      </c>
    </row>
    <row r="1092" spans="1:60" x14ac:dyDescent="0.25">
      <c r="A1092" t="s">
        <v>1921</v>
      </c>
      <c r="B1092" t="s">
        <v>488</v>
      </c>
      <c r="C1092" t="s">
        <v>1922</v>
      </c>
      <c r="D1092" t="s">
        <v>1923</v>
      </c>
      <c r="E1092" t="s">
        <v>1924</v>
      </c>
      <c r="F1092" t="s">
        <v>1631</v>
      </c>
      <c r="G1092" t="s">
        <v>1925</v>
      </c>
      <c r="H1092" t="s">
        <v>132</v>
      </c>
      <c r="I1092" t="s">
        <v>88</v>
      </c>
      <c r="J1092" t="s">
        <v>89</v>
      </c>
      <c r="K1092" t="s">
        <v>69</v>
      </c>
      <c r="L1092" t="s">
        <v>1926</v>
      </c>
      <c r="M1092" t="s">
        <v>71</v>
      </c>
      <c r="N1092" t="s">
        <v>100</v>
      </c>
      <c r="O1092" t="s">
        <v>1900</v>
      </c>
      <c r="P1092" t="s">
        <v>1901</v>
      </c>
      <c r="R1092" t="s">
        <v>1902</v>
      </c>
      <c r="S1092" t="s">
        <v>1893</v>
      </c>
      <c r="T1092" t="s">
        <v>258</v>
      </c>
      <c r="U1092" t="s">
        <v>383</v>
      </c>
      <c r="V1092" t="s">
        <v>124</v>
      </c>
      <c r="W1092">
        <v>690</v>
      </c>
      <c r="X1092">
        <v>29.99</v>
      </c>
      <c r="Y1092">
        <v>89</v>
      </c>
      <c r="Z1092">
        <v>499000</v>
      </c>
      <c r="AA1092">
        <v>2760</v>
      </c>
      <c r="AB1092">
        <v>290</v>
      </c>
      <c r="AD1092" t="s">
        <v>238</v>
      </c>
      <c r="AE1092">
        <v>2</v>
      </c>
      <c r="AF1092">
        <v>0</v>
      </c>
      <c r="AI1092">
        <v>0</v>
      </c>
      <c r="AJ1092">
        <v>2</v>
      </c>
      <c r="AK1092">
        <v>2</v>
      </c>
      <c r="AL1092">
        <v>4</v>
      </c>
      <c r="AM1092">
        <v>2</v>
      </c>
      <c r="AN1092">
        <v>0</v>
      </c>
      <c r="AO1092">
        <v>2</v>
      </c>
      <c r="AP1092" t="s">
        <v>80</v>
      </c>
      <c r="AQ1092" t="s">
        <v>187</v>
      </c>
      <c r="AR1092" t="s">
        <v>86</v>
      </c>
      <c r="AS1092" t="s">
        <v>86</v>
      </c>
      <c r="AT1092" t="s">
        <v>86</v>
      </c>
      <c r="AU1092" t="s">
        <v>86</v>
      </c>
      <c r="AV1092" t="s">
        <v>799</v>
      </c>
      <c r="AW1092" t="s">
        <v>69</v>
      </c>
      <c r="AX1092" t="s">
        <v>1927</v>
      </c>
      <c r="AY1092" t="s">
        <v>1928</v>
      </c>
      <c r="AZ1092" t="s">
        <v>264</v>
      </c>
      <c r="BA1092" t="s">
        <v>245</v>
      </c>
      <c r="BB1092" t="s">
        <v>245</v>
      </c>
      <c r="BC1092" t="s">
        <v>245</v>
      </c>
      <c r="BD1092" t="s">
        <v>1935</v>
      </c>
      <c r="BE1092" t="s">
        <v>3418</v>
      </c>
      <c r="BF1092" t="s">
        <v>240</v>
      </c>
      <c r="BG1092" t="s">
        <v>110</v>
      </c>
      <c r="BH1092" t="str">
        <f>IF(COUNTIF(工作表1!A:A, $C1092)&gt;0, "預購款", "非預購款")</f>
        <v>非預購款</v>
      </c>
    </row>
    <row r="1093" spans="1:60" x14ac:dyDescent="0.25">
      <c r="A1093" t="s">
        <v>2638</v>
      </c>
      <c r="B1093" t="s">
        <v>776</v>
      </c>
      <c r="C1093" t="s">
        <v>2639</v>
      </c>
      <c r="D1093" t="s">
        <v>2640</v>
      </c>
      <c r="E1093" t="s">
        <v>2641</v>
      </c>
      <c r="F1093" t="s">
        <v>181</v>
      </c>
      <c r="G1093" t="s">
        <v>2642</v>
      </c>
      <c r="H1093" t="s">
        <v>119</v>
      </c>
      <c r="I1093" t="s">
        <v>97</v>
      </c>
      <c r="J1093" t="s">
        <v>98</v>
      </c>
      <c r="K1093" t="s">
        <v>69</v>
      </c>
      <c r="L1093" t="s">
        <v>2643</v>
      </c>
      <c r="M1093" t="s">
        <v>71</v>
      </c>
      <c r="N1093" t="s">
        <v>100</v>
      </c>
      <c r="O1093" t="s">
        <v>2597</v>
      </c>
      <c r="P1093" t="s">
        <v>2598</v>
      </c>
      <c r="R1093" t="s">
        <v>2599</v>
      </c>
      <c r="S1093" t="s">
        <v>176</v>
      </c>
      <c r="T1093" t="s">
        <v>291</v>
      </c>
      <c r="U1093" t="s">
        <v>104</v>
      </c>
      <c r="V1093" t="s">
        <v>653</v>
      </c>
      <c r="W1093">
        <v>490</v>
      </c>
      <c r="X1093">
        <v>22.99</v>
      </c>
      <c r="Y1093">
        <v>60</v>
      </c>
      <c r="Z1093">
        <v>355000</v>
      </c>
      <c r="AA1093">
        <v>4900</v>
      </c>
      <c r="AB1093">
        <v>180</v>
      </c>
      <c r="AD1093" t="s">
        <v>238</v>
      </c>
      <c r="AE1093">
        <v>1</v>
      </c>
      <c r="AF1093">
        <v>0</v>
      </c>
      <c r="AI1093">
        <v>0</v>
      </c>
      <c r="AJ1093">
        <v>10</v>
      </c>
      <c r="AK1093">
        <v>10</v>
      </c>
      <c r="AL1093">
        <v>10</v>
      </c>
      <c r="AM1093">
        <v>8</v>
      </c>
      <c r="AN1093">
        <v>0</v>
      </c>
      <c r="AO1093">
        <v>8</v>
      </c>
      <c r="AP1093" t="s">
        <v>80</v>
      </c>
      <c r="AQ1093" t="s">
        <v>1151</v>
      </c>
      <c r="AT1093" t="s">
        <v>240</v>
      </c>
      <c r="AU1093" t="s">
        <v>240</v>
      </c>
      <c r="AV1093" t="s">
        <v>2644</v>
      </c>
      <c r="AW1093" t="s">
        <v>69</v>
      </c>
      <c r="AX1093" t="s">
        <v>218</v>
      </c>
      <c r="AY1093" t="s">
        <v>2645</v>
      </c>
      <c r="AZ1093" t="s">
        <v>243</v>
      </c>
      <c r="BA1093" t="s">
        <v>245</v>
      </c>
      <c r="BB1093" t="s">
        <v>244</v>
      </c>
      <c r="BC1093" t="s">
        <v>264</v>
      </c>
      <c r="BD1093" t="s">
        <v>2650</v>
      </c>
      <c r="BE1093" t="s">
        <v>3419</v>
      </c>
      <c r="BF1093" t="s">
        <v>971</v>
      </c>
      <c r="BG1093" t="s">
        <v>150</v>
      </c>
      <c r="BH1093" t="str">
        <f>IF(COUNTIF(工作表1!A:A, $C1093)&gt;0, "預購款", "非預購款")</f>
        <v>非預購款</v>
      </c>
    </row>
    <row r="1094" spans="1:60" x14ac:dyDescent="0.25">
      <c r="A1094" t="s">
        <v>702</v>
      </c>
      <c r="B1094" t="s">
        <v>60</v>
      </c>
      <c r="C1094" t="s">
        <v>703</v>
      </c>
      <c r="D1094" t="s">
        <v>704</v>
      </c>
      <c r="E1094" t="s">
        <v>705</v>
      </c>
      <c r="F1094" t="s">
        <v>178</v>
      </c>
      <c r="G1094" t="s">
        <v>706</v>
      </c>
      <c r="H1094" t="s">
        <v>119</v>
      </c>
      <c r="I1094" t="s">
        <v>162</v>
      </c>
      <c r="J1094" t="s">
        <v>163</v>
      </c>
      <c r="K1094" t="s">
        <v>69</v>
      </c>
      <c r="L1094" t="s">
        <v>707</v>
      </c>
      <c r="M1094" t="s">
        <v>71</v>
      </c>
      <c r="N1094" t="s">
        <v>72</v>
      </c>
      <c r="O1094" t="s">
        <v>708</v>
      </c>
      <c r="P1094" t="s">
        <v>709</v>
      </c>
      <c r="R1094" t="s">
        <v>710</v>
      </c>
      <c r="S1094" t="s">
        <v>179</v>
      </c>
      <c r="T1094" t="s">
        <v>76</v>
      </c>
      <c r="U1094" t="s">
        <v>383</v>
      </c>
      <c r="V1094" t="s">
        <v>384</v>
      </c>
      <c r="W1094">
        <v>990</v>
      </c>
      <c r="X1094">
        <v>39.99</v>
      </c>
      <c r="Y1094">
        <v>129</v>
      </c>
      <c r="Z1094">
        <v>709000</v>
      </c>
      <c r="AA1094">
        <v>14850</v>
      </c>
      <c r="AB1094">
        <v>496</v>
      </c>
      <c r="AD1094" t="s">
        <v>238</v>
      </c>
      <c r="AE1094">
        <v>2</v>
      </c>
      <c r="AF1094">
        <v>0</v>
      </c>
      <c r="AI1094">
        <v>0</v>
      </c>
      <c r="AJ1094">
        <v>4</v>
      </c>
      <c r="AK1094">
        <v>4</v>
      </c>
      <c r="AL1094">
        <v>15</v>
      </c>
      <c r="AM1094">
        <v>4</v>
      </c>
      <c r="AN1094">
        <v>0</v>
      </c>
      <c r="AO1094">
        <v>4</v>
      </c>
      <c r="AP1094" t="s">
        <v>80</v>
      </c>
      <c r="AQ1094" t="s">
        <v>1151</v>
      </c>
      <c r="AR1094" t="s">
        <v>261</v>
      </c>
      <c r="AT1094" t="s">
        <v>86</v>
      </c>
      <c r="AU1094" t="s">
        <v>86</v>
      </c>
      <c r="AV1094" t="s">
        <v>81</v>
      </c>
      <c r="AW1094" t="s">
        <v>69</v>
      </c>
      <c r="AX1094" t="s">
        <v>387</v>
      </c>
      <c r="AY1094" t="s">
        <v>711</v>
      </c>
      <c r="AZ1094" t="s">
        <v>244</v>
      </c>
      <c r="BA1094" t="s">
        <v>244</v>
      </c>
      <c r="BB1094" t="s">
        <v>243</v>
      </c>
      <c r="BC1094" t="s">
        <v>245</v>
      </c>
      <c r="BD1094" t="s">
        <v>712</v>
      </c>
      <c r="BE1094" t="s">
        <v>3420</v>
      </c>
      <c r="BF1094" t="s">
        <v>86</v>
      </c>
      <c r="BG1094" t="s">
        <v>110</v>
      </c>
      <c r="BH1094" t="str">
        <f>IF(COUNTIF(工作表1!A:A, $C1094)&gt;0, "預購款", "非預購款")</f>
        <v>非預購款</v>
      </c>
    </row>
    <row r="1095" spans="1:60" x14ac:dyDescent="0.25">
      <c r="A1095" t="s">
        <v>702</v>
      </c>
      <c r="B1095" t="s">
        <v>60</v>
      </c>
      <c r="C1095" t="s">
        <v>703</v>
      </c>
      <c r="D1095" t="s">
        <v>704</v>
      </c>
      <c r="E1095" t="s">
        <v>705</v>
      </c>
      <c r="F1095" t="s">
        <v>178</v>
      </c>
      <c r="G1095" t="s">
        <v>706</v>
      </c>
      <c r="H1095" t="s">
        <v>130</v>
      </c>
      <c r="I1095" t="s">
        <v>162</v>
      </c>
      <c r="J1095" t="s">
        <v>163</v>
      </c>
      <c r="K1095" t="s">
        <v>69</v>
      </c>
      <c r="L1095" t="s">
        <v>707</v>
      </c>
      <c r="M1095" t="s">
        <v>71</v>
      </c>
      <c r="N1095" t="s">
        <v>72</v>
      </c>
      <c r="O1095" t="s">
        <v>708</v>
      </c>
      <c r="P1095" t="s">
        <v>709</v>
      </c>
      <c r="R1095" t="s">
        <v>710</v>
      </c>
      <c r="S1095" t="s">
        <v>179</v>
      </c>
      <c r="T1095" t="s">
        <v>76</v>
      </c>
      <c r="U1095" t="s">
        <v>383</v>
      </c>
      <c r="V1095" t="s">
        <v>384</v>
      </c>
      <c r="W1095">
        <v>990</v>
      </c>
      <c r="X1095">
        <v>39.99</v>
      </c>
      <c r="Y1095">
        <v>129</v>
      </c>
      <c r="Z1095">
        <v>709000</v>
      </c>
      <c r="AA1095">
        <v>14850</v>
      </c>
      <c r="AB1095">
        <v>496</v>
      </c>
      <c r="AD1095" t="s">
        <v>238</v>
      </c>
      <c r="AE1095">
        <v>2</v>
      </c>
      <c r="AF1095">
        <v>0</v>
      </c>
      <c r="AI1095">
        <v>0</v>
      </c>
      <c r="AJ1095">
        <v>5</v>
      </c>
      <c r="AK1095">
        <v>5</v>
      </c>
      <c r="AL1095">
        <v>15</v>
      </c>
      <c r="AM1095">
        <v>5</v>
      </c>
      <c r="AN1095">
        <v>0</v>
      </c>
      <c r="AO1095">
        <v>5</v>
      </c>
      <c r="AP1095" t="s">
        <v>80</v>
      </c>
      <c r="AQ1095" t="s">
        <v>1151</v>
      </c>
      <c r="AR1095" t="s">
        <v>261</v>
      </c>
      <c r="AT1095" t="s">
        <v>86</v>
      </c>
      <c r="AU1095" t="s">
        <v>86</v>
      </c>
      <c r="AV1095" t="s">
        <v>81</v>
      </c>
      <c r="AW1095" t="s">
        <v>69</v>
      </c>
      <c r="AX1095" t="s">
        <v>387</v>
      </c>
      <c r="AY1095" t="s">
        <v>711</v>
      </c>
      <c r="AZ1095" t="s">
        <v>244</v>
      </c>
      <c r="BA1095" t="s">
        <v>244</v>
      </c>
      <c r="BB1095" t="s">
        <v>243</v>
      </c>
      <c r="BC1095" t="s">
        <v>245</v>
      </c>
      <c r="BD1095" t="s">
        <v>714</v>
      </c>
      <c r="BE1095" t="s">
        <v>3420</v>
      </c>
      <c r="BF1095" t="s">
        <v>86</v>
      </c>
      <c r="BG1095" t="s">
        <v>110</v>
      </c>
      <c r="BH1095" t="str">
        <f>IF(COUNTIF(工作表1!A:A, $C1095)&gt;0, "預購款", "非預購款")</f>
        <v>非預購款</v>
      </c>
    </row>
    <row r="1096" spans="1:60" x14ac:dyDescent="0.25">
      <c r="A1096" t="s">
        <v>702</v>
      </c>
      <c r="B1096" t="s">
        <v>60</v>
      </c>
      <c r="C1096" t="s">
        <v>703</v>
      </c>
      <c r="D1096" t="s">
        <v>704</v>
      </c>
      <c r="E1096" t="s">
        <v>705</v>
      </c>
      <c r="F1096" t="s">
        <v>178</v>
      </c>
      <c r="G1096" t="s">
        <v>706</v>
      </c>
      <c r="H1096" t="s">
        <v>132</v>
      </c>
      <c r="I1096" t="s">
        <v>162</v>
      </c>
      <c r="J1096" t="s">
        <v>163</v>
      </c>
      <c r="K1096" t="s">
        <v>69</v>
      </c>
      <c r="L1096" t="s">
        <v>707</v>
      </c>
      <c r="M1096" t="s">
        <v>71</v>
      </c>
      <c r="N1096" t="s">
        <v>72</v>
      </c>
      <c r="O1096" t="s">
        <v>708</v>
      </c>
      <c r="P1096" t="s">
        <v>709</v>
      </c>
      <c r="R1096" t="s">
        <v>710</v>
      </c>
      <c r="S1096" t="s">
        <v>179</v>
      </c>
      <c r="T1096" t="s">
        <v>76</v>
      </c>
      <c r="U1096" t="s">
        <v>383</v>
      </c>
      <c r="V1096" t="s">
        <v>384</v>
      </c>
      <c r="W1096">
        <v>990</v>
      </c>
      <c r="X1096">
        <v>39.99</v>
      </c>
      <c r="Y1096">
        <v>129</v>
      </c>
      <c r="Z1096">
        <v>709000</v>
      </c>
      <c r="AA1096">
        <v>14850</v>
      </c>
      <c r="AB1096">
        <v>496</v>
      </c>
      <c r="AD1096" t="s">
        <v>238</v>
      </c>
      <c r="AE1096">
        <v>2</v>
      </c>
      <c r="AF1096">
        <v>0</v>
      </c>
      <c r="AI1096">
        <v>0</v>
      </c>
      <c r="AJ1096">
        <v>2</v>
      </c>
      <c r="AK1096">
        <v>2</v>
      </c>
      <c r="AL1096">
        <v>15</v>
      </c>
      <c r="AM1096">
        <v>2</v>
      </c>
      <c r="AN1096">
        <v>0</v>
      </c>
      <c r="AO1096">
        <v>2</v>
      </c>
      <c r="AP1096" t="s">
        <v>80</v>
      </c>
      <c r="AQ1096" t="s">
        <v>1151</v>
      </c>
      <c r="AR1096" t="s">
        <v>261</v>
      </c>
      <c r="AT1096" t="s">
        <v>86</v>
      </c>
      <c r="AU1096" t="s">
        <v>86</v>
      </c>
      <c r="AV1096" t="s">
        <v>81</v>
      </c>
      <c r="AW1096" t="s">
        <v>69</v>
      </c>
      <c r="AX1096" t="s">
        <v>387</v>
      </c>
      <c r="AY1096" t="s">
        <v>711</v>
      </c>
      <c r="AZ1096" t="s">
        <v>244</v>
      </c>
      <c r="BA1096" t="s">
        <v>244</v>
      </c>
      <c r="BB1096" t="s">
        <v>243</v>
      </c>
      <c r="BC1096" t="s">
        <v>245</v>
      </c>
      <c r="BD1096" t="s">
        <v>715</v>
      </c>
      <c r="BE1096" t="s">
        <v>3420</v>
      </c>
      <c r="BF1096" t="s">
        <v>86</v>
      </c>
      <c r="BG1096" t="s">
        <v>110</v>
      </c>
      <c r="BH1096" t="str">
        <f>IF(COUNTIF(工作表1!A:A, $C1096)&gt;0, "預購款", "非預購款")</f>
        <v>非預購款</v>
      </c>
    </row>
    <row r="1097" spans="1:60" x14ac:dyDescent="0.25">
      <c r="A1097" t="s">
        <v>702</v>
      </c>
      <c r="B1097" t="s">
        <v>60</v>
      </c>
      <c r="C1097" t="s">
        <v>703</v>
      </c>
      <c r="D1097" t="s">
        <v>704</v>
      </c>
      <c r="E1097" t="s">
        <v>705</v>
      </c>
      <c r="F1097" t="s">
        <v>178</v>
      </c>
      <c r="G1097" t="s">
        <v>706</v>
      </c>
      <c r="H1097" t="s">
        <v>119</v>
      </c>
      <c r="I1097" t="s">
        <v>88</v>
      </c>
      <c r="J1097" t="s">
        <v>89</v>
      </c>
      <c r="K1097" t="s">
        <v>69</v>
      </c>
      <c r="L1097" t="s">
        <v>707</v>
      </c>
      <c r="M1097" t="s">
        <v>71</v>
      </c>
      <c r="N1097" t="s">
        <v>72</v>
      </c>
      <c r="O1097" t="s">
        <v>708</v>
      </c>
      <c r="P1097" t="s">
        <v>709</v>
      </c>
      <c r="R1097" t="s">
        <v>710</v>
      </c>
      <c r="S1097" t="s">
        <v>179</v>
      </c>
      <c r="T1097" t="s">
        <v>76</v>
      </c>
      <c r="U1097" t="s">
        <v>383</v>
      </c>
      <c r="V1097" t="s">
        <v>384</v>
      </c>
      <c r="W1097">
        <v>990</v>
      </c>
      <c r="X1097">
        <v>39.99</v>
      </c>
      <c r="Y1097">
        <v>129</v>
      </c>
      <c r="Z1097">
        <v>709000</v>
      </c>
      <c r="AA1097">
        <v>14850</v>
      </c>
      <c r="AB1097">
        <v>496</v>
      </c>
      <c r="AD1097" t="s">
        <v>238</v>
      </c>
      <c r="AE1097">
        <v>2</v>
      </c>
      <c r="AF1097">
        <v>0</v>
      </c>
      <c r="AI1097">
        <v>0</v>
      </c>
      <c r="AJ1097">
        <v>2</v>
      </c>
      <c r="AK1097">
        <v>2</v>
      </c>
      <c r="AL1097">
        <v>15</v>
      </c>
      <c r="AM1097">
        <v>2</v>
      </c>
      <c r="AN1097">
        <v>0</v>
      </c>
      <c r="AO1097">
        <v>2</v>
      </c>
      <c r="AP1097" t="s">
        <v>80</v>
      </c>
      <c r="AQ1097" t="s">
        <v>1151</v>
      </c>
      <c r="AR1097" t="s">
        <v>261</v>
      </c>
      <c r="AT1097" t="s">
        <v>86</v>
      </c>
      <c r="AU1097" t="s">
        <v>86</v>
      </c>
      <c r="AV1097" t="s">
        <v>81</v>
      </c>
      <c r="AW1097" t="s">
        <v>69</v>
      </c>
      <c r="AX1097" t="s">
        <v>387</v>
      </c>
      <c r="AY1097" t="s">
        <v>711</v>
      </c>
      <c r="AZ1097" t="s">
        <v>244</v>
      </c>
      <c r="BA1097" t="s">
        <v>244</v>
      </c>
      <c r="BB1097" t="s">
        <v>243</v>
      </c>
      <c r="BC1097" t="s">
        <v>245</v>
      </c>
      <c r="BD1097" t="s">
        <v>716</v>
      </c>
      <c r="BE1097" t="s">
        <v>3420</v>
      </c>
      <c r="BF1097" t="s">
        <v>86</v>
      </c>
      <c r="BG1097" t="s">
        <v>110</v>
      </c>
      <c r="BH1097" t="str">
        <f>IF(COUNTIF(工作表1!A:A, $C1097)&gt;0, "預購款", "非預購款")</f>
        <v>非預購款</v>
      </c>
    </row>
    <row r="1098" spans="1:60" x14ac:dyDescent="0.25">
      <c r="A1098" t="s">
        <v>702</v>
      </c>
      <c r="B1098" t="s">
        <v>60</v>
      </c>
      <c r="C1098" t="s">
        <v>703</v>
      </c>
      <c r="D1098" t="s">
        <v>704</v>
      </c>
      <c r="E1098" t="s">
        <v>705</v>
      </c>
      <c r="F1098" t="s">
        <v>178</v>
      </c>
      <c r="G1098" t="s">
        <v>706</v>
      </c>
      <c r="H1098" t="s">
        <v>130</v>
      </c>
      <c r="I1098" t="s">
        <v>88</v>
      </c>
      <c r="J1098" t="s">
        <v>89</v>
      </c>
      <c r="K1098" t="s">
        <v>69</v>
      </c>
      <c r="L1098" t="s">
        <v>707</v>
      </c>
      <c r="M1098" t="s">
        <v>71</v>
      </c>
      <c r="N1098" t="s">
        <v>72</v>
      </c>
      <c r="O1098" t="s">
        <v>708</v>
      </c>
      <c r="P1098" t="s">
        <v>709</v>
      </c>
      <c r="R1098" t="s">
        <v>710</v>
      </c>
      <c r="S1098" t="s">
        <v>179</v>
      </c>
      <c r="T1098" t="s">
        <v>76</v>
      </c>
      <c r="U1098" t="s">
        <v>383</v>
      </c>
      <c r="V1098" t="s">
        <v>384</v>
      </c>
      <c r="W1098">
        <v>990</v>
      </c>
      <c r="X1098">
        <v>39.99</v>
      </c>
      <c r="Y1098">
        <v>129</v>
      </c>
      <c r="Z1098">
        <v>709000</v>
      </c>
      <c r="AA1098">
        <v>14850</v>
      </c>
      <c r="AB1098">
        <v>496</v>
      </c>
      <c r="AD1098" t="s">
        <v>238</v>
      </c>
      <c r="AE1098">
        <v>2</v>
      </c>
      <c r="AF1098">
        <v>0</v>
      </c>
      <c r="AI1098">
        <v>0</v>
      </c>
      <c r="AJ1098">
        <v>1</v>
      </c>
      <c r="AK1098">
        <v>1</v>
      </c>
      <c r="AL1098">
        <v>15</v>
      </c>
      <c r="AM1098">
        <v>1</v>
      </c>
      <c r="AN1098">
        <v>0</v>
      </c>
      <c r="AO1098">
        <v>1</v>
      </c>
      <c r="AP1098" t="s">
        <v>80</v>
      </c>
      <c r="AQ1098" t="s">
        <v>1151</v>
      </c>
      <c r="AR1098" t="s">
        <v>261</v>
      </c>
      <c r="AT1098" t="s">
        <v>86</v>
      </c>
      <c r="AU1098" t="s">
        <v>86</v>
      </c>
      <c r="AV1098" t="s">
        <v>81</v>
      </c>
      <c r="AW1098" t="s">
        <v>69</v>
      </c>
      <c r="AX1098" t="s">
        <v>387</v>
      </c>
      <c r="AY1098" t="s">
        <v>711</v>
      </c>
      <c r="AZ1098" t="s">
        <v>244</v>
      </c>
      <c r="BA1098" t="s">
        <v>244</v>
      </c>
      <c r="BB1098" t="s">
        <v>243</v>
      </c>
      <c r="BC1098" t="s">
        <v>245</v>
      </c>
      <c r="BD1098" t="s">
        <v>717</v>
      </c>
      <c r="BE1098" t="s">
        <v>3420</v>
      </c>
      <c r="BF1098" t="s">
        <v>86</v>
      </c>
      <c r="BG1098" t="s">
        <v>110</v>
      </c>
      <c r="BH1098" t="str">
        <f>IF(COUNTIF(工作表1!A:A, $C1098)&gt;0, "預購款", "非預購款")</f>
        <v>非預購款</v>
      </c>
    </row>
    <row r="1099" spans="1:60" x14ac:dyDescent="0.25">
      <c r="A1099" t="s">
        <v>702</v>
      </c>
      <c r="B1099" t="s">
        <v>60</v>
      </c>
      <c r="C1099" t="s">
        <v>703</v>
      </c>
      <c r="D1099" t="s">
        <v>704</v>
      </c>
      <c r="E1099" t="s">
        <v>705</v>
      </c>
      <c r="F1099" t="s">
        <v>178</v>
      </c>
      <c r="G1099" t="s">
        <v>706</v>
      </c>
      <c r="H1099" t="s">
        <v>132</v>
      </c>
      <c r="I1099" t="s">
        <v>88</v>
      </c>
      <c r="J1099" t="s">
        <v>89</v>
      </c>
      <c r="K1099" t="s">
        <v>69</v>
      </c>
      <c r="L1099" t="s">
        <v>707</v>
      </c>
      <c r="M1099" t="s">
        <v>71</v>
      </c>
      <c r="N1099" t="s">
        <v>72</v>
      </c>
      <c r="O1099" t="s">
        <v>708</v>
      </c>
      <c r="P1099" t="s">
        <v>709</v>
      </c>
      <c r="R1099" t="s">
        <v>710</v>
      </c>
      <c r="S1099" t="s">
        <v>179</v>
      </c>
      <c r="T1099" t="s">
        <v>76</v>
      </c>
      <c r="U1099" t="s">
        <v>383</v>
      </c>
      <c r="V1099" t="s">
        <v>384</v>
      </c>
      <c r="W1099">
        <v>990</v>
      </c>
      <c r="X1099">
        <v>39.99</v>
      </c>
      <c r="Y1099">
        <v>129</v>
      </c>
      <c r="Z1099">
        <v>709000</v>
      </c>
      <c r="AA1099">
        <v>14850</v>
      </c>
      <c r="AB1099">
        <v>496</v>
      </c>
      <c r="AD1099" t="s">
        <v>238</v>
      </c>
      <c r="AE1099">
        <v>2</v>
      </c>
      <c r="AF1099">
        <v>0</v>
      </c>
      <c r="AI1099">
        <v>0</v>
      </c>
      <c r="AJ1099">
        <v>1</v>
      </c>
      <c r="AK1099">
        <v>1</v>
      </c>
      <c r="AL1099">
        <v>15</v>
      </c>
      <c r="AM1099">
        <v>1</v>
      </c>
      <c r="AN1099">
        <v>0</v>
      </c>
      <c r="AO1099">
        <v>1</v>
      </c>
      <c r="AP1099" t="s">
        <v>80</v>
      </c>
      <c r="AQ1099" t="s">
        <v>1151</v>
      </c>
      <c r="AR1099" t="s">
        <v>261</v>
      </c>
      <c r="AT1099" t="s">
        <v>86</v>
      </c>
      <c r="AU1099" t="s">
        <v>86</v>
      </c>
      <c r="AV1099" t="s">
        <v>81</v>
      </c>
      <c r="AW1099" t="s">
        <v>69</v>
      </c>
      <c r="AX1099" t="s">
        <v>387</v>
      </c>
      <c r="AY1099" t="s">
        <v>711</v>
      </c>
      <c r="AZ1099" t="s">
        <v>244</v>
      </c>
      <c r="BA1099" t="s">
        <v>244</v>
      </c>
      <c r="BB1099" t="s">
        <v>243</v>
      </c>
      <c r="BC1099" t="s">
        <v>245</v>
      </c>
      <c r="BD1099" t="s">
        <v>718</v>
      </c>
      <c r="BE1099" t="s">
        <v>3420</v>
      </c>
      <c r="BF1099" t="s">
        <v>86</v>
      </c>
      <c r="BG1099" t="s">
        <v>110</v>
      </c>
      <c r="BH1099" t="str">
        <f>IF(COUNTIF(工作表1!A:A, $C1099)&gt;0, "預購款", "非預購款")</f>
        <v>非預購款</v>
      </c>
    </row>
    <row r="1100" spans="1:60" x14ac:dyDescent="0.25">
      <c r="A1100" t="s">
        <v>560</v>
      </c>
      <c r="B1100" t="s">
        <v>561</v>
      </c>
      <c r="C1100" t="s">
        <v>562</v>
      </c>
      <c r="D1100" t="s">
        <v>563</v>
      </c>
      <c r="E1100" t="s">
        <v>564</v>
      </c>
      <c r="F1100" t="s">
        <v>183</v>
      </c>
      <c r="G1100" t="s">
        <v>565</v>
      </c>
      <c r="H1100" t="s">
        <v>566</v>
      </c>
      <c r="I1100" t="s">
        <v>120</v>
      </c>
      <c r="J1100" t="s">
        <v>121</v>
      </c>
      <c r="K1100" t="s">
        <v>69</v>
      </c>
      <c r="L1100" t="s">
        <v>567</v>
      </c>
      <c r="M1100" t="s">
        <v>71</v>
      </c>
      <c r="N1100" t="s">
        <v>100</v>
      </c>
      <c r="O1100" t="s">
        <v>524</v>
      </c>
      <c r="P1100" t="s">
        <v>525</v>
      </c>
      <c r="R1100" t="s">
        <v>526</v>
      </c>
      <c r="S1100" t="s">
        <v>2257</v>
      </c>
      <c r="T1100" t="s">
        <v>258</v>
      </c>
      <c r="U1100" t="s">
        <v>527</v>
      </c>
      <c r="V1100" t="s">
        <v>568</v>
      </c>
      <c r="W1100">
        <v>790</v>
      </c>
      <c r="X1100">
        <v>34.99</v>
      </c>
      <c r="Y1100">
        <v>99</v>
      </c>
      <c r="Z1100">
        <v>569000</v>
      </c>
      <c r="AA1100">
        <v>118500</v>
      </c>
      <c r="AB1100">
        <v>130</v>
      </c>
      <c r="AD1100" t="s">
        <v>238</v>
      </c>
      <c r="AE1100">
        <v>2</v>
      </c>
      <c r="AF1100">
        <v>0</v>
      </c>
      <c r="AI1100">
        <v>50</v>
      </c>
      <c r="AJ1100">
        <v>50</v>
      </c>
      <c r="AK1100">
        <v>100</v>
      </c>
      <c r="AL1100">
        <v>150</v>
      </c>
      <c r="AM1100">
        <v>100</v>
      </c>
      <c r="AN1100">
        <v>1</v>
      </c>
      <c r="AO1100">
        <v>101</v>
      </c>
      <c r="AP1100" t="s">
        <v>80</v>
      </c>
      <c r="AQ1100" t="s">
        <v>190</v>
      </c>
      <c r="AT1100" t="s">
        <v>240</v>
      </c>
      <c r="AU1100" t="s">
        <v>240</v>
      </c>
      <c r="AV1100" t="s">
        <v>569</v>
      </c>
      <c r="AW1100" t="s">
        <v>69</v>
      </c>
      <c r="AX1100" t="s">
        <v>570</v>
      </c>
      <c r="AY1100" t="s">
        <v>571</v>
      </c>
      <c r="AZ1100" t="s">
        <v>264</v>
      </c>
      <c r="BA1100" t="s">
        <v>245</v>
      </c>
      <c r="BB1100" t="s">
        <v>245</v>
      </c>
      <c r="BC1100" t="s">
        <v>244</v>
      </c>
      <c r="BD1100" t="s">
        <v>572</v>
      </c>
      <c r="BE1100" t="s">
        <v>3421</v>
      </c>
      <c r="BF1100" t="s">
        <v>240</v>
      </c>
      <c r="BG1100" t="s">
        <v>110</v>
      </c>
      <c r="BH1100" t="str">
        <f>IF(COUNTIF(工作表1!A:A, $C1100)&gt;0, "預購款", "非預購款")</f>
        <v>非預購款</v>
      </c>
    </row>
    <row r="1101" spans="1:60" x14ac:dyDescent="0.25">
      <c r="A1101" t="s">
        <v>560</v>
      </c>
      <c r="B1101" t="s">
        <v>561</v>
      </c>
      <c r="C1101" t="s">
        <v>562</v>
      </c>
      <c r="D1101" t="s">
        <v>563</v>
      </c>
      <c r="E1101" t="s">
        <v>564</v>
      </c>
      <c r="F1101" t="s">
        <v>183</v>
      </c>
      <c r="G1101" t="s">
        <v>565</v>
      </c>
      <c r="H1101" t="s">
        <v>566</v>
      </c>
      <c r="I1101" t="s">
        <v>162</v>
      </c>
      <c r="J1101" t="s">
        <v>163</v>
      </c>
      <c r="K1101" t="s">
        <v>69</v>
      </c>
      <c r="L1101" t="s">
        <v>567</v>
      </c>
      <c r="M1101" t="s">
        <v>71</v>
      </c>
      <c r="N1101" t="s">
        <v>100</v>
      </c>
      <c r="O1101" t="s">
        <v>524</v>
      </c>
      <c r="P1101" t="s">
        <v>525</v>
      </c>
      <c r="R1101" t="s">
        <v>526</v>
      </c>
      <c r="S1101" t="s">
        <v>2257</v>
      </c>
      <c r="T1101" t="s">
        <v>258</v>
      </c>
      <c r="U1101" t="s">
        <v>527</v>
      </c>
      <c r="V1101" t="s">
        <v>568</v>
      </c>
      <c r="W1101">
        <v>790</v>
      </c>
      <c r="X1101">
        <v>34.99</v>
      </c>
      <c r="Y1101">
        <v>99</v>
      </c>
      <c r="Z1101">
        <v>569000</v>
      </c>
      <c r="AA1101">
        <v>118500</v>
      </c>
      <c r="AB1101">
        <v>130</v>
      </c>
      <c r="AD1101" t="s">
        <v>238</v>
      </c>
      <c r="AE1101">
        <v>2</v>
      </c>
      <c r="AF1101">
        <v>0</v>
      </c>
      <c r="AI1101">
        <v>0</v>
      </c>
      <c r="AJ1101">
        <v>50</v>
      </c>
      <c r="AK1101">
        <v>50</v>
      </c>
      <c r="AL1101">
        <v>150</v>
      </c>
      <c r="AM1101">
        <v>49</v>
      </c>
      <c r="AN1101">
        <v>1</v>
      </c>
      <c r="AO1101">
        <v>50</v>
      </c>
      <c r="AP1101" t="s">
        <v>80</v>
      </c>
      <c r="AQ1101" t="s">
        <v>190</v>
      </c>
      <c r="AT1101" t="s">
        <v>240</v>
      </c>
      <c r="AU1101" t="s">
        <v>240</v>
      </c>
      <c r="AV1101" t="s">
        <v>569</v>
      </c>
      <c r="AW1101" t="s">
        <v>69</v>
      </c>
      <c r="AX1101" t="s">
        <v>570</v>
      </c>
      <c r="AY1101" t="s">
        <v>571</v>
      </c>
      <c r="AZ1101" t="s">
        <v>264</v>
      </c>
      <c r="BA1101" t="s">
        <v>245</v>
      </c>
      <c r="BB1101" t="s">
        <v>245</v>
      </c>
      <c r="BC1101" t="s">
        <v>244</v>
      </c>
      <c r="BD1101" t="s">
        <v>574</v>
      </c>
      <c r="BE1101" t="s">
        <v>3421</v>
      </c>
      <c r="BF1101" t="s">
        <v>240</v>
      </c>
      <c r="BG1101" t="s">
        <v>110</v>
      </c>
      <c r="BH1101" t="str">
        <f>IF(COUNTIF(工作表1!A:A, $C1101)&gt;0, "預購款", "非預購款")</f>
        <v>非預購款</v>
      </c>
    </row>
    <row r="1102" spans="1:60" x14ac:dyDescent="0.25">
      <c r="A1102" t="s">
        <v>3422</v>
      </c>
      <c r="B1102" t="s">
        <v>488</v>
      </c>
      <c r="C1102" t="s">
        <v>3423</v>
      </c>
      <c r="D1102" t="s">
        <v>3424</v>
      </c>
      <c r="E1102" t="s">
        <v>3425</v>
      </c>
      <c r="F1102" t="s">
        <v>183</v>
      </c>
      <c r="G1102" t="s">
        <v>3426</v>
      </c>
      <c r="H1102" t="s">
        <v>66</v>
      </c>
      <c r="I1102" t="s">
        <v>171</v>
      </c>
      <c r="J1102" t="s">
        <v>172</v>
      </c>
      <c r="K1102" t="s">
        <v>69</v>
      </c>
      <c r="L1102" t="s">
        <v>3427</v>
      </c>
      <c r="M1102" t="s">
        <v>71</v>
      </c>
      <c r="N1102" t="s">
        <v>198</v>
      </c>
      <c r="O1102" t="s">
        <v>2306</v>
      </c>
      <c r="P1102" t="s">
        <v>2307</v>
      </c>
      <c r="R1102" t="s">
        <v>2518</v>
      </c>
      <c r="S1102" t="s">
        <v>2257</v>
      </c>
      <c r="T1102" t="s">
        <v>76</v>
      </c>
      <c r="U1102" t="s">
        <v>527</v>
      </c>
      <c r="V1102" t="s">
        <v>1311</v>
      </c>
      <c r="W1102">
        <v>1080</v>
      </c>
      <c r="X1102">
        <v>44.99</v>
      </c>
      <c r="Y1102">
        <v>139</v>
      </c>
      <c r="Z1102">
        <v>779000</v>
      </c>
      <c r="AA1102">
        <v>70200</v>
      </c>
      <c r="AB1102">
        <v>398</v>
      </c>
      <c r="AD1102" t="s">
        <v>238</v>
      </c>
      <c r="AE1102">
        <v>1</v>
      </c>
      <c r="AF1102">
        <v>0</v>
      </c>
      <c r="AI1102">
        <v>25</v>
      </c>
      <c r="AJ1102">
        <v>40</v>
      </c>
      <c r="AK1102">
        <v>65</v>
      </c>
      <c r="AL1102">
        <v>65</v>
      </c>
      <c r="AM1102">
        <v>64</v>
      </c>
      <c r="AN1102">
        <v>0</v>
      </c>
      <c r="AO1102">
        <v>64</v>
      </c>
      <c r="AP1102" t="s">
        <v>80</v>
      </c>
      <c r="AQ1102" t="s">
        <v>190</v>
      </c>
      <c r="AR1102" t="s">
        <v>86</v>
      </c>
      <c r="AS1102" t="s">
        <v>86</v>
      </c>
      <c r="AT1102" t="s">
        <v>261</v>
      </c>
      <c r="AU1102" t="s">
        <v>86</v>
      </c>
      <c r="AV1102" t="s">
        <v>2519</v>
      </c>
      <c r="AW1102" t="s">
        <v>69</v>
      </c>
      <c r="AX1102" t="s">
        <v>3428</v>
      </c>
      <c r="AY1102" t="s">
        <v>3429</v>
      </c>
      <c r="BD1102" t="s">
        <v>3430</v>
      </c>
      <c r="BE1102" t="s">
        <v>3431</v>
      </c>
      <c r="BF1102" t="s">
        <v>86</v>
      </c>
      <c r="BG1102" t="s">
        <v>110</v>
      </c>
      <c r="BH1102" t="str">
        <f>IF(COUNTIF(工作表1!A:A, $C1102)&gt;0, "預購款", "非預購款")</f>
        <v>非預購款</v>
      </c>
    </row>
    <row r="1103" spans="1:60" x14ac:dyDescent="0.25">
      <c r="A1103" t="s">
        <v>739</v>
      </c>
      <c r="B1103" t="s">
        <v>488</v>
      </c>
      <c r="C1103" t="s">
        <v>740</v>
      </c>
      <c r="D1103" t="s">
        <v>741</v>
      </c>
      <c r="E1103" t="s">
        <v>742</v>
      </c>
      <c r="F1103" t="s">
        <v>183</v>
      </c>
      <c r="G1103" t="s">
        <v>743</v>
      </c>
      <c r="H1103" t="s">
        <v>119</v>
      </c>
      <c r="I1103" t="s">
        <v>97</v>
      </c>
      <c r="J1103" t="s">
        <v>98</v>
      </c>
      <c r="K1103" t="s">
        <v>69</v>
      </c>
      <c r="L1103" t="s">
        <v>744</v>
      </c>
      <c r="M1103" t="s">
        <v>71</v>
      </c>
      <c r="N1103" t="s">
        <v>100</v>
      </c>
      <c r="O1103" t="s">
        <v>101</v>
      </c>
      <c r="P1103" t="s">
        <v>102</v>
      </c>
      <c r="R1103" t="s">
        <v>734</v>
      </c>
      <c r="S1103" t="s">
        <v>2257</v>
      </c>
      <c r="T1103" t="s">
        <v>76</v>
      </c>
      <c r="U1103" t="s">
        <v>104</v>
      </c>
      <c r="V1103" t="s">
        <v>292</v>
      </c>
      <c r="W1103">
        <v>390</v>
      </c>
      <c r="X1103">
        <v>16.989999999999998</v>
      </c>
      <c r="Y1103">
        <v>49</v>
      </c>
      <c r="Z1103">
        <v>279000</v>
      </c>
      <c r="AA1103">
        <v>191100</v>
      </c>
      <c r="AB1103">
        <v>150</v>
      </c>
      <c r="AD1103" t="s">
        <v>238</v>
      </c>
      <c r="AE1103">
        <v>3</v>
      </c>
      <c r="AF1103">
        <v>0</v>
      </c>
      <c r="AI1103">
        <v>60</v>
      </c>
      <c r="AJ1103">
        <v>100</v>
      </c>
      <c r="AK1103">
        <v>160</v>
      </c>
      <c r="AL1103">
        <v>490</v>
      </c>
      <c r="AM1103">
        <v>170</v>
      </c>
      <c r="AN1103">
        <v>0</v>
      </c>
      <c r="AO1103">
        <v>170</v>
      </c>
      <c r="AP1103" t="s">
        <v>80</v>
      </c>
      <c r="AQ1103" t="s">
        <v>190</v>
      </c>
      <c r="AS1103" t="s">
        <v>240</v>
      </c>
      <c r="AT1103" t="s">
        <v>86</v>
      </c>
      <c r="AU1103" t="s">
        <v>86</v>
      </c>
      <c r="AV1103" t="s">
        <v>745</v>
      </c>
      <c r="AW1103" t="s">
        <v>69</v>
      </c>
      <c r="AX1103" t="s">
        <v>746</v>
      </c>
      <c r="AY1103" t="s">
        <v>747</v>
      </c>
      <c r="AZ1103" t="s">
        <v>243</v>
      </c>
      <c r="BA1103" t="s">
        <v>244</v>
      </c>
      <c r="BB1103" t="s">
        <v>264</v>
      </c>
      <c r="BC1103" t="s">
        <v>244</v>
      </c>
      <c r="BD1103" t="s">
        <v>752</v>
      </c>
      <c r="BE1103" t="s">
        <v>3432</v>
      </c>
      <c r="BF1103" t="s">
        <v>86</v>
      </c>
      <c r="BG1103" t="s">
        <v>150</v>
      </c>
      <c r="BH1103" t="str">
        <f>IF(COUNTIF(工作表1!A:A, $C1103)&gt;0, "預購款", "非預購款")</f>
        <v>非預購款</v>
      </c>
    </row>
    <row r="1104" spans="1:60" x14ac:dyDescent="0.25">
      <c r="A1104" t="s">
        <v>739</v>
      </c>
      <c r="B1104" t="s">
        <v>488</v>
      </c>
      <c r="C1104" t="s">
        <v>740</v>
      </c>
      <c r="D1104" t="s">
        <v>741</v>
      </c>
      <c r="E1104" t="s">
        <v>742</v>
      </c>
      <c r="F1104" t="s">
        <v>183</v>
      </c>
      <c r="G1104" t="s">
        <v>743</v>
      </c>
      <c r="H1104" t="s">
        <v>130</v>
      </c>
      <c r="I1104" t="s">
        <v>97</v>
      </c>
      <c r="J1104" t="s">
        <v>98</v>
      </c>
      <c r="K1104" t="s">
        <v>69</v>
      </c>
      <c r="L1104" t="s">
        <v>744</v>
      </c>
      <c r="M1104" t="s">
        <v>71</v>
      </c>
      <c r="N1104" t="s">
        <v>100</v>
      </c>
      <c r="O1104" t="s">
        <v>101</v>
      </c>
      <c r="P1104" t="s">
        <v>102</v>
      </c>
      <c r="R1104" t="s">
        <v>734</v>
      </c>
      <c r="S1104" t="s">
        <v>2257</v>
      </c>
      <c r="T1104" t="s">
        <v>76</v>
      </c>
      <c r="U1104" t="s">
        <v>104</v>
      </c>
      <c r="V1104" t="s">
        <v>292</v>
      </c>
      <c r="W1104">
        <v>390</v>
      </c>
      <c r="X1104">
        <v>16.989999999999998</v>
      </c>
      <c r="Y1104">
        <v>49</v>
      </c>
      <c r="Z1104">
        <v>279000</v>
      </c>
      <c r="AA1104">
        <v>191100</v>
      </c>
      <c r="AB1104">
        <v>150</v>
      </c>
      <c r="AD1104" t="s">
        <v>238</v>
      </c>
      <c r="AE1104">
        <v>3</v>
      </c>
      <c r="AF1104">
        <v>0</v>
      </c>
      <c r="AI1104">
        <v>0</v>
      </c>
      <c r="AJ1104">
        <v>140</v>
      </c>
      <c r="AK1104">
        <v>140</v>
      </c>
      <c r="AL1104">
        <v>490</v>
      </c>
      <c r="AM1104">
        <v>150</v>
      </c>
      <c r="AN1104">
        <v>0</v>
      </c>
      <c r="AO1104">
        <v>150</v>
      </c>
      <c r="AP1104" t="s">
        <v>80</v>
      </c>
      <c r="AQ1104" t="s">
        <v>190</v>
      </c>
      <c r="AS1104" t="s">
        <v>240</v>
      </c>
      <c r="AT1104" t="s">
        <v>86</v>
      </c>
      <c r="AU1104" t="s">
        <v>86</v>
      </c>
      <c r="AV1104" t="s">
        <v>745</v>
      </c>
      <c r="AW1104" t="s">
        <v>69</v>
      </c>
      <c r="AX1104" t="s">
        <v>746</v>
      </c>
      <c r="AY1104" t="s">
        <v>747</v>
      </c>
      <c r="AZ1104" t="s">
        <v>243</v>
      </c>
      <c r="BA1104" t="s">
        <v>244</v>
      </c>
      <c r="BB1104" t="s">
        <v>264</v>
      </c>
      <c r="BC1104" t="s">
        <v>244</v>
      </c>
      <c r="BD1104" t="s">
        <v>753</v>
      </c>
      <c r="BE1104" t="s">
        <v>3432</v>
      </c>
      <c r="BF1104" t="s">
        <v>86</v>
      </c>
      <c r="BG1104" t="s">
        <v>150</v>
      </c>
      <c r="BH1104" t="str">
        <f>IF(COUNTIF(工作表1!A:A, $C1104)&gt;0, "預購款", "非預購款")</f>
        <v>非預購款</v>
      </c>
    </row>
    <row r="1105" spans="1:60" x14ac:dyDescent="0.25">
      <c r="A1105" t="s">
        <v>739</v>
      </c>
      <c r="B1105" t="s">
        <v>488</v>
      </c>
      <c r="C1105" t="s">
        <v>740</v>
      </c>
      <c r="D1105" t="s">
        <v>741</v>
      </c>
      <c r="E1105" t="s">
        <v>742</v>
      </c>
      <c r="F1105" t="s">
        <v>183</v>
      </c>
      <c r="G1105" t="s">
        <v>743</v>
      </c>
      <c r="H1105" t="s">
        <v>132</v>
      </c>
      <c r="I1105" t="s">
        <v>97</v>
      </c>
      <c r="J1105" t="s">
        <v>98</v>
      </c>
      <c r="K1105" t="s">
        <v>69</v>
      </c>
      <c r="L1105" t="s">
        <v>744</v>
      </c>
      <c r="M1105" t="s">
        <v>71</v>
      </c>
      <c r="N1105" t="s">
        <v>100</v>
      </c>
      <c r="O1105" t="s">
        <v>101</v>
      </c>
      <c r="P1105" t="s">
        <v>102</v>
      </c>
      <c r="R1105" t="s">
        <v>734</v>
      </c>
      <c r="S1105" t="s">
        <v>2257</v>
      </c>
      <c r="T1105" t="s">
        <v>76</v>
      </c>
      <c r="U1105" t="s">
        <v>104</v>
      </c>
      <c r="V1105" t="s">
        <v>292</v>
      </c>
      <c r="W1105">
        <v>390</v>
      </c>
      <c r="X1105">
        <v>16.989999999999998</v>
      </c>
      <c r="Y1105">
        <v>49</v>
      </c>
      <c r="Z1105">
        <v>279000</v>
      </c>
      <c r="AA1105">
        <v>191100</v>
      </c>
      <c r="AB1105">
        <v>150</v>
      </c>
      <c r="AD1105" t="s">
        <v>238</v>
      </c>
      <c r="AE1105">
        <v>3</v>
      </c>
      <c r="AF1105">
        <v>0</v>
      </c>
      <c r="AI1105">
        <v>0</v>
      </c>
      <c r="AJ1105">
        <v>30</v>
      </c>
      <c r="AK1105">
        <v>30</v>
      </c>
      <c r="AL1105">
        <v>490</v>
      </c>
      <c r="AM1105">
        <v>36</v>
      </c>
      <c r="AN1105">
        <v>0</v>
      </c>
      <c r="AO1105">
        <v>36</v>
      </c>
      <c r="AP1105" t="s">
        <v>80</v>
      </c>
      <c r="AQ1105" t="s">
        <v>190</v>
      </c>
      <c r="AS1105" t="s">
        <v>240</v>
      </c>
      <c r="AT1105" t="s">
        <v>86</v>
      </c>
      <c r="AU1105" t="s">
        <v>86</v>
      </c>
      <c r="AV1105" t="s">
        <v>745</v>
      </c>
      <c r="AW1105" t="s">
        <v>69</v>
      </c>
      <c r="AX1105" t="s">
        <v>746</v>
      </c>
      <c r="AY1105" t="s">
        <v>747</v>
      </c>
      <c r="AZ1105" t="s">
        <v>243</v>
      </c>
      <c r="BA1105" t="s">
        <v>244</v>
      </c>
      <c r="BB1105" t="s">
        <v>264</v>
      </c>
      <c r="BC1105" t="s">
        <v>244</v>
      </c>
      <c r="BD1105" t="s">
        <v>754</v>
      </c>
      <c r="BE1105" t="s">
        <v>3432</v>
      </c>
      <c r="BF1105" t="s">
        <v>86</v>
      </c>
      <c r="BG1105" t="s">
        <v>150</v>
      </c>
      <c r="BH1105" t="str">
        <f>IF(COUNTIF(工作表1!A:A, $C1105)&gt;0, "預購款", "非預購款")</f>
        <v>非預購款</v>
      </c>
    </row>
    <row r="1106" spans="1:60" x14ac:dyDescent="0.25">
      <c r="A1106" t="s">
        <v>3433</v>
      </c>
      <c r="B1106" t="s">
        <v>576</v>
      </c>
      <c r="C1106" t="s">
        <v>3434</v>
      </c>
      <c r="D1106" t="s">
        <v>3435</v>
      </c>
      <c r="E1106" t="s">
        <v>3436</v>
      </c>
      <c r="F1106" t="s">
        <v>183</v>
      </c>
      <c r="G1106" t="s">
        <v>3437</v>
      </c>
      <c r="H1106" t="s">
        <v>119</v>
      </c>
      <c r="I1106" t="s">
        <v>120</v>
      </c>
      <c r="J1106" t="s">
        <v>121</v>
      </c>
      <c r="K1106" t="s">
        <v>69</v>
      </c>
      <c r="L1106" t="s">
        <v>3438</v>
      </c>
      <c r="M1106" t="s">
        <v>71</v>
      </c>
      <c r="N1106" t="s">
        <v>198</v>
      </c>
      <c r="O1106" t="s">
        <v>3439</v>
      </c>
      <c r="P1106" t="s">
        <v>3440</v>
      </c>
      <c r="R1106" t="s">
        <v>1095</v>
      </c>
      <c r="S1106" t="s">
        <v>2257</v>
      </c>
      <c r="T1106" t="s">
        <v>76</v>
      </c>
      <c r="U1106" t="s">
        <v>104</v>
      </c>
      <c r="V1106" t="s">
        <v>1827</v>
      </c>
      <c r="W1106">
        <v>890</v>
      </c>
      <c r="X1106">
        <v>39.99</v>
      </c>
      <c r="Y1106">
        <v>115</v>
      </c>
      <c r="Z1106">
        <v>639000</v>
      </c>
      <c r="AA1106">
        <v>520650</v>
      </c>
      <c r="AB1106">
        <v>214</v>
      </c>
      <c r="AD1106" t="s">
        <v>238</v>
      </c>
      <c r="AE1106">
        <v>2</v>
      </c>
      <c r="AF1106">
        <v>0</v>
      </c>
      <c r="AI1106">
        <v>10</v>
      </c>
      <c r="AJ1106">
        <v>280</v>
      </c>
      <c r="AK1106">
        <v>290</v>
      </c>
      <c r="AL1106">
        <v>585</v>
      </c>
      <c r="AM1106">
        <v>300</v>
      </c>
      <c r="AN1106">
        <v>0</v>
      </c>
      <c r="AO1106">
        <v>300</v>
      </c>
      <c r="AP1106" t="s">
        <v>80</v>
      </c>
      <c r="AQ1106" t="s">
        <v>190</v>
      </c>
      <c r="AR1106" t="s">
        <v>86</v>
      </c>
      <c r="AS1106" t="s">
        <v>86</v>
      </c>
      <c r="AT1106" t="s">
        <v>86</v>
      </c>
      <c r="AU1106" t="s">
        <v>86</v>
      </c>
      <c r="AV1106" t="s">
        <v>81</v>
      </c>
      <c r="AW1106" t="s">
        <v>69</v>
      </c>
      <c r="AX1106" t="s">
        <v>126</v>
      </c>
      <c r="AY1106" t="s">
        <v>3441</v>
      </c>
      <c r="AZ1106" t="s">
        <v>264</v>
      </c>
      <c r="BA1106" t="s">
        <v>245</v>
      </c>
      <c r="BB1106" t="s">
        <v>244</v>
      </c>
      <c r="BC1106" t="s">
        <v>244</v>
      </c>
      <c r="BD1106" t="s">
        <v>3442</v>
      </c>
      <c r="BE1106" t="s">
        <v>3443</v>
      </c>
      <c r="BF1106" t="s">
        <v>86</v>
      </c>
      <c r="BG1106" t="s">
        <v>110</v>
      </c>
      <c r="BH1106" t="str">
        <f>IF(COUNTIF(工作表1!A:A, $C1106)&gt;0, "預購款", "非預購款")</f>
        <v>非預購款</v>
      </c>
    </row>
    <row r="1107" spans="1:60" x14ac:dyDescent="0.25">
      <c r="A1107" t="s">
        <v>3433</v>
      </c>
      <c r="B1107" t="s">
        <v>576</v>
      </c>
      <c r="C1107" t="s">
        <v>3434</v>
      </c>
      <c r="D1107" t="s">
        <v>3435</v>
      </c>
      <c r="E1107" t="s">
        <v>3436</v>
      </c>
      <c r="F1107" t="s">
        <v>183</v>
      </c>
      <c r="G1107" t="s">
        <v>3437</v>
      </c>
      <c r="H1107" t="s">
        <v>130</v>
      </c>
      <c r="I1107" t="s">
        <v>120</v>
      </c>
      <c r="J1107" t="s">
        <v>121</v>
      </c>
      <c r="K1107" t="s">
        <v>69</v>
      </c>
      <c r="L1107" t="s">
        <v>3438</v>
      </c>
      <c r="M1107" t="s">
        <v>71</v>
      </c>
      <c r="N1107" t="s">
        <v>198</v>
      </c>
      <c r="O1107" t="s">
        <v>3439</v>
      </c>
      <c r="P1107" t="s">
        <v>3440</v>
      </c>
      <c r="R1107" t="s">
        <v>1095</v>
      </c>
      <c r="S1107" t="s">
        <v>2257</v>
      </c>
      <c r="T1107" t="s">
        <v>76</v>
      </c>
      <c r="U1107" t="s">
        <v>104</v>
      </c>
      <c r="V1107" t="s">
        <v>1827</v>
      </c>
      <c r="W1107">
        <v>890</v>
      </c>
      <c r="X1107">
        <v>39.99</v>
      </c>
      <c r="Y1107">
        <v>115</v>
      </c>
      <c r="Z1107">
        <v>639000</v>
      </c>
      <c r="AA1107">
        <v>520650</v>
      </c>
      <c r="AB1107">
        <v>214</v>
      </c>
      <c r="AD1107" t="s">
        <v>238</v>
      </c>
      <c r="AE1107">
        <v>2</v>
      </c>
      <c r="AF1107">
        <v>0</v>
      </c>
      <c r="AI1107">
        <v>10</v>
      </c>
      <c r="AJ1107">
        <v>160</v>
      </c>
      <c r="AK1107">
        <v>170</v>
      </c>
      <c r="AL1107">
        <v>585</v>
      </c>
      <c r="AM1107">
        <v>180</v>
      </c>
      <c r="AN1107">
        <v>0</v>
      </c>
      <c r="AO1107">
        <v>180</v>
      </c>
      <c r="AP1107" t="s">
        <v>80</v>
      </c>
      <c r="AQ1107" t="s">
        <v>190</v>
      </c>
      <c r="AR1107" t="s">
        <v>86</v>
      </c>
      <c r="AS1107" t="s">
        <v>86</v>
      </c>
      <c r="AT1107" t="s">
        <v>86</v>
      </c>
      <c r="AU1107" t="s">
        <v>86</v>
      </c>
      <c r="AV1107" t="s">
        <v>81</v>
      </c>
      <c r="AW1107" t="s">
        <v>69</v>
      </c>
      <c r="AX1107" t="s">
        <v>126</v>
      </c>
      <c r="AY1107" t="s">
        <v>3441</v>
      </c>
      <c r="AZ1107" t="s">
        <v>264</v>
      </c>
      <c r="BA1107" t="s">
        <v>245</v>
      </c>
      <c r="BB1107" t="s">
        <v>244</v>
      </c>
      <c r="BC1107" t="s">
        <v>244</v>
      </c>
      <c r="BD1107" t="s">
        <v>3444</v>
      </c>
      <c r="BE1107" t="s">
        <v>3443</v>
      </c>
      <c r="BF1107" t="s">
        <v>86</v>
      </c>
      <c r="BG1107" t="s">
        <v>110</v>
      </c>
      <c r="BH1107" t="str">
        <f>IF(COUNTIF(工作表1!A:A, $C1107)&gt;0, "預購款", "非預購款")</f>
        <v>非預購款</v>
      </c>
    </row>
    <row r="1108" spans="1:60" x14ac:dyDescent="0.25">
      <c r="A1108" t="s">
        <v>3433</v>
      </c>
      <c r="B1108" t="s">
        <v>576</v>
      </c>
      <c r="C1108" t="s">
        <v>3434</v>
      </c>
      <c r="D1108" t="s">
        <v>3435</v>
      </c>
      <c r="E1108" t="s">
        <v>3436</v>
      </c>
      <c r="F1108" t="s">
        <v>183</v>
      </c>
      <c r="G1108" t="s">
        <v>3437</v>
      </c>
      <c r="H1108" t="s">
        <v>132</v>
      </c>
      <c r="I1108" t="s">
        <v>120</v>
      </c>
      <c r="J1108" t="s">
        <v>121</v>
      </c>
      <c r="K1108" t="s">
        <v>69</v>
      </c>
      <c r="L1108" t="s">
        <v>3438</v>
      </c>
      <c r="M1108" t="s">
        <v>71</v>
      </c>
      <c r="N1108" t="s">
        <v>198</v>
      </c>
      <c r="O1108" t="s">
        <v>3439</v>
      </c>
      <c r="P1108" t="s">
        <v>3440</v>
      </c>
      <c r="R1108" t="s">
        <v>1095</v>
      </c>
      <c r="S1108" t="s">
        <v>2257</v>
      </c>
      <c r="T1108" t="s">
        <v>76</v>
      </c>
      <c r="U1108" t="s">
        <v>104</v>
      </c>
      <c r="V1108" t="s">
        <v>1827</v>
      </c>
      <c r="W1108">
        <v>890</v>
      </c>
      <c r="X1108">
        <v>39.99</v>
      </c>
      <c r="Y1108">
        <v>115</v>
      </c>
      <c r="Z1108">
        <v>639000</v>
      </c>
      <c r="AA1108">
        <v>520650</v>
      </c>
      <c r="AB1108">
        <v>214</v>
      </c>
      <c r="AD1108" t="s">
        <v>238</v>
      </c>
      <c r="AE1108">
        <v>2</v>
      </c>
      <c r="AF1108">
        <v>0</v>
      </c>
      <c r="AI1108">
        <v>15</v>
      </c>
      <c r="AJ1108">
        <v>80</v>
      </c>
      <c r="AK1108">
        <v>95</v>
      </c>
      <c r="AL1108">
        <v>585</v>
      </c>
      <c r="AM1108">
        <v>108</v>
      </c>
      <c r="AN1108">
        <v>0</v>
      </c>
      <c r="AO1108">
        <v>108</v>
      </c>
      <c r="AP1108" t="s">
        <v>80</v>
      </c>
      <c r="AQ1108" t="s">
        <v>190</v>
      </c>
      <c r="AR1108" t="s">
        <v>86</v>
      </c>
      <c r="AS1108" t="s">
        <v>86</v>
      </c>
      <c r="AT1108" t="s">
        <v>86</v>
      </c>
      <c r="AU1108" t="s">
        <v>86</v>
      </c>
      <c r="AV1108" t="s">
        <v>81</v>
      </c>
      <c r="AW1108" t="s">
        <v>69</v>
      </c>
      <c r="AX1108" t="s">
        <v>126</v>
      </c>
      <c r="AY1108" t="s">
        <v>3441</v>
      </c>
      <c r="AZ1108" t="s">
        <v>264</v>
      </c>
      <c r="BA1108" t="s">
        <v>245</v>
      </c>
      <c r="BB1108" t="s">
        <v>244</v>
      </c>
      <c r="BC1108" t="s">
        <v>244</v>
      </c>
      <c r="BD1108" t="s">
        <v>3445</v>
      </c>
      <c r="BE1108" t="s">
        <v>3443</v>
      </c>
      <c r="BF1108" t="s">
        <v>86</v>
      </c>
      <c r="BG1108" t="s">
        <v>110</v>
      </c>
      <c r="BH1108" t="str">
        <f>IF(COUNTIF(工作表1!A:A, $C1108)&gt;0, "預購款", "非預購款")</f>
        <v>非預購款</v>
      </c>
    </row>
    <row r="1109" spans="1:60" x14ac:dyDescent="0.25">
      <c r="A1109" t="s">
        <v>3449</v>
      </c>
      <c r="B1109" t="s">
        <v>576</v>
      </c>
      <c r="C1109" t="s">
        <v>3450</v>
      </c>
      <c r="D1109" t="s">
        <v>3451</v>
      </c>
      <c r="E1109" t="s">
        <v>3452</v>
      </c>
      <c r="F1109" t="s">
        <v>183</v>
      </c>
      <c r="G1109" t="s">
        <v>3453</v>
      </c>
      <c r="H1109" t="s">
        <v>119</v>
      </c>
      <c r="I1109" t="s">
        <v>97</v>
      </c>
      <c r="J1109" t="s">
        <v>98</v>
      </c>
      <c r="K1109" t="s">
        <v>69</v>
      </c>
      <c r="L1109" t="s">
        <v>3454</v>
      </c>
      <c r="M1109" t="s">
        <v>71</v>
      </c>
      <c r="N1109" t="s">
        <v>198</v>
      </c>
      <c r="O1109" t="s">
        <v>3439</v>
      </c>
      <c r="P1109" t="s">
        <v>3440</v>
      </c>
      <c r="R1109" t="s">
        <v>1095</v>
      </c>
      <c r="S1109" t="s">
        <v>2257</v>
      </c>
      <c r="T1109" t="s">
        <v>291</v>
      </c>
      <c r="U1109" t="s">
        <v>502</v>
      </c>
      <c r="V1109" t="s">
        <v>765</v>
      </c>
      <c r="W1109">
        <v>890</v>
      </c>
      <c r="X1109">
        <v>39.99</v>
      </c>
      <c r="Y1109">
        <v>115</v>
      </c>
      <c r="Z1109">
        <v>639000</v>
      </c>
      <c r="AA1109">
        <v>471700</v>
      </c>
      <c r="AB1109">
        <v>420</v>
      </c>
      <c r="AD1109" t="s">
        <v>238</v>
      </c>
      <c r="AE1109">
        <v>2</v>
      </c>
      <c r="AF1109">
        <v>0</v>
      </c>
      <c r="AI1109">
        <v>40</v>
      </c>
      <c r="AJ1109">
        <v>100</v>
      </c>
      <c r="AK1109">
        <v>140</v>
      </c>
      <c r="AL1109">
        <v>530</v>
      </c>
      <c r="AM1109">
        <v>140</v>
      </c>
      <c r="AN1109">
        <v>0</v>
      </c>
      <c r="AO1109">
        <v>140</v>
      </c>
      <c r="AP1109" t="s">
        <v>69</v>
      </c>
      <c r="AT1109" t="s">
        <v>86</v>
      </c>
      <c r="AU1109" t="s">
        <v>86</v>
      </c>
      <c r="AV1109" t="s">
        <v>3455</v>
      </c>
      <c r="AW1109" t="s">
        <v>69</v>
      </c>
      <c r="AX1109" t="s">
        <v>218</v>
      </c>
      <c r="AY1109" t="s">
        <v>3456</v>
      </c>
      <c r="AZ1109" t="s">
        <v>243</v>
      </c>
      <c r="BA1109" t="s">
        <v>244</v>
      </c>
      <c r="BB1109" t="s">
        <v>264</v>
      </c>
      <c r="BC1109" t="s">
        <v>264</v>
      </c>
      <c r="BD1109" t="s">
        <v>3457</v>
      </c>
      <c r="BE1109" t="s">
        <v>3458</v>
      </c>
      <c r="BF1109" t="s">
        <v>291</v>
      </c>
      <c r="BG1109" t="s">
        <v>150</v>
      </c>
      <c r="BH1109" t="str">
        <f>IF(COUNTIF(工作表1!A:A, $C1109)&gt;0, "預購款", "非預購款")</f>
        <v>非預購款</v>
      </c>
    </row>
    <row r="1110" spans="1:60" x14ac:dyDescent="0.25">
      <c r="A1110" t="s">
        <v>3449</v>
      </c>
      <c r="B1110" t="s">
        <v>576</v>
      </c>
      <c r="C1110" t="s">
        <v>3450</v>
      </c>
      <c r="D1110" t="s">
        <v>3451</v>
      </c>
      <c r="E1110" t="s">
        <v>3452</v>
      </c>
      <c r="F1110" t="s">
        <v>183</v>
      </c>
      <c r="G1110" t="s">
        <v>3453</v>
      </c>
      <c r="H1110" t="s">
        <v>130</v>
      </c>
      <c r="I1110" t="s">
        <v>97</v>
      </c>
      <c r="J1110" t="s">
        <v>98</v>
      </c>
      <c r="K1110" t="s">
        <v>69</v>
      </c>
      <c r="L1110" t="s">
        <v>3454</v>
      </c>
      <c r="M1110" t="s">
        <v>71</v>
      </c>
      <c r="N1110" t="s">
        <v>198</v>
      </c>
      <c r="O1110" t="s">
        <v>3439</v>
      </c>
      <c r="P1110" t="s">
        <v>3440</v>
      </c>
      <c r="R1110" t="s">
        <v>1095</v>
      </c>
      <c r="S1110" t="s">
        <v>2257</v>
      </c>
      <c r="T1110" t="s">
        <v>291</v>
      </c>
      <c r="U1110" t="s">
        <v>502</v>
      </c>
      <c r="V1110" t="s">
        <v>765</v>
      </c>
      <c r="W1110">
        <v>890</v>
      </c>
      <c r="X1110">
        <v>39.99</v>
      </c>
      <c r="Y1110">
        <v>115</v>
      </c>
      <c r="Z1110">
        <v>639000</v>
      </c>
      <c r="AA1110">
        <v>471700</v>
      </c>
      <c r="AB1110">
        <v>420</v>
      </c>
      <c r="AD1110" t="s">
        <v>238</v>
      </c>
      <c r="AE1110">
        <v>2</v>
      </c>
      <c r="AF1110">
        <v>0</v>
      </c>
      <c r="AI1110">
        <v>15</v>
      </c>
      <c r="AJ1110">
        <v>100</v>
      </c>
      <c r="AK1110">
        <v>115</v>
      </c>
      <c r="AL1110">
        <v>530</v>
      </c>
      <c r="AM1110">
        <v>124</v>
      </c>
      <c r="AN1110">
        <v>0</v>
      </c>
      <c r="AO1110">
        <v>124</v>
      </c>
      <c r="AP1110" t="s">
        <v>69</v>
      </c>
      <c r="AT1110" t="s">
        <v>86</v>
      </c>
      <c r="AU1110" t="s">
        <v>86</v>
      </c>
      <c r="AV1110" t="s">
        <v>3455</v>
      </c>
      <c r="AW1110" t="s">
        <v>69</v>
      </c>
      <c r="AX1110" t="s">
        <v>218</v>
      </c>
      <c r="AY1110" t="s">
        <v>3456</v>
      </c>
      <c r="AZ1110" t="s">
        <v>243</v>
      </c>
      <c r="BA1110" t="s">
        <v>244</v>
      </c>
      <c r="BB1110" t="s">
        <v>264</v>
      </c>
      <c r="BC1110" t="s">
        <v>264</v>
      </c>
      <c r="BD1110" t="s">
        <v>3459</v>
      </c>
      <c r="BE1110" t="s">
        <v>3458</v>
      </c>
      <c r="BF1110" t="s">
        <v>291</v>
      </c>
      <c r="BG1110" t="s">
        <v>150</v>
      </c>
      <c r="BH1110" t="str">
        <f>IF(COUNTIF(工作表1!A:A, $C1110)&gt;0, "預購款", "非預購款")</f>
        <v>非預購款</v>
      </c>
    </row>
    <row r="1111" spans="1:60" x14ac:dyDescent="0.25">
      <c r="A1111" t="s">
        <v>3449</v>
      </c>
      <c r="B1111" t="s">
        <v>576</v>
      </c>
      <c r="C1111" t="s">
        <v>3450</v>
      </c>
      <c r="D1111" t="s">
        <v>3451</v>
      </c>
      <c r="E1111" t="s">
        <v>3452</v>
      </c>
      <c r="F1111" t="s">
        <v>183</v>
      </c>
      <c r="G1111" t="s">
        <v>3453</v>
      </c>
      <c r="H1111" t="s">
        <v>132</v>
      </c>
      <c r="I1111" t="s">
        <v>97</v>
      </c>
      <c r="J1111" t="s">
        <v>98</v>
      </c>
      <c r="K1111" t="s">
        <v>69</v>
      </c>
      <c r="L1111" t="s">
        <v>3454</v>
      </c>
      <c r="M1111" t="s">
        <v>71</v>
      </c>
      <c r="N1111" t="s">
        <v>198</v>
      </c>
      <c r="O1111" t="s">
        <v>3439</v>
      </c>
      <c r="P1111" t="s">
        <v>3440</v>
      </c>
      <c r="R1111" t="s">
        <v>1095</v>
      </c>
      <c r="S1111" t="s">
        <v>2257</v>
      </c>
      <c r="T1111" t="s">
        <v>291</v>
      </c>
      <c r="U1111" t="s">
        <v>502</v>
      </c>
      <c r="V1111" t="s">
        <v>765</v>
      </c>
      <c r="W1111">
        <v>890</v>
      </c>
      <c r="X1111">
        <v>39.99</v>
      </c>
      <c r="Y1111">
        <v>115</v>
      </c>
      <c r="Z1111">
        <v>639000</v>
      </c>
      <c r="AA1111">
        <v>471700</v>
      </c>
      <c r="AB1111">
        <v>420</v>
      </c>
      <c r="AD1111" t="s">
        <v>238</v>
      </c>
      <c r="AE1111">
        <v>2</v>
      </c>
      <c r="AF1111">
        <v>0</v>
      </c>
      <c r="AI1111">
        <v>15</v>
      </c>
      <c r="AJ1111">
        <v>40</v>
      </c>
      <c r="AK1111">
        <v>55</v>
      </c>
      <c r="AL1111">
        <v>530</v>
      </c>
      <c r="AM1111">
        <v>59</v>
      </c>
      <c r="AN1111">
        <v>0</v>
      </c>
      <c r="AO1111">
        <v>59</v>
      </c>
      <c r="AP1111" t="s">
        <v>69</v>
      </c>
      <c r="AT1111" t="s">
        <v>86</v>
      </c>
      <c r="AU1111" t="s">
        <v>86</v>
      </c>
      <c r="AV1111" t="s">
        <v>3455</v>
      </c>
      <c r="AW1111" t="s">
        <v>69</v>
      </c>
      <c r="AX1111" t="s">
        <v>218</v>
      </c>
      <c r="AY1111" t="s">
        <v>3456</v>
      </c>
      <c r="AZ1111" t="s">
        <v>243</v>
      </c>
      <c r="BA1111" t="s">
        <v>244</v>
      </c>
      <c r="BB1111" t="s">
        <v>264</v>
      </c>
      <c r="BC1111" t="s">
        <v>264</v>
      </c>
      <c r="BD1111" t="s">
        <v>3460</v>
      </c>
      <c r="BE1111" t="s">
        <v>3458</v>
      </c>
      <c r="BF1111" t="s">
        <v>291</v>
      </c>
      <c r="BG1111" t="s">
        <v>150</v>
      </c>
      <c r="BH1111" t="str">
        <f>IF(COUNTIF(工作表1!A:A, $C1111)&gt;0, "預購款", "非預購款")</f>
        <v>非預購款</v>
      </c>
    </row>
    <row r="1112" spans="1:60" x14ac:dyDescent="0.25">
      <c r="A1112" t="s">
        <v>3449</v>
      </c>
      <c r="B1112" t="s">
        <v>576</v>
      </c>
      <c r="C1112" t="s">
        <v>3450</v>
      </c>
      <c r="D1112" t="s">
        <v>3451</v>
      </c>
      <c r="E1112" t="s">
        <v>3452</v>
      </c>
      <c r="F1112" t="s">
        <v>183</v>
      </c>
      <c r="G1112" t="s">
        <v>3453</v>
      </c>
      <c r="H1112" t="s">
        <v>119</v>
      </c>
      <c r="I1112" t="s">
        <v>214</v>
      </c>
      <c r="J1112" t="s">
        <v>215</v>
      </c>
      <c r="K1112" t="s">
        <v>69</v>
      </c>
      <c r="L1112" t="s">
        <v>3454</v>
      </c>
      <c r="M1112" t="s">
        <v>71</v>
      </c>
      <c r="N1112" t="s">
        <v>198</v>
      </c>
      <c r="O1112" t="s">
        <v>3439</v>
      </c>
      <c r="P1112" t="s">
        <v>3440</v>
      </c>
      <c r="R1112" t="s">
        <v>1095</v>
      </c>
      <c r="S1112" t="s">
        <v>2257</v>
      </c>
      <c r="T1112" t="s">
        <v>291</v>
      </c>
      <c r="U1112" t="s">
        <v>502</v>
      </c>
      <c r="V1112" t="s">
        <v>765</v>
      </c>
      <c r="W1112">
        <v>890</v>
      </c>
      <c r="X1112">
        <v>39.99</v>
      </c>
      <c r="Y1112">
        <v>115</v>
      </c>
      <c r="Z1112">
        <v>639000</v>
      </c>
      <c r="AA1112">
        <v>471700</v>
      </c>
      <c r="AB1112">
        <v>420</v>
      </c>
      <c r="AD1112" t="s">
        <v>238</v>
      </c>
      <c r="AE1112">
        <v>2</v>
      </c>
      <c r="AF1112">
        <v>0</v>
      </c>
      <c r="AI1112">
        <v>30</v>
      </c>
      <c r="AJ1112">
        <v>50</v>
      </c>
      <c r="AK1112">
        <v>80</v>
      </c>
      <c r="AL1112">
        <v>530</v>
      </c>
      <c r="AM1112">
        <v>84</v>
      </c>
      <c r="AN1112">
        <v>0</v>
      </c>
      <c r="AO1112">
        <v>84</v>
      </c>
      <c r="AP1112" t="s">
        <v>69</v>
      </c>
      <c r="AT1112" t="s">
        <v>86</v>
      </c>
      <c r="AU1112" t="s">
        <v>86</v>
      </c>
      <c r="AV1112" t="s">
        <v>3455</v>
      </c>
      <c r="AW1112" t="s">
        <v>69</v>
      </c>
      <c r="AX1112" t="s">
        <v>218</v>
      </c>
      <c r="AY1112" t="s">
        <v>3456</v>
      </c>
      <c r="AZ1112" t="s">
        <v>243</v>
      </c>
      <c r="BA1112" t="s">
        <v>244</v>
      </c>
      <c r="BB1112" t="s">
        <v>264</v>
      </c>
      <c r="BC1112" t="s">
        <v>264</v>
      </c>
      <c r="BD1112" t="s">
        <v>3461</v>
      </c>
      <c r="BE1112" t="s">
        <v>3458</v>
      </c>
      <c r="BF1112" t="s">
        <v>291</v>
      </c>
      <c r="BG1112" t="s">
        <v>150</v>
      </c>
      <c r="BH1112" t="str">
        <f>IF(COUNTIF(工作表1!A:A, $C1112)&gt;0, "預購款", "非預購款")</f>
        <v>非預購款</v>
      </c>
    </row>
    <row r="1113" spans="1:60" x14ac:dyDescent="0.25">
      <c r="A1113" t="s">
        <v>3449</v>
      </c>
      <c r="B1113" t="s">
        <v>576</v>
      </c>
      <c r="C1113" t="s">
        <v>3450</v>
      </c>
      <c r="D1113" t="s">
        <v>3451</v>
      </c>
      <c r="E1113" t="s">
        <v>3452</v>
      </c>
      <c r="F1113" t="s">
        <v>183</v>
      </c>
      <c r="G1113" t="s">
        <v>3453</v>
      </c>
      <c r="H1113" t="s">
        <v>130</v>
      </c>
      <c r="I1113" t="s">
        <v>214</v>
      </c>
      <c r="J1113" t="s">
        <v>215</v>
      </c>
      <c r="K1113" t="s">
        <v>69</v>
      </c>
      <c r="L1113" t="s">
        <v>3454</v>
      </c>
      <c r="M1113" t="s">
        <v>71</v>
      </c>
      <c r="N1113" t="s">
        <v>198</v>
      </c>
      <c r="O1113" t="s">
        <v>3439</v>
      </c>
      <c r="P1113" t="s">
        <v>3440</v>
      </c>
      <c r="R1113" t="s">
        <v>1095</v>
      </c>
      <c r="S1113" t="s">
        <v>2257</v>
      </c>
      <c r="T1113" t="s">
        <v>291</v>
      </c>
      <c r="U1113" t="s">
        <v>502</v>
      </c>
      <c r="V1113" t="s">
        <v>765</v>
      </c>
      <c r="W1113">
        <v>890</v>
      </c>
      <c r="X1113">
        <v>39.99</v>
      </c>
      <c r="Y1113">
        <v>115</v>
      </c>
      <c r="Z1113">
        <v>639000</v>
      </c>
      <c r="AA1113">
        <v>471700</v>
      </c>
      <c r="AB1113">
        <v>420</v>
      </c>
      <c r="AD1113" t="s">
        <v>238</v>
      </c>
      <c r="AE1113">
        <v>2</v>
      </c>
      <c r="AF1113">
        <v>0</v>
      </c>
      <c r="AI1113">
        <v>15</v>
      </c>
      <c r="AJ1113">
        <v>80</v>
      </c>
      <c r="AK1113">
        <v>95</v>
      </c>
      <c r="AL1113">
        <v>530</v>
      </c>
      <c r="AM1113">
        <v>95</v>
      </c>
      <c r="AN1113">
        <v>0</v>
      </c>
      <c r="AO1113">
        <v>95</v>
      </c>
      <c r="AP1113" t="s">
        <v>69</v>
      </c>
      <c r="AT1113" t="s">
        <v>86</v>
      </c>
      <c r="AU1113" t="s">
        <v>86</v>
      </c>
      <c r="AV1113" t="s">
        <v>3455</v>
      </c>
      <c r="AW1113" t="s">
        <v>69</v>
      </c>
      <c r="AX1113" t="s">
        <v>218</v>
      </c>
      <c r="AY1113" t="s">
        <v>3456</v>
      </c>
      <c r="AZ1113" t="s">
        <v>243</v>
      </c>
      <c r="BA1113" t="s">
        <v>244</v>
      </c>
      <c r="BB1113" t="s">
        <v>264</v>
      </c>
      <c r="BC1113" t="s">
        <v>264</v>
      </c>
      <c r="BD1113" t="s">
        <v>3462</v>
      </c>
      <c r="BE1113" t="s">
        <v>3458</v>
      </c>
      <c r="BF1113" t="s">
        <v>291</v>
      </c>
      <c r="BG1113" t="s">
        <v>150</v>
      </c>
      <c r="BH1113" t="str">
        <f>IF(COUNTIF(工作表1!A:A, $C1113)&gt;0, "預購款", "非預購款")</f>
        <v>非預購款</v>
      </c>
    </row>
    <row r="1114" spans="1:60" x14ac:dyDescent="0.25">
      <c r="A1114" t="s">
        <v>3449</v>
      </c>
      <c r="B1114" t="s">
        <v>576</v>
      </c>
      <c r="C1114" t="s">
        <v>3450</v>
      </c>
      <c r="D1114" t="s">
        <v>3451</v>
      </c>
      <c r="E1114" t="s">
        <v>3452</v>
      </c>
      <c r="F1114" t="s">
        <v>183</v>
      </c>
      <c r="G1114" t="s">
        <v>3453</v>
      </c>
      <c r="H1114" t="s">
        <v>132</v>
      </c>
      <c r="I1114" t="s">
        <v>214</v>
      </c>
      <c r="J1114" t="s">
        <v>215</v>
      </c>
      <c r="K1114" t="s">
        <v>69</v>
      </c>
      <c r="L1114" t="s">
        <v>3454</v>
      </c>
      <c r="M1114" t="s">
        <v>71</v>
      </c>
      <c r="N1114" t="s">
        <v>198</v>
      </c>
      <c r="O1114" t="s">
        <v>3439</v>
      </c>
      <c r="P1114" t="s">
        <v>3440</v>
      </c>
      <c r="R1114" t="s">
        <v>1095</v>
      </c>
      <c r="S1114" t="s">
        <v>2257</v>
      </c>
      <c r="T1114" t="s">
        <v>291</v>
      </c>
      <c r="U1114" t="s">
        <v>502</v>
      </c>
      <c r="V1114" t="s">
        <v>765</v>
      </c>
      <c r="W1114">
        <v>890</v>
      </c>
      <c r="X1114">
        <v>39.99</v>
      </c>
      <c r="Y1114">
        <v>115</v>
      </c>
      <c r="Z1114">
        <v>639000</v>
      </c>
      <c r="AA1114">
        <v>471700</v>
      </c>
      <c r="AB1114">
        <v>420</v>
      </c>
      <c r="AD1114" t="s">
        <v>238</v>
      </c>
      <c r="AE1114">
        <v>2</v>
      </c>
      <c r="AF1114">
        <v>0</v>
      </c>
      <c r="AI1114">
        <v>15</v>
      </c>
      <c r="AJ1114">
        <v>30</v>
      </c>
      <c r="AK1114">
        <v>45</v>
      </c>
      <c r="AL1114">
        <v>530</v>
      </c>
      <c r="AM1114">
        <v>44</v>
      </c>
      <c r="AN1114">
        <v>0</v>
      </c>
      <c r="AO1114">
        <v>44</v>
      </c>
      <c r="AP1114" t="s">
        <v>69</v>
      </c>
      <c r="AT1114" t="s">
        <v>86</v>
      </c>
      <c r="AU1114" t="s">
        <v>86</v>
      </c>
      <c r="AV1114" t="s">
        <v>3455</v>
      </c>
      <c r="AW1114" t="s">
        <v>69</v>
      </c>
      <c r="AX1114" t="s">
        <v>218</v>
      </c>
      <c r="AY1114" t="s">
        <v>3456</v>
      </c>
      <c r="AZ1114" t="s">
        <v>243</v>
      </c>
      <c r="BA1114" t="s">
        <v>244</v>
      </c>
      <c r="BB1114" t="s">
        <v>264</v>
      </c>
      <c r="BC1114" t="s">
        <v>264</v>
      </c>
      <c r="BD1114" t="s">
        <v>3463</v>
      </c>
      <c r="BE1114" t="s">
        <v>3458</v>
      </c>
      <c r="BF1114" t="s">
        <v>291</v>
      </c>
      <c r="BG1114" t="s">
        <v>150</v>
      </c>
      <c r="BH1114" t="str">
        <f>IF(COUNTIF(工作表1!A:A, $C1114)&gt;0, "預購款", "非預購款")</f>
        <v>非預購款</v>
      </c>
    </row>
    <row r="1115" spans="1:60" x14ac:dyDescent="0.25">
      <c r="A1115" t="s">
        <v>3464</v>
      </c>
      <c r="B1115" t="s">
        <v>576</v>
      </c>
      <c r="C1115" t="s">
        <v>3465</v>
      </c>
      <c r="D1115" t="s">
        <v>3466</v>
      </c>
      <c r="E1115" t="s">
        <v>3467</v>
      </c>
      <c r="F1115" t="s">
        <v>183</v>
      </c>
      <c r="G1115" t="s">
        <v>3468</v>
      </c>
      <c r="H1115" t="s">
        <v>632</v>
      </c>
      <c r="I1115" t="s">
        <v>97</v>
      </c>
      <c r="J1115" t="s">
        <v>98</v>
      </c>
      <c r="K1115" t="s">
        <v>69</v>
      </c>
      <c r="L1115" t="s">
        <v>3354</v>
      </c>
      <c r="M1115" t="s">
        <v>71</v>
      </c>
      <c r="N1115" t="s">
        <v>198</v>
      </c>
      <c r="O1115" t="s">
        <v>3146</v>
      </c>
      <c r="P1115" t="s">
        <v>3147</v>
      </c>
      <c r="R1115" t="s">
        <v>3148</v>
      </c>
      <c r="S1115" t="s">
        <v>2257</v>
      </c>
      <c r="T1115" t="s">
        <v>274</v>
      </c>
      <c r="U1115" t="s">
        <v>104</v>
      </c>
      <c r="V1115" t="s">
        <v>1394</v>
      </c>
      <c r="W1115">
        <v>890</v>
      </c>
      <c r="X1115">
        <v>39.99</v>
      </c>
      <c r="Y1115">
        <v>115</v>
      </c>
      <c r="Z1115">
        <v>639000</v>
      </c>
      <c r="AA1115">
        <v>106800</v>
      </c>
      <c r="AB1115">
        <v>292</v>
      </c>
      <c r="AD1115" t="s">
        <v>238</v>
      </c>
      <c r="AE1115">
        <v>1</v>
      </c>
      <c r="AF1115">
        <v>0</v>
      </c>
      <c r="AI1115">
        <v>0</v>
      </c>
      <c r="AJ1115">
        <v>120</v>
      </c>
      <c r="AK1115">
        <v>120</v>
      </c>
      <c r="AL1115">
        <v>120</v>
      </c>
      <c r="AM1115">
        <v>123</v>
      </c>
      <c r="AN1115">
        <v>0</v>
      </c>
      <c r="AO1115">
        <v>123</v>
      </c>
      <c r="AP1115" t="s">
        <v>80</v>
      </c>
      <c r="AQ1115" t="s">
        <v>2257</v>
      </c>
      <c r="AS1115" t="s">
        <v>86</v>
      </c>
      <c r="AT1115" t="s">
        <v>240</v>
      </c>
      <c r="AU1115" t="s">
        <v>86</v>
      </c>
      <c r="AV1115" t="s">
        <v>3469</v>
      </c>
      <c r="AW1115" t="s">
        <v>69</v>
      </c>
      <c r="AX1115" t="s">
        <v>126</v>
      </c>
      <c r="AY1115" t="s">
        <v>3470</v>
      </c>
      <c r="AZ1115" t="s">
        <v>264</v>
      </c>
      <c r="BA1115" t="s">
        <v>243</v>
      </c>
      <c r="BB1115" t="s">
        <v>264</v>
      </c>
      <c r="BC1115" t="s">
        <v>264</v>
      </c>
      <c r="BD1115" t="s">
        <v>3471</v>
      </c>
      <c r="BE1115" t="s">
        <v>3472</v>
      </c>
      <c r="BF1115" t="s">
        <v>279</v>
      </c>
      <c r="BG1115" t="s">
        <v>110</v>
      </c>
      <c r="BH1115" t="str">
        <f>IF(COUNTIF(工作表1!A:A, $C1115)&gt;0, "預購款", "非預購款")</f>
        <v>非預購款</v>
      </c>
    </row>
    <row r="1116" spans="1:60" x14ac:dyDescent="0.25">
      <c r="A1116" t="s">
        <v>3234</v>
      </c>
      <c r="B1116" t="s">
        <v>776</v>
      </c>
      <c r="C1116" t="s">
        <v>3235</v>
      </c>
      <c r="D1116" t="s">
        <v>3236</v>
      </c>
      <c r="E1116" t="s">
        <v>3237</v>
      </c>
      <c r="F1116" t="s">
        <v>183</v>
      </c>
      <c r="G1116" t="s">
        <v>3238</v>
      </c>
      <c r="H1116" t="s">
        <v>379</v>
      </c>
      <c r="I1116" t="s">
        <v>120</v>
      </c>
      <c r="J1116" t="s">
        <v>121</v>
      </c>
      <c r="K1116" t="s">
        <v>80</v>
      </c>
      <c r="L1116" t="s">
        <v>3239</v>
      </c>
      <c r="M1116" t="s">
        <v>71</v>
      </c>
      <c r="N1116" t="s">
        <v>198</v>
      </c>
      <c r="O1116" t="s">
        <v>3146</v>
      </c>
      <c r="P1116" t="s">
        <v>3147</v>
      </c>
      <c r="R1116" t="s">
        <v>3148</v>
      </c>
      <c r="S1116" t="s">
        <v>2257</v>
      </c>
      <c r="T1116" t="s">
        <v>291</v>
      </c>
      <c r="U1116" t="s">
        <v>146</v>
      </c>
      <c r="V1116" t="s">
        <v>144</v>
      </c>
      <c r="W1116">
        <v>790</v>
      </c>
      <c r="X1116">
        <v>34.99</v>
      </c>
      <c r="Y1116">
        <v>99</v>
      </c>
      <c r="Z1116">
        <v>569000</v>
      </c>
      <c r="AA1116">
        <v>142200</v>
      </c>
      <c r="AB1116">
        <v>380</v>
      </c>
      <c r="AD1116" t="s">
        <v>238</v>
      </c>
      <c r="AE1116">
        <v>1</v>
      </c>
      <c r="AF1116">
        <v>0</v>
      </c>
      <c r="AI1116">
        <v>10</v>
      </c>
      <c r="AJ1116">
        <v>10</v>
      </c>
      <c r="AK1116">
        <v>20</v>
      </c>
      <c r="AL1116">
        <v>180</v>
      </c>
      <c r="AM1116">
        <v>28</v>
      </c>
      <c r="AN1116">
        <v>0</v>
      </c>
      <c r="AO1116">
        <v>28</v>
      </c>
      <c r="AP1116" t="s">
        <v>80</v>
      </c>
      <c r="AQ1116" t="s">
        <v>2257</v>
      </c>
      <c r="AT1116" t="s">
        <v>86</v>
      </c>
      <c r="AU1116" t="s">
        <v>86</v>
      </c>
      <c r="AV1116" t="s">
        <v>3240</v>
      </c>
      <c r="AW1116" t="s">
        <v>80</v>
      </c>
      <c r="AX1116" t="s">
        <v>126</v>
      </c>
      <c r="AY1116" t="s">
        <v>3241</v>
      </c>
      <c r="AZ1116" t="s">
        <v>245</v>
      </c>
      <c r="BA1116" t="s">
        <v>244</v>
      </c>
      <c r="BB1116" t="s">
        <v>245</v>
      </c>
      <c r="BC1116" t="s">
        <v>244</v>
      </c>
      <c r="BD1116" t="s">
        <v>3474</v>
      </c>
      <c r="BE1116" t="s">
        <v>3475</v>
      </c>
      <c r="BF1116" t="s">
        <v>291</v>
      </c>
      <c r="BG1116" t="s">
        <v>150</v>
      </c>
      <c r="BH1116" t="str">
        <f>IF(COUNTIF(工作表1!A:A, $C1116)&gt;0, "預購款", "非預購款")</f>
        <v>非預購款</v>
      </c>
    </row>
    <row r="1117" spans="1:60" x14ac:dyDescent="0.25">
      <c r="A1117" t="s">
        <v>3234</v>
      </c>
      <c r="B1117" t="s">
        <v>776</v>
      </c>
      <c r="C1117" t="s">
        <v>3235</v>
      </c>
      <c r="D1117" t="s">
        <v>3236</v>
      </c>
      <c r="E1117" t="s">
        <v>3237</v>
      </c>
      <c r="F1117" t="s">
        <v>183</v>
      </c>
      <c r="G1117" t="s">
        <v>3238</v>
      </c>
      <c r="H1117" t="s">
        <v>119</v>
      </c>
      <c r="I1117" t="s">
        <v>120</v>
      </c>
      <c r="J1117" t="s">
        <v>121</v>
      </c>
      <c r="K1117" t="s">
        <v>80</v>
      </c>
      <c r="L1117" t="s">
        <v>3239</v>
      </c>
      <c r="M1117" t="s">
        <v>71</v>
      </c>
      <c r="N1117" t="s">
        <v>198</v>
      </c>
      <c r="O1117" t="s">
        <v>3146</v>
      </c>
      <c r="P1117" t="s">
        <v>3147</v>
      </c>
      <c r="R1117" t="s">
        <v>3148</v>
      </c>
      <c r="S1117" t="s">
        <v>2257</v>
      </c>
      <c r="T1117" t="s">
        <v>291</v>
      </c>
      <c r="U1117" t="s">
        <v>146</v>
      </c>
      <c r="V1117" t="s">
        <v>144</v>
      </c>
      <c r="W1117">
        <v>790</v>
      </c>
      <c r="X1117">
        <v>34.99</v>
      </c>
      <c r="Y1117">
        <v>99</v>
      </c>
      <c r="Z1117">
        <v>569000</v>
      </c>
      <c r="AA1117">
        <v>142200</v>
      </c>
      <c r="AB1117">
        <v>380</v>
      </c>
      <c r="AD1117" t="s">
        <v>238</v>
      </c>
      <c r="AE1117">
        <v>1</v>
      </c>
      <c r="AF1117">
        <v>0</v>
      </c>
      <c r="AI1117">
        <v>25</v>
      </c>
      <c r="AJ1117">
        <v>40</v>
      </c>
      <c r="AK1117">
        <v>65</v>
      </c>
      <c r="AL1117">
        <v>180</v>
      </c>
      <c r="AM1117">
        <v>72</v>
      </c>
      <c r="AN1117">
        <v>0</v>
      </c>
      <c r="AO1117">
        <v>72</v>
      </c>
      <c r="AP1117" t="s">
        <v>80</v>
      </c>
      <c r="AQ1117" t="s">
        <v>2257</v>
      </c>
      <c r="AT1117" t="s">
        <v>86</v>
      </c>
      <c r="AU1117" t="s">
        <v>86</v>
      </c>
      <c r="AV1117" t="s">
        <v>3240</v>
      </c>
      <c r="AW1117" t="s">
        <v>80</v>
      </c>
      <c r="AX1117" t="s">
        <v>126</v>
      </c>
      <c r="AY1117" t="s">
        <v>3241</v>
      </c>
      <c r="AZ1117" t="s">
        <v>245</v>
      </c>
      <c r="BA1117" t="s">
        <v>244</v>
      </c>
      <c r="BB1117" t="s">
        <v>245</v>
      </c>
      <c r="BC1117" t="s">
        <v>244</v>
      </c>
      <c r="BD1117" t="s">
        <v>3476</v>
      </c>
      <c r="BE1117" t="s">
        <v>3475</v>
      </c>
      <c r="BF1117" t="s">
        <v>291</v>
      </c>
      <c r="BG1117" t="s">
        <v>150</v>
      </c>
      <c r="BH1117" t="str">
        <f>IF(COUNTIF(工作表1!A:A, $C1117)&gt;0, "預購款", "非預購款")</f>
        <v>非預購款</v>
      </c>
    </row>
    <row r="1118" spans="1:60" x14ac:dyDescent="0.25">
      <c r="A1118" t="s">
        <v>3234</v>
      </c>
      <c r="B1118" t="s">
        <v>776</v>
      </c>
      <c r="C1118" t="s">
        <v>3235</v>
      </c>
      <c r="D1118" t="s">
        <v>3236</v>
      </c>
      <c r="E1118" t="s">
        <v>3237</v>
      </c>
      <c r="F1118" t="s">
        <v>183</v>
      </c>
      <c r="G1118" t="s">
        <v>3238</v>
      </c>
      <c r="H1118" t="s">
        <v>392</v>
      </c>
      <c r="I1118" t="s">
        <v>120</v>
      </c>
      <c r="J1118" t="s">
        <v>121</v>
      </c>
      <c r="K1118" t="s">
        <v>80</v>
      </c>
      <c r="L1118" t="s">
        <v>3239</v>
      </c>
      <c r="M1118" t="s">
        <v>71</v>
      </c>
      <c r="N1118" t="s">
        <v>198</v>
      </c>
      <c r="O1118" t="s">
        <v>3146</v>
      </c>
      <c r="P1118" t="s">
        <v>3147</v>
      </c>
      <c r="R1118" t="s">
        <v>3148</v>
      </c>
      <c r="S1118" t="s">
        <v>2257</v>
      </c>
      <c r="T1118" t="s">
        <v>291</v>
      </c>
      <c r="U1118" t="s">
        <v>146</v>
      </c>
      <c r="V1118" t="s">
        <v>144</v>
      </c>
      <c r="W1118">
        <v>790</v>
      </c>
      <c r="X1118">
        <v>34.99</v>
      </c>
      <c r="Y1118">
        <v>99</v>
      </c>
      <c r="Z1118">
        <v>569000</v>
      </c>
      <c r="AA1118">
        <v>142200</v>
      </c>
      <c r="AB1118">
        <v>380</v>
      </c>
      <c r="AD1118" t="s">
        <v>238</v>
      </c>
      <c r="AE1118">
        <v>1</v>
      </c>
      <c r="AF1118">
        <v>0</v>
      </c>
      <c r="AI1118">
        <v>20</v>
      </c>
      <c r="AJ1118">
        <v>10</v>
      </c>
      <c r="AK1118">
        <v>30</v>
      </c>
      <c r="AL1118">
        <v>180</v>
      </c>
      <c r="AM1118">
        <v>36</v>
      </c>
      <c r="AN1118">
        <v>0</v>
      </c>
      <c r="AO1118">
        <v>36</v>
      </c>
      <c r="AP1118" t="s">
        <v>80</v>
      </c>
      <c r="AQ1118" t="s">
        <v>2257</v>
      </c>
      <c r="AT1118" t="s">
        <v>86</v>
      </c>
      <c r="AU1118" t="s">
        <v>86</v>
      </c>
      <c r="AV1118" t="s">
        <v>3240</v>
      </c>
      <c r="AW1118" t="s">
        <v>80</v>
      </c>
      <c r="AX1118" t="s">
        <v>126</v>
      </c>
      <c r="AY1118" t="s">
        <v>3241</v>
      </c>
      <c r="AZ1118" t="s">
        <v>245</v>
      </c>
      <c r="BA1118" t="s">
        <v>244</v>
      </c>
      <c r="BB1118" t="s">
        <v>245</v>
      </c>
      <c r="BC1118" t="s">
        <v>244</v>
      </c>
      <c r="BD1118" t="s">
        <v>3477</v>
      </c>
      <c r="BE1118" t="s">
        <v>3475</v>
      </c>
      <c r="BF1118" t="s">
        <v>291</v>
      </c>
      <c r="BG1118" t="s">
        <v>150</v>
      </c>
      <c r="BH1118" t="str">
        <f>IF(COUNTIF(工作表1!A:A, $C1118)&gt;0, "預購款", "非預購款")</f>
        <v>非預購款</v>
      </c>
    </row>
    <row r="1119" spans="1:60" x14ac:dyDescent="0.25">
      <c r="A1119" t="s">
        <v>3234</v>
      </c>
      <c r="B1119" t="s">
        <v>776</v>
      </c>
      <c r="C1119" t="s">
        <v>3235</v>
      </c>
      <c r="D1119" t="s">
        <v>3236</v>
      </c>
      <c r="E1119" t="s">
        <v>3237</v>
      </c>
      <c r="F1119" t="s">
        <v>183</v>
      </c>
      <c r="G1119" t="s">
        <v>3238</v>
      </c>
      <c r="H1119" t="s">
        <v>130</v>
      </c>
      <c r="I1119" t="s">
        <v>120</v>
      </c>
      <c r="J1119" t="s">
        <v>121</v>
      </c>
      <c r="K1119" t="s">
        <v>80</v>
      </c>
      <c r="L1119" t="s">
        <v>3239</v>
      </c>
      <c r="M1119" t="s">
        <v>71</v>
      </c>
      <c r="N1119" t="s">
        <v>198</v>
      </c>
      <c r="O1119" t="s">
        <v>3146</v>
      </c>
      <c r="P1119" t="s">
        <v>3147</v>
      </c>
      <c r="R1119" t="s">
        <v>3148</v>
      </c>
      <c r="S1119" t="s">
        <v>2257</v>
      </c>
      <c r="T1119" t="s">
        <v>291</v>
      </c>
      <c r="U1119" t="s">
        <v>146</v>
      </c>
      <c r="V1119" t="s">
        <v>144</v>
      </c>
      <c r="W1119">
        <v>790</v>
      </c>
      <c r="X1119">
        <v>34.99</v>
      </c>
      <c r="Y1119">
        <v>99</v>
      </c>
      <c r="Z1119">
        <v>569000</v>
      </c>
      <c r="AA1119">
        <v>142200</v>
      </c>
      <c r="AB1119">
        <v>380</v>
      </c>
      <c r="AD1119" t="s">
        <v>238</v>
      </c>
      <c r="AE1119">
        <v>1</v>
      </c>
      <c r="AF1119">
        <v>0</v>
      </c>
      <c r="AI1119">
        <v>20</v>
      </c>
      <c r="AJ1119">
        <v>20</v>
      </c>
      <c r="AK1119">
        <v>40</v>
      </c>
      <c r="AL1119">
        <v>180</v>
      </c>
      <c r="AM1119">
        <v>48</v>
      </c>
      <c r="AN1119">
        <v>0</v>
      </c>
      <c r="AO1119">
        <v>48</v>
      </c>
      <c r="AP1119" t="s">
        <v>80</v>
      </c>
      <c r="AQ1119" t="s">
        <v>2257</v>
      </c>
      <c r="AT1119" t="s">
        <v>86</v>
      </c>
      <c r="AU1119" t="s">
        <v>86</v>
      </c>
      <c r="AV1119" t="s">
        <v>3240</v>
      </c>
      <c r="AW1119" t="s">
        <v>80</v>
      </c>
      <c r="AX1119" t="s">
        <v>126</v>
      </c>
      <c r="AY1119" t="s">
        <v>3241</v>
      </c>
      <c r="AZ1119" t="s">
        <v>245</v>
      </c>
      <c r="BA1119" t="s">
        <v>244</v>
      </c>
      <c r="BB1119" t="s">
        <v>245</v>
      </c>
      <c r="BC1119" t="s">
        <v>244</v>
      </c>
      <c r="BD1119" t="s">
        <v>3478</v>
      </c>
      <c r="BE1119" t="s">
        <v>3475</v>
      </c>
      <c r="BF1119" t="s">
        <v>291</v>
      </c>
      <c r="BG1119" t="s">
        <v>150</v>
      </c>
      <c r="BH1119" t="str">
        <f>IF(COUNTIF(工作表1!A:A, $C1119)&gt;0, "預購款", "非預購款")</f>
        <v>非預購款</v>
      </c>
    </row>
    <row r="1120" spans="1:60" x14ac:dyDescent="0.25">
      <c r="A1120" t="s">
        <v>3234</v>
      </c>
      <c r="B1120" t="s">
        <v>776</v>
      </c>
      <c r="C1120" t="s">
        <v>3235</v>
      </c>
      <c r="D1120" t="s">
        <v>3236</v>
      </c>
      <c r="E1120" t="s">
        <v>3237</v>
      </c>
      <c r="F1120" t="s">
        <v>183</v>
      </c>
      <c r="G1120" t="s">
        <v>3238</v>
      </c>
      <c r="H1120" t="s">
        <v>132</v>
      </c>
      <c r="I1120" t="s">
        <v>120</v>
      </c>
      <c r="J1120" t="s">
        <v>121</v>
      </c>
      <c r="K1120" t="s">
        <v>80</v>
      </c>
      <c r="L1120" t="s">
        <v>3239</v>
      </c>
      <c r="M1120" t="s">
        <v>71</v>
      </c>
      <c r="N1120" t="s">
        <v>198</v>
      </c>
      <c r="O1120" t="s">
        <v>3146</v>
      </c>
      <c r="P1120" t="s">
        <v>3147</v>
      </c>
      <c r="R1120" t="s">
        <v>3148</v>
      </c>
      <c r="S1120" t="s">
        <v>2257</v>
      </c>
      <c r="T1120" t="s">
        <v>291</v>
      </c>
      <c r="U1120" t="s">
        <v>146</v>
      </c>
      <c r="V1120" t="s">
        <v>144</v>
      </c>
      <c r="W1120">
        <v>790</v>
      </c>
      <c r="X1120">
        <v>34.99</v>
      </c>
      <c r="Y1120">
        <v>99</v>
      </c>
      <c r="Z1120">
        <v>569000</v>
      </c>
      <c r="AA1120">
        <v>142200</v>
      </c>
      <c r="AB1120">
        <v>380</v>
      </c>
      <c r="AD1120" t="s">
        <v>238</v>
      </c>
      <c r="AE1120">
        <v>1</v>
      </c>
      <c r="AF1120">
        <v>0</v>
      </c>
      <c r="AI1120">
        <v>10</v>
      </c>
      <c r="AJ1120">
        <v>15</v>
      </c>
      <c r="AK1120">
        <v>25</v>
      </c>
      <c r="AL1120">
        <v>180</v>
      </c>
      <c r="AM1120">
        <v>30</v>
      </c>
      <c r="AN1120">
        <v>0</v>
      </c>
      <c r="AO1120">
        <v>30</v>
      </c>
      <c r="AP1120" t="s">
        <v>80</v>
      </c>
      <c r="AQ1120" t="s">
        <v>2257</v>
      </c>
      <c r="AT1120" t="s">
        <v>86</v>
      </c>
      <c r="AU1120" t="s">
        <v>86</v>
      </c>
      <c r="AV1120" t="s">
        <v>3240</v>
      </c>
      <c r="AW1120" t="s">
        <v>80</v>
      </c>
      <c r="AX1120" t="s">
        <v>126</v>
      </c>
      <c r="AY1120" t="s">
        <v>3241</v>
      </c>
      <c r="AZ1120" t="s">
        <v>245</v>
      </c>
      <c r="BA1120" t="s">
        <v>244</v>
      </c>
      <c r="BB1120" t="s">
        <v>245</v>
      </c>
      <c r="BC1120" t="s">
        <v>244</v>
      </c>
      <c r="BD1120" t="s">
        <v>3479</v>
      </c>
      <c r="BE1120" t="s">
        <v>3475</v>
      </c>
      <c r="BF1120" t="s">
        <v>291</v>
      </c>
      <c r="BG1120" t="s">
        <v>150</v>
      </c>
      <c r="BH1120" t="str">
        <f>IF(COUNTIF(工作表1!A:A, $C1120)&gt;0, "預購款", "非預購款")</f>
        <v>非預購款</v>
      </c>
    </row>
    <row r="1121" spans="1:60" x14ac:dyDescent="0.25">
      <c r="A1121" t="s">
        <v>3480</v>
      </c>
      <c r="B1121" t="s">
        <v>776</v>
      </c>
      <c r="C1121" t="s">
        <v>3481</v>
      </c>
      <c r="D1121" t="s">
        <v>3482</v>
      </c>
      <c r="E1121" t="s">
        <v>3483</v>
      </c>
      <c r="F1121" t="s">
        <v>183</v>
      </c>
      <c r="G1121" t="s">
        <v>3484</v>
      </c>
      <c r="H1121" t="s">
        <v>119</v>
      </c>
      <c r="I1121" t="s">
        <v>120</v>
      </c>
      <c r="J1121" t="s">
        <v>121</v>
      </c>
      <c r="K1121" t="s">
        <v>69</v>
      </c>
      <c r="L1121" t="s">
        <v>3485</v>
      </c>
      <c r="M1121" t="s">
        <v>71</v>
      </c>
      <c r="N1121" t="s">
        <v>198</v>
      </c>
      <c r="O1121" t="s">
        <v>3439</v>
      </c>
      <c r="P1121" t="s">
        <v>3440</v>
      </c>
      <c r="R1121" t="s">
        <v>1095</v>
      </c>
      <c r="S1121" t="s">
        <v>2257</v>
      </c>
      <c r="T1121" t="s">
        <v>76</v>
      </c>
      <c r="U1121" t="s">
        <v>383</v>
      </c>
      <c r="V1121" t="s">
        <v>124</v>
      </c>
      <c r="W1121">
        <v>690</v>
      </c>
      <c r="X1121">
        <v>29.99</v>
      </c>
      <c r="Y1121">
        <v>89</v>
      </c>
      <c r="Z1121">
        <v>499000</v>
      </c>
      <c r="AA1121">
        <v>719670</v>
      </c>
      <c r="AB1121">
        <v>280</v>
      </c>
      <c r="AD1121" t="s">
        <v>238</v>
      </c>
      <c r="AE1121">
        <v>2</v>
      </c>
      <c r="AF1121">
        <v>15</v>
      </c>
      <c r="AI1121">
        <v>10</v>
      </c>
      <c r="AJ1121">
        <v>150</v>
      </c>
      <c r="AK1121">
        <v>175</v>
      </c>
      <c r="AL1121">
        <v>1043</v>
      </c>
      <c r="AM1121">
        <v>165</v>
      </c>
      <c r="AN1121">
        <v>0</v>
      </c>
      <c r="AO1121">
        <v>165</v>
      </c>
      <c r="AP1121" t="s">
        <v>80</v>
      </c>
      <c r="AQ1121" t="s">
        <v>190</v>
      </c>
      <c r="AR1121" t="s">
        <v>86</v>
      </c>
      <c r="AS1121" t="s">
        <v>86</v>
      </c>
      <c r="AT1121" t="s">
        <v>240</v>
      </c>
      <c r="AU1121" t="s">
        <v>86</v>
      </c>
      <c r="AV1121" t="s">
        <v>3486</v>
      </c>
      <c r="AW1121" t="s">
        <v>69</v>
      </c>
      <c r="AX1121" t="s">
        <v>126</v>
      </c>
      <c r="AY1121" t="s">
        <v>858</v>
      </c>
      <c r="AZ1121" t="s">
        <v>264</v>
      </c>
      <c r="BA1121" t="s">
        <v>245</v>
      </c>
      <c r="BB1121" t="s">
        <v>245</v>
      </c>
      <c r="BC1121" t="s">
        <v>243</v>
      </c>
      <c r="BD1121" t="s">
        <v>3487</v>
      </c>
      <c r="BE1121" t="s">
        <v>3488</v>
      </c>
      <c r="BF1121" t="s">
        <v>86</v>
      </c>
      <c r="BG1121" t="s">
        <v>110</v>
      </c>
      <c r="BH1121" t="str">
        <f>IF(COUNTIF(工作表1!A:A, $C1121)&gt;0, "預購款", "非預購款")</f>
        <v>非預購款</v>
      </c>
    </row>
    <row r="1122" spans="1:60" x14ac:dyDescent="0.25">
      <c r="A1122" t="s">
        <v>3480</v>
      </c>
      <c r="B1122" t="s">
        <v>776</v>
      </c>
      <c r="C1122" t="s">
        <v>3481</v>
      </c>
      <c r="D1122" t="s">
        <v>3482</v>
      </c>
      <c r="E1122" t="s">
        <v>3483</v>
      </c>
      <c r="F1122" t="s">
        <v>183</v>
      </c>
      <c r="G1122" t="s">
        <v>3484</v>
      </c>
      <c r="H1122" t="s">
        <v>130</v>
      </c>
      <c r="I1122" t="s">
        <v>120</v>
      </c>
      <c r="J1122" t="s">
        <v>121</v>
      </c>
      <c r="K1122" t="s">
        <v>69</v>
      </c>
      <c r="L1122" t="s">
        <v>3485</v>
      </c>
      <c r="M1122" t="s">
        <v>71</v>
      </c>
      <c r="N1122" t="s">
        <v>198</v>
      </c>
      <c r="O1122" t="s">
        <v>3439</v>
      </c>
      <c r="P1122" t="s">
        <v>3440</v>
      </c>
      <c r="R1122" t="s">
        <v>1095</v>
      </c>
      <c r="S1122" t="s">
        <v>2257</v>
      </c>
      <c r="T1122" t="s">
        <v>76</v>
      </c>
      <c r="U1122" t="s">
        <v>383</v>
      </c>
      <c r="V1122" t="s">
        <v>124</v>
      </c>
      <c r="W1122">
        <v>690</v>
      </c>
      <c r="X1122">
        <v>29.99</v>
      </c>
      <c r="Y1122">
        <v>89</v>
      </c>
      <c r="Z1122">
        <v>499000</v>
      </c>
      <c r="AA1122">
        <v>719670</v>
      </c>
      <c r="AB1122">
        <v>280</v>
      </c>
      <c r="AD1122" t="s">
        <v>238</v>
      </c>
      <c r="AE1122">
        <v>2</v>
      </c>
      <c r="AF1122">
        <v>10</v>
      </c>
      <c r="AI1122">
        <v>10</v>
      </c>
      <c r="AJ1122">
        <v>140</v>
      </c>
      <c r="AK1122">
        <v>160</v>
      </c>
      <c r="AL1122">
        <v>1043</v>
      </c>
      <c r="AM1122">
        <v>150</v>
      </c>
      <c r="AN1122">
        <v>0</v>
      </c>
      <c r="AO1122">
        <v>150</v>
      </c>
      <c r="AP1122" t="s">
        <v>80</v>
      </c>
      <c r="AQ1122" t="s">
        <v>190</v>
      </c>
      <c r="AR1122" t="s">
        <v>86</v>
      </c>
      <c r="AS1122" t="s">
        <v>86</v>
      </c>
      <c r="AT1122" t="s">
        <v>240</v>
      </c>
      <c r="AU1122" t="s">
        <v>86</v>
      </c>
      <c r="AV1122" t="s">
        <v>3486</v>
      </c>
      <c r="AW1122" t="s">
        <v>69</v>
      </c>
      <c r="AX1122" t="s">
        <v>126</v>
      </c>
      <c r="AY1122" t="s">
        <v>858</v>
      </c>
      <c r="AZ1122" t="s">
        <v>264</v>
      </c>
      <c r="BA1122" t="s">
        <v>245</v>
      </c>
      <c r="BB1122" t="s">
        <v>245</v>
      </c>
      <c r="BC1122" t="s">
        <v>243</v>
      </c>
      <c r="BD1122" t="s">
        <v>3489</v>
      </c>
      <c r="BE1122" t="s">
        <v>3488</v>
      </c>
      <c r="BF1122" t="s">
        <v>86</v>
      </c>
      <c r="BG1122" t="s">
        <v>110</v>
      </c>
      <c r="BH1122" t="str">
        <f>IF(COUNTIF(工作表1!A:A, $C1122)&gt;0, "預購款", "非預購款")</f>
        <v>非預購款</v>
      </c>
    </row>
    <row r="1123" spans="1:60" x14ac:dyDescent="0.25">
      <c r="A1123" t="s">
        <v>3480</v>
      </c>
      <c r="B1123" t="s">
        <v>776</v>
      </c>
      <c r="C1123" t="s">
        <v>3481</v>
      </c>
      <c r="D1123" t="s">
        <v>3482</v>
      </c>
      <c r="E1123" t="s">
        <v>3483</v>
      </c>
      <c r="F1123" t="s">
        <v>183</v>
      </c>
      <c r="G1123" t="s">
        <v>3484</v>
      </c>
      <c r="H1123" t="s">
        <v>132</v>
      </c>
      <c r="I1123" t="s">
        <v>120</v>
      </c>
      <c r="J1123" t="s">
        <v>121</v>
      </c>
      <c r="K1123" t="s">
        <v>69</v>
      </c>
      <c r="L1123" t="s">
        <v>3485</v>
      </c>
      <c r="M1123" t="s">
        <v>71</v>
      </c>
      <c r="N1123" t="s">
        <v>198</v>
      </c>
      <c r="O1123" t="s">
        <v>3439</v>
      </c>
      <c r="P1123" t="s">
        <v>3440</v>
      </c>
      <c r="R1123" t="s">
        <v>1095</v>
      </c>
      <c r="S1123" t="s">
        <v>2257</v>
      </c>
      <c r="T1123" t="s">
        <v>76</v>
      </c>
      <c r="U1123" t="s">
        <v>383</v>
      </c>
      <c r="V1123" t="s">
        <v>124</v>
      </c>
      <c r="W1123">
        <v>690</v>
      </c>
      <c r="X1123">
        <v>29.99</v>
      </c>
      <c r="Y1123">
        <v>89</v>
      </c>
      <c r="Z1123">
        <v>499000</v>
      </c>
      <c r="AA1123">
        <v>719670</v>
      </c>
      <c r="AB1123">
        <v>280</v>
      </c>
      <c r="AD1123" t="s">
        <v>238</v>
      </c>
      <c r="AE1123">
        <v>2</v>
      </c>
      <c r="AF1123">
        <v>5</v>
      </c>
      <c r="AI1123">
        <v>10</v>
      </c>
      <c r="AJ1123">
        <v>100</v>
      </c>
      <c r="AK1123">
        <v>115</v>
      </c>
      <c r="AL1123">
        <v>1043</v>
      </c>
      <c r="AM1123">
        <v>110</v>
      </c>
      <c r="AN1123">
        <v>0</v>
      </c>
      <c r="AO1123">
        <v>110</v>
      </c>
      <c r="AP1123" t="s">
        <v>80</v>
      </c>
      <c r="AQ1123" t="s">
        <v>190</v>
      </c>
      <c r="AR1123" t="s">
        <v>86</v>
      </c>
      <c r="AS1123" t="s">
        <v>86</v>
      </c>
      <c r="AT1123" t="s">
        <v>240</v>
      </c>
      <c r="AU1123" t="s">
        <v>86</v>
      </c>
      <c r="AV1123" t="s">
        <v>3486</v>
      </c>
      <c r="AW1123" t="s">
        <v>69</v>
      </c>
      <c r="AX1123" t="s">
        <v>126</v>
      </c>
      <c r="AY1123" t="s">
        <v>858</v>
      </c>
      <c r="AZ1123" t="s">
        <v>264</v>
      </c>
      <c r="BA1123" t="s">
        <v>245</v>
      </c>
      <c r="BB1123" t="s">
        <v>245</v>
      </c>
      <c r="BC1123" t="s">
        <v>243</v>
      </c>
      <c r="BD1123" t="s">
        <v>3490</v>
      </c>
      <c r="BE1123" t="s">
        <v>3488</v>
      </c>
      <c r="BF1123" t="s">
        <v>86</v>
      </c>
      <c r="BG1123" t="s">
        <v>110</v>
      </c>
      <c r="BH1123" t="str">
        <f>IF(COUNTIF(工作表1!A:A, $C1123)&gt;0, "預購款", "非預購款")</f>
        <v>非預購款</v>
      </c>
    </row>
    <row r="1124" spans="1:60" x14ac:dyDescent="0.25">
      <c r="A1124" t="s">
        <v>3480</v>
      </c>
      <c r="B1124" t="s">
        <v>776</v>
      </c>
      <c r="C1124" t="s">
        <v>3481</v>
      </c>
      <c r="D1124" t="s">
        <v>3482</v>
      </c>
      <c r="E1124" t="s">
        <v>3483</v>
      </c>
      <c r="F1124" t="s">
        <v>183</v>
      </c>
      <c r="G1124" t="s">
        <v>3484</v>
      </c>
      <c r="H1124" t="s">
        <v>119</v>
      </c>
      <c r="I1124" t="s">
        <v>97</v>
      </c>
      <c r="J1124" t="s">
        <v>98</v>
      </c>
      <c r="K1124" t="s">
        <v>69</v>
      </c>
      <c r="L1124" t="s">
        <v>3485</v>
      </c>
      <c r="M1124" t="s">
        <v>71</v>
      </c>
      <c r="N1124" t="s">
        <v>198</v>
      </c>
      <c r="O1124" t="s">
        <v>3439</v>
      </c>
      <c r="P1124" t="s">
        <v>3440</v>
      </c>
      <c r="R1124" t="s">
        <v>1095</v>
      </c>
      <c r="S1124" t="s">
        <v>2257</v>
      </c>
      <c r="T1124" t="s">
        <v>76</v>
      </c>
      <c r="U1124" t="s">
        <v>383</v>
      </c>
      <c r="V1124" t="s">
        <v>124</v>
      </c>
      <c r="W1124">
        <v>690</v>
      </c>
      <c r="X1124">
        <v>29.99</v>
      </c>
      <c r="Y1124">
        <v>89</v>
      </c>
      <c r="Z1124">
        <v>499000</v>
      </c>
      <c r="AA1124">
        <v>719670</v>
      </c>
      <c r="AB1124">
        <v>280</v>
      </c>
      <c r="AD1124" t="s">
        <v>238</v>
      </c>
      <c r="AE1124">
        <v>2</v>
      </c>
      <c r="AF1124">
        <v>15</v>
      </c>
      <c r="AI1124">
        <v>15</v>
      </c>
      <c r="AJ1124">
        <v>200</v>
      </c>
      <c r="AK1124">
        <v>230</v>
      </c>
      <c r="AL1124">
        <v>1043</v>
      </c>
      <c r="AM1124">
        <v>240</v>
      </c>
      <c r="AN1124">
        <v>0</v>
      </c>
      <c r="AO1124">
        <v>240</v>
      </c>
      <c r="AP1124" t="s">
        <v>80</v>
      </c>
      <c r="AQ1124" t="s">
        <v>190</v>
      </c>
      <c r="AR1124" t="s">
        <v>86</v>
      </c>
      <c r="AS1124" t="s">
        <v>86</v>
      </c>
      <c r="AT1124" t="s">
        <v>240</v>
      </c>
      <c r="AU1124" t="s">
        <v>86</v>
      </c>
      <c r="AV1124" t="s">
        <v>3486</v>
      </c>
      <c r="AW1124" t="s">
        <v>69</v>
      </c>
      <c r="AX1124" t="s">
        <v>126</v>
      </c>
      <c r="AY1124" t="s">
        <v>858</v>
      </c>
      <c r="AZ1124" t="s">
        <v>264</v>
      </c>
      <c r="BA1124" t="s">
        <v>245</v>
      </c>
      <c r="BB1124" t="s">
        <v>245</v>
      </c>
      <c r="BC1124" t="s">
        <v>243</v>
      </c>
      <c r="BD1124" t="s">
        <v>3491</v>
      </c>
      <c r="BE1124" t="s">
        <v>3488</v>
      </c>
      <c r="BF1124" t="s">
        <v>86</v>
      </c>
      <c r="BG1124" t="s">
        <v>110</v>
      </c>
      <c r="BH1124" t="str">
        <f>IF(COUNTIF(工作表1!A:A, $C1124)&gt;0, "預購款", "非預購款")</f>
        <v>非預購款</v>
      </c>
    </row>
    <row r="1125" spans="1:60" x14ac:dyDescent="0.25">
      <c r="A1125" t="s">
        <v>3480</v>
      </c>
      <c r="B1125" t="s">
        <v>776</v>
      </c>
      <c r="C1125" t="s">
        <v>3481</v>
      </c>
      <c r="D1125" t="s">
        <v>3482</v>
      </c>
      <c r="E1125" t="s">
        <v>3483</v>
      </c>
      <c r="F1125" t="s">
        <v>183</v>
      </c>
      <c r="G1125" t="s">
        <v>3484</v>
      </c>
      <c r="H1125" t="s">
        <v>130</v>
      </c>
      <c r="I1125" t="s">
        <v>97</v>
      </c>
      <c r="J1125" t="s">
        <v>98</v>
      </c>
      <c r="K1125" t="s">
        <v>69</v>
      </c>
      <c r="L1125" t="s">
        <v>3485</v>
      </c>
      <c r="M1125" t="s">
        <v>71</v>
      </c>
      <c r="N1125" t="s">
        <v>198</v>
      </c>
      <c r="O1125" t="s">
        <v>3439</v>
      </c>
      <c r="P1125" t="s">
        <v>3440</v>
      </c>
      <c r="R1125" t="s">
        <v>1095</v>
      </c>
      <c r="S1125" t="s">
        <v>2257</v>
      </c>
      <c r="T1125" t="s">
        <v>76</v>
      </c>
      <c r="U1125" t="s">
        <v>383</v>
      </c>
      <c r="V1125" t="s">
        <v>124</v>
      </c>
      <c r="W1125">
        <v>690</v>
      </c>
      <c r="X1125">
        <v>29.99</v>
      </c>
      <c r="Y1125">
        <v>89</v>
      </c>
      <c r="Z1125">
        <v>499000</v>
      </c>
      <c r="AA1125">
        <v>719670</v>
      </c>
      <c r="AB1125">
        <v>280</v>
      </c>
      <c r="AD1125" t="s">
        <v>238</v>
      </c>
      <c r="AE1125">
        <v>2</v>
      </c>
      <c r="AF1125">
        <v>8</v>
      </c>
      <c r="AI1125">
        <v>15</v>
      </c>
      <c r="AJ1125">
        <v>230</v>
      </c>
      <c r="AK1125">
        <v>253</v>
      </c>
      <c r="AL1125">
        <v>1043</v>
      </c>
      <c r="AM1125">
        <v>269</v>
      </c>
      <c r="AN1125">
        <v>0</v>
      </c>
      <c r="AO1125">
        <v>269</v>
      </c>
      <c r="AP1125" t="s">
        <v>80</v>
      </c>
      <c r="AQ1125" t="s">
        <v>190</v>
      </c>
      <c r="AR1125" t="s">
        <v>86</v>
      </c>
      <c r="AS1125" t="s">
        <v>86</v>
      </c>
      <c r="AT1125" t="s">
        <v>240</v>
      </c>
      <c r="AU1125" t="s">
        <v>86</v>
      </c>
      <c r="AV1125" t="s">
        <v>3486</v>
      </c>
      <c r="AW1125" t="s">
        <v>69</v>
      </c>
      <c r="AX1125" t="s">
        <v>126</v>
      </c>
      <c r="AY1125" t="s">
        <v>858</v>
      </c>
      <c r="AZ1125" t="s">
        <v>264</v>
      </c>
      <c r="BA1125" t="s">
        <v>245</v>
      </c>
      <c r="BB1125" t="s">
        <v>245</v>
      </c>
      <c r="BC1125" t="s">
        <v>243</v>
      </c>
      <c r="BD1125" t="s">
        <v>3492</v>
      </c>
      <c r="BE1125" t="s">
        <v>3488</v>
      </c>
      <c r="BF1125" t="s">
        <v>86</v>
      </c>
      <c r="BG1125" t="s">
        <v>110</v>
      </c>
      <c r="BH1125" t="str">
        <f>IF(COUNTIF(工作表1!A:A, $C1125)&gt;0, "預購款", "非預購款")</f>
        <v>非預購款</v>
      </c>
    </row>
    <row r="1126" spans="1:60" x14ac:dyDescent="0.25">
      <c r="A1126" t="s">
        <v>3480</v>
      </c>
      <c r="B1126" t="s">
        <v>776</v>
      </c>
      <c r="C1126" t="s">
        <v>3481</v>
      </c>
      <c r="D1126" t="s">
        <v>3482</v>
      </c>
      <c r="E1126" t="s">
        <v>3483</v>
      </c>
      <c r="F1126" t="s">
        <v>183</v>
      </c>
      <c r="G1126" t="s">
        <v>3484</v>
      </c>
      <c r="H1126" t="s">
        <v>132</v>
      </c>
      <c r="I1126" t="s">
        <v>97</v>
      </c>
      <c r="J1126" t="s">
        <v>98</v>
      </c>
      <c r="K1126" t="s">
        <v>69</v>
      </c>
      <c r="L1126" t="s">
        <v>3485</v>
      </c>
      <c r="M1126" t="s">
        <v>71</v>
      </c>
      <c r="N1126" t="s">
        <v>198</v>
      </c>
      <c r="O1126" t="s">
        <v>3439</v>
      </c>
      <c r="P1126" t="s">
        <v>3440</v>
      </c>
      <c r="R1126" t="s">
        <v>1095</v>
      </c>
      <c r="S1126" t="s">
        <v>2257</v>
      </c>
      <c r="T1126" t="s">
        <v>76</v>
      </c>
      <c r="U1126" t="s">
        <v>383</v>
      </c>
      <c r="V1126" t="s">
        <v>124</v>
      </c>
      <c r="W1126">
        <v>690</v>
      </c>
      <c r="X1126">
        <v>29.99</v>
      </c>
      <c r="Y1126">
        <v>89</v>
      </c>
      <c r="Z1126">
        <v>499000</v>
      </c>
      <c r="AA1126">
        <v>719670</v>
      </c>
      <c r="AB1126">
        <v>280</v>
      </c>
      <c r="AD1126" t="s">
        <v>238</v>
      </c>
      <c r="AE1126">
        <v>2</v>
      </c>
      <c r="AF1126">
        <v>0</v>
      </c>
      <c r="AI1126">
        <v>20</v>
      </c>
      <c r="AJ1126">
        <v>90</v>
      </c>
      <c r="AK1126">
        <v>110</v>
      </c>
      <c r="AL1126">
        <v>1043</v>
      </c>
      <c r="AM1126">
        <v>120</v>
      </c>
      <c r="AN1126">
        <v>0</v>
      </c>
      <c r="AO1126">
        <v>120</v>
      </c>
      <c r="AP1126" t="s">
        <v>80</v>
      </c>
      <c r="AQ1126" t="s">
        <v>190</v>
      </c>
      <c r="AR1126" t="s">
        <v>86</v>
      </c>
      <c r="AS1126" t="s">
        <v>86</v>
      </c>
      <c r="AT1126" t="s">
        <v>240</v>
      </c>
      <c r="AU1126" t="s">
        <v>86</v>
      </c>
      <c r="AV1126" t="s">
        <v>3486</v>
      </c>
      <c r="AW1126" t="s">
        <v>69</v>
      </c>
      <c r="AX1126" t="s">
        <v>126</v>
      </c>
      <c r="AY1126" t="s">
        <v>858</v>
      </c>
      <c r="AZ1126" t="s">
        <v>264</v>
      </c>
      <c r="BA1126" t="s">
        <v>245</v>
      </c>
      <c r="BB1126" t="s">
        <v>245</v>
      </c>
      <c r="BC1126" t="s">
        <v>243</v>
      </c>
      <c r="BD1126" t="s">
        <v>3493</v>
      </c>
      <c r="BE1126" t="s">
        <v>3488</v>
      </c>
      <c r="BF1126" t="s">
        <v>86</v>
      </c>
      <c r="BG1126" t="s">
        <v>110</v>
      </c>
      <c r="BH1126" t="str">
        <f>IF(COUNTIF(工作表1!A:A, $C1126)&gt;0, "預購款", "非預購款")</f>
        <v>非預購款</v>
      </c>
    </row>
    <row r="1127" spans="1:60" x14ac:dyDescent="0.25">
      <c r="A1127" t="s">
        <v>2069</v>
      </c>
      <c r="B1127" t="s">
        <v>776</v>
      </c>
      <c r="C1127" t="s">
        <v>2070</v>
      </c>
      <c r="D1127" t="s">
        <v>2071</v>
      </c>
      <c r="E1127" t="s">
        <v>2072</v>
      </c>
      <c r="F1127" t="s">
        <v>183</v>
      </c>
      <c r="G1127" t="s">
        <v>2073</v>
      </c>
      <c r="H1127" t="s">
        <v>119</v>
      </c>
      <c r="I1127" t="s">
        <v>97</v>
      </c>
      <c r="J1127" t="s">
        <v>98</v>
      </c>
      <c r="K1127" t="s">
        <v>69</v>
      </c>
      <c r="L1127" t="s">
        <v>2074</v>
      </c>
      <c r="M1127" t="s">
        <v>71</v>
      </c>
      <c r="N1127" t="s">
        <v>100</v>
      </c>
      <c r="O1127" t="s">
        <v>1900</v>
      </c>
      <c r="P1127" t="s">
        <v>1901</v>
      </c>
      <c r="R1127" t="s">
        <v>1902</v>
      </c>
      <c r="S1127" t="s">
        <v>2257</v>
      </c>
      <c r="T1127" t="s">
        <v>291</v>
      </c>
      <c r="U1127" t="s">
        <v>104</v>
      </c>
      <c r="V1127" t="s">
        <v>653</v>
      </c>
      <c r="W1127">
        <v>690</v>
      </c>
      <c r="X1127">
        <v>29.99</v>
      </c>
      <c r="Y1127">
        <v>89</v>
      </c>
      <c r="Z1127">
        <v>499000</v>
      </c>
      <c r="AA1127">
        <v>124200</v>
      </c>
      <c r="AB1127">
        <v>180</v>
      </c>
      <c r="AD1127" t="s">
        <v>238</v>
      </c>
      <c r="AE1127">
        <v>1</v>
      </c>
      <c r="AF1127">
        <v>0</v>
      </c>
      <c r="AI1127">
        <v>15</v>
      </c>
      <c r="AJ1127">
        <v>60</v>
      </c>
      <c r="AK1127">
        <v>75</v>
      </c>
      <c r="AL1127">
        <v>180</v>
      </c>
      <c r="AM1127">
        <v>66</v>
      </c>
      <c r="AN1127">
        <v>0</v>
      </c>
      <c r="AO1127">
        <v>66</v>
      </c>
      <c r="AP1127" t="s">
        <v>80</v>
      </c>
      <c r="AQ1127" t="s">
        <v>190</v>
      </c>
      <c r="AT1127" t="s">
        <v>86</v>
      </c>
      <c r="AU1127" t="s">
        <v>86</v>
      </c>
      <c r="AV1127" t="s">
        <v>2075</v>
      </c>
      <c r="AW1127" t="s">
        <v>69</v>
      </c>
      <c r="AX1127" t="s">
        <v>218</v>
      </c>
      <c r="AY1127" t="s">
        <v>2076</v>
      </c>
      <c r="AZ1127" t="s">
        <v>245</v>
      </c>
      <c r="BA1127" t="s">
        <v>245</v>
      </c>
      <c r="BB1127" t="s">
        <v>244</v>
      </c>
      <c r="BC1127" t="s">
        <v>244</v>
      </c>
      <c r="BD1127" t="s">
        <v>2081</v>
      </c>
      <c r="BE1127" t="s">
        <v>3494</v>
      </c>
      <c r="BF1127" t="s">
        <v>971</v>
      </c>
      <c r="BG1127" t="s">
        <v>150</v>
      </c>
      <c r="BH1127" t="str">
        <f>IF(COUNTIF(工作表1!A:A, $C1127)&gt;0, "預購款", "非預購款")</f>
        <v>非預購款</v>
      </c>
    </row>
    <row r="1128" spans="1:60" x14ac:dyDescent="0.25">
      <c r="A1128" t="s">
        <v>2069</v>
      </c>
      <c r="B1128" t="s">
        <v>776</v>
      </c>
      <c r="C1128" t="s">
        <v>2070</v>
      </c>
      <c r="D1128" t="s">
        <v>2071</v>
      </c>
      <c r="E1128" t="s">
        <v>2072</v>
      </c>
      <c r="F1128" t="s">
        <v>183</v>
      </c>
      <c r="G1128" t="s">
        <v>2073</v>
      </c>
      <c r="H1128" t="s">
        <v>130</v>
      </c>
      <c r="I1128" t="s">
        <v>97</v>
      </c>
      <c r="J1128" t="s">
        <v>98</v>
      </c>
      <c r="K1128" t="s">
        <v>69</v>
      </c>
      <c r="L1128" t="s">
        <v>2074</v>
      </c>
      <c r="M1128" t="s">
        <v>71</v>
      </c>
      <c r="N1128" t="s">
        <v>100</v>
      </c>
      <c r="O1128" t="s">
        <v>1900</v>
      </c>
      <c r="P1128" t="s">
        <v>1901</v>
      </c>
      <c r="R1128" t="s">
        <v>1902</v>
      </c>
      <c r="S1128" t="s">
        <v>2257</v>
      </c>
      <c r="T1128" t="s">
        <v>291</v>
      </c>
      <c r="U1128" t="s">
        <v>104</v>
      </c>
      <c r="V1128" t="s">
        <v>653</v>
      </c>
      <c r="W1128">
        <v>690</v>
      </c>
      <c r="X1128">
        <v>29.99</v>
      </c>
      <c r="Y1128">
        <v>89</v>
      </c>
      <c r="Z1128">
        <v>499000</v>
      </c>
      <c r="AA1128">
        <v>124200</v>
      </c>
      <c r="AB1128">
        <v>180</v>
      </c>
      <c r="AD1128" t="s">
        <v>238</v>
      </c>
      <c r="AE1128">
        <v>1</v>
      </c>
      <c r="AF1128">
        <v>0</v>
      </c>
      <c r="AI1128">
        <v>15</v>
      </c>
      <c r="AJ1128">
        <v>60</v>
      </c>
      <c r="AK1128">
        <v>75</v>
      </c>
      <c r="AL1128">
        <v>180</v>
      </c>
      <c r="AM1128">
        <v>66</v>
      </c>
      <c r="AN1128">
        <v>0</v>
      </c>
      <c r="AO1128">
        <v>66</v>
      </c>
      <c r="AP1128" t="s">
        <v>80</v>
      </c>
      <c r="AQ1128" t="s">
        <v>190</v>
      </c>
      <c r="AT1128" t="s">
        <v>86</v>
      </c>
      <c r="AU1128" t="s">
        <v>86</v>
      </c>
      <c r="AV1128" t="s">
        <v>2075</v>
      </c>
      <c r="AW1128" t="s">
        <v>69</v>
      </c>
      <c r="AX1128" t="s">
        <v>218</v>
      </c>
      <c r="AY1128" t="s">
        <v>2076</v>
      </c>
      <c r="AZ1128" t="s">
        <v>245</v>
      </c>
      <c r="BA1128" t="s">
        <v>245</v>
      </c>
      <c r="BB1128" t="s">
        <v>244</v>
      </c>
      <c r="BC1128" t="s">
        <v>244</v>
      </c>
      <c r="BD1128" t="s">
        <v>2082</v>
      </c>
      <c r="BE1128" t="s">
        <v>3494</v>
      </c>
      <c r="BF1128" t="s">
        <v>971</v>
      </c>
      <c r="BG1128" t="s">
        <v>150</v>
      </c>
      <c r="BH1128" t="str">
        <f>IF(COUNTIF(工作表1!A:A, $C1128)&gt;0, "預購款", "非預購款")</f>
        <v>非預購款</v>
      </c>
    </row>
    <row r="1129" spans="1:60" x14ac:dyDescent="0.25">
      <c r="A1129" t="s">
        <v>2069</v>
      </c>
      <c r="B1129" t="s">
        <v>776</v>
      </c>
      <c r="C1129" t="s">
        <v>2070</v>
      </c>
      <c r="D1129" t="s">
        <v>2071</v>
      </c>
      <c r="E1129" t="s">
        <v>2072</v>
      </c>
      <c r="F1129" t="s">
        <v>183</v>
      </c>
      <c r="G1129" t="s">
        <v>2073</v>
      </c>
      <c r="H1129" t="s">
        <v>132</v>
      </c>
      <c r="I1129" t="s">
        <v>97</v>
      </c>
      <c r="J1129" t="s">
        <v>98</v>
      </c>
      <c r="K1129" t="s">
        <v>69</v>
      </c>
      <c r="L1129" t="s">
        <v>2074</v>
      </c>
      <c r="M1129" t="s">
        <v>71</v>
      </c>
      <c r="N1129" t="s">
        <v>100</v>
      </c>
      <c r="O1129" t="s">
        <v>1900</v>
      </c>
      <c r="P1129" t="s">
        <v>1901</v>
      </c>
      <c r="R1129" t="s">
        <v>1902</v>
      </c>
      <c r="S1129" t="s">
        <v>2257</v>
      </c>
      <c r="T1129" t="s">
        <v>291</v>
      </c>
      <c r="U1129" t="s">
        <v>104</v>
      </c>
      <c r="V1129" t="s">
        <v>653</v>
      </c>
      <c r="W1129">
        <v>690</v>
      </c>
      <c r="X1129">
        <v>29.99</v>
      </c>
      <c r="Y1129">
        <v>89</v>
      </c>
      <c r="Z1129">
        <v>499000</v>
      </c>
      <c r="AA1129">
        <v>124200</v>
      </c>
      <c r="AB1129">
        <v>180</v>
      </c>
      <c r="AD1129" t="s">
        <v>238</v>
      </c>
      <c r="AE1129">
        <v>1</v>
      </c>
      <c r="AF1129">
        <v>0</v>
      </c>
      <c r="AI1129">
        <v>10</v>
      </c>
      <c r="AJ1129">
        <v>20</v>
      </c>
      <c r="AK1129">
        <v>30</v>
      </c>
      <c r="AL1129">
        <v>180</v>
      </c>
      <c r="AM1129">
        <v>33</v>
      </c>
      <c r="AN1129">
        <v>0</v>
      </c>
      <c r="AO1129">
        <v>33</v>
      </c>
      <c r="AP1129" t="s">
        <v>80</v>
      </c>
      <c r="AQ1129" t="s">
        <v>190</v>
      </c>
      <c r="AT1129" t="s">
        <v>86</v>
      </c>
      <c r="AU1129" t="s">
        <v>86</v>
      </c>
      <c r="AV1129" t="s">
        <v>2075</v>
      </c>
      <c r="AW1129" t="s">
        <v>69</v>
      </c>
      <c r="AX1129" t="s">
        <v>218</v>
      </c>
      <c r="AY1129" t="s">
        <v>2076</v>
      </c>
      <c r="AZ1129" t="s">
        <v>245</v>
      </c>
      <c r="BA1129" t="s">
        <v>245</v>
      </c>
      <c r="BB1129" t="s">
        <v>244</v>
      </c>
      <c r="BC1129" t="s">
        <v>244</v>
      </c>
      <c r="BD1129" t="s">
        <v>2083</v>
      </c>
      <c r="BE1129" t="s">
        <v>3494</v>
      </c>
      <c r="BF1129" t="s">
        <v>971</v>
      </c>
      <c r="BG1129" t="s">
        <v>150</v>
      </c>
      <c r="BH1129" t="str">
        <f>IF(COUNTIF(工作表1!A:A, $C1129)&gt;0, "預購款", "非預購款")</f>
        <v>非預購款</v>
      </c>
    </row>
    <row r="1130" spans="1:60" x14ac:dyDescent="0.25">
      <c r="A1130" t="s">
        <v>836</v>
      </c>
      <c r="B1130" t="s">
        <v>226</v>
      </c>
      <c r="C1130" t="s">
        <v>837</v>
      </c>
      <c r="D1130" t="s">
        <v>838</v>
      </c>
      <c r="E1130" t="s">
        <v>839</v>
      </c>
      <c r="F1130" t="s">
        <v>183</v>
      </c>
      <c r="G1130" t="s">
        <v>840</v>
      </c>
      <c r="H1130" t="s">
        <v>273</v>
      </c>
      <c r="I1130" t="s">
        <v>111</v>
      </c>
      <c r="J1130" t="s">
        <v>112</v>
      </c>
      <c r="K1130" t="s">
        <v>69</v>
      </c>
      <c r="L1130" t="s">
        <v>841</v>
      </c>
      <c r="M1130" t="s">
        <v>71</v>
      </c>
      <c r="N1130" t="s">
        <v>100</v>
      </c>
      <c r="O1130" t="s">
        <v>101</v>
      </c>
      <c r="P1130" t="s">
        <v>102</v>
      </c>
      <c r="R1130" t="s">
        <v>734</v>
      </c>
      <c r="S1130" t="s">
        <v>2257</v>
      </c>
      <c r="T1130" t="s">
        <v>274</v>
      </c>
      <c r="U1130" t="s">
        <v>383</v>
      </c>
      <c r="V1130" t="s">
        <v>384</v>
      </c>
      <c r="W1130">
        <v>1180</v>
      </c>
      <c r="X1130">
        <v>49.99</v>
      </c>
      <c r="Y1130">
        <v>155</v>
      </c>
      <c r="Z1130">
        <v>859000</v>
      </c>
      <c r="AA1130">
        <v>147500</v>
      </c>
      <c r="AB1130">
        <v>714</v>
      </c>
      <c r="AD1130" t="s">
        <v>238</v>
      </c>
      <c r="AE1130">
        <v>1</v>
      </c>
      <c r="AF1130">
        <v>0</v>
      </c>
      <c r="AI1130">
        <v>15</v>
      </c>
      <c r="AJ1130">
        <v>60</v>
      </c>
      <c r="AK1130">
        <v>75</v>
      </c>
      <c r="AL1130">
        <v>125</v>
      </c>
      <c r="AM1130">
        <v>80</v>
      </c>
      <c r="AN1130">
        <v>0</v>
      </c>
      <c r="AO1130">
        <v>80</v>
      </c>
      <c r="AP1130" t="s">
        <v>80</v>
      </c>
      <c r="AQ1130" t="s">
        <v>2257</v>
      </c>
      <c r="AS1130" t="s">
        <v>86</v>
      </c>
      <c r="AT1130" t="s">
        <v>240</v>
      </c>
      <c r="AU1130" t="s">
        <v>240</v>
      </c>
      <c r="AV1130" t="s">
        <v>842</v>
      </c>
      <c r="AW1130" t="s">
        <v>69</v>
      </c>
      <c r="AX1130" t="s">
        <v>387</v>
      </c>
      <c r="AY1130" t="s">
        <v>843</v>
      </c>
      <c r="AZ1130" t="s">
        <v>264</v>
      </c>
      <c r="BA1130" t="s">
        <v>245</v>
      </c>
      <c r="BB1130" t="s">
        <v>245</v>
      </c>
      <c r="BC1130" t="s">
        <v>245</v>
      </c>
      <c r="BD1130" t="s">
        <v>844</v>
      </c>
      <c r="BE1130" t="s">
        <v>3495</v>
      </c>
      <c r="BF1130" t="s">
        <v>279</v>
      </c>
      <c r="BG1130" t="s">
        <v>110</v>
      </c>
      <c r="BH1130" t="str">
        <f>IF(COUNTIF(工作表1!A:A, $C1130)&gt;0, "預購款", "非預購款")</f>
        <v>非預購款</v>
      </c>
    </row>
    <row r="1131" spans="1:60" x14ac:dyDescent="0.25">
      <c r="A1131" t="s">
        <v>836</v>
      </c>
      <c r="B1131" t="s">
        <v>226</v>
      </c>
      <c r="C1131" t="s">
        <v>837</v>
      </c>
      <c r="D1131" t="s">
        <v>838</v>
      </c>
      <c r="E1131" t="s">
        <v>839</v>
      </c>
      <c r="F1131" t="s">
        <v>183</v>
      </c>
      <c r="G1131" t="s">
        <v>840</v>
      </c>
      <c r="H1131" t="s">
        <v>501</v>
      </c>
      <c r="I1131" t="s">
        <v>111</v>
      </c>
      <c r="J1131" t="s">
        <v>112</v>
      </c>
      <c r="K1131" t="s">
        <v>69</v>
      </c>
      <c r="L1131" t="s">
        <v>841</v>
      </c>
      <c r="M1131" t="s">
        <v>71</v>
      </c>
      <c r="N1131" t="s">
        <v>100</v>
      </c>
      <c r="O1131" t="s">
        <v>101</v>
      </c>
      <c r="P1131" t="s">
        <v>102</v>
      </c>
      <c r="R1131" t="s">
        <v>734</v>
      </c>
      <c r="S1131" t="s">
        <v>2257</v>
      </c>
      <c r="T1131" t="s">
        <v>274</v>
      </c>
      <c r="U1131" t="s">
        <v>383</v>
      </c>
      <c r="V1131" t="s">
        <v>384</v>
      </c>
      <c r="W1131">
        <v>1180</v>
      </c>
      <c r="X1131">
        <v>49.99</v>
      </c>
      <c r="Y1131">
        <v>155</v>
      </c>
      <c r="Z1131">
        <v>859000</v>
      </c>
      <c r="AA1131">
        <v>147500</v>
      </c>
      <c r="AB1131">
        <v>714</v>
      </c>
      <c r="AD1131" t="s">
        <v>238</v>
      </c>
      <c r="AE1131">
        <v>1</v>
      </c>
      <c r="AF1131">
        <v>0</v>
      </c>
      <c r="AI1131">
        <v>0</v>
      </c>
      <c r="AJ1131">
        <v>30</v>
      </c>
      <c r="AK1131">
        <v>30</v>
      </c>
      <c r="AL1131">
        <v>125</v>
      </c>
      <c r="AM1131">
        <v>35</v>
      </c>
      <c r="AN1131">
        <v>0</v>
      </c>
      <c r="AO1131">
        <v>35</v>
      </c>
      <c r="AP1131" t="s">
        <v>80</v>
      </c>
      <c r="AQ1131" t="s">
        <v>2257</v>
      </c>
      <c r="AS1131" t="s">
        <v>86</v>
      </c>
      <c r="AT1131" t="s">
        <v>240</v>
      </c>
      <c r="AU1131" t="s">
        <v>240</v>
      </c>
      <c r="AV1131" t="s">
        <v>842</v>
      </c>
      <c r="AW1131" t="s">
        <v>69</v>
      </c>
      <c r="AX1131" t="s">
        <v>387</v>
      </c>
      <c r="AY1131" t="s">
        <v>843</v>
      </c>
      <c r="AZ1131" t="s">
        <v>264</v>
      </c>
      <c r="BA1131" t="s">
        <v>245</v>
      </c>
      <c r="BB1131" t="s">
        <v>245</v>
      </c>
      <c r="BC1131" t="s">
        <v>245</v>
      </c>
      <c r="BD1131" t="s">
        <v>846</v>
      </c>
      <c r="BE1131" t="s">
        <v>3495</v>
      </c>
      <c r="BF1131" t="s">
        <v>279</v>
      </c>
      <c r="BG1131" t="s">
        <v>110</v>
      </c>
      <c r="BH1131" t="str">
        <f>IF(COUNTIF(工作表1!A:A, $C1131)&gt;0, "預購款", "非預購款")</f>
        <v>非預購款</v>
      </c>
    </row>
    <row r="1132" spans="1:60" x14ac:dyDescent="0.25">
      <c r="A1132" t="s">
        <v>836</v>
      </c>
      <c r="B1132" t="s">
        <v>226</v>
      </c>
      <c r="C1132" t="s">
        <v>837</v>
      </c>
      <c r="D1132" t="s">
        <v>838</v>
      </c>
      <c r="E1132" t="s">
        <v>839</v>
      </c>
      <c r="F1132" t="s">
        <v>183</v>
      </c>
      <c r="G1132" t="s">
        <v>840</v>
      </c>
      <c r="H1132" t="s">
        <v>280</v>
      </c>
      <c r="I1132" t="s">
        <v>111</v>
      </c>
      <c r="J1132" t="s">
        <v>112</v>
      </c>
      <c r="K1132" t="s">
        <v>69</v>
      </c>
      <c r="L1132" t="s">
        <v>841</v>
      </c>
      <c r="M1132" t="s">
        <v>71</v>
      </c>
      <c r="N1132" t="s">
        <v>100</v>
      </c>
      <c r="O1132" t="s">
        <v>101</v>
      </c>
      <c r="P1132" t="s">
        <v>102</v>
      </c>
      <c r="R1132" t="s">
        <v>734</v>
      </c>
      <c r="S1132" t="s">
        <v>2257</v>
      </c>
      <c r="T1132" t="s">
        <v>274</v>
      </c>
      <c r="U1132" t="s">
        <v>383</v>
      </c>
      <c r="V1132" t="s">
        <v>384</v>
      </c>
      <c r="W1132">
        <v>1180</v>
      </c>
      <c r="X1132">
        <v>49.99</v>
      </c>
      <c r="Y1132">
        <v>155</v>
      </c>
      <c r="Z1132">
        <v>859000</v>
      </c>
      <c r="AA1132">
        <v>147500</v>
      </c>
      <c r="AB1132">
        <v>714</v>
      </c>
      <c r="AD1132" t="s">
        <v>238</v>
      </c>
      <c r="AE1132">
        <v>1</v>
      </c>
      <c r="AF1132">
        <v>0</v>
      </c>
      <c r="AI1132">
        <v>0</v>
      </c>
      <c r="AJ1132">
        <v>20</v>
      </c>
      <c r="AK1132">
        <v>20</v>
      </c>
      <c r="AL1132">
        <v>125</v>
      </c>
      <c r="AM1132">
        <v>26</v>
      </c>
      <c r="AN1132">
        <v>0</v>
      </c>
      <c r="AO1132">
        <v>26</v>
      </c>
      <c r="AP1132" t="s">
        <v>80</v>
      </c>
      <c r="AQ1132" t="s">
        <v>2257</v>
      </c>
      <c r="AS1132" t="s">
        <v>86</v>
      </c>
      <c r="AT1132" t="s">
        <v>240</v>
      </c>
      <c r="AU1132" t="s">
        <v>240</v>
      </c>
      <c r="AV1132" t="s">
        <v>842</v>
      </c>
      <c r="AW1132" t="s">
        <v>69</v>
      </c>
      <c r="AX1132" t="s">
        <v>387</v>
      </c>
      <c r="AY1132" t="s">
        <v>843</v>
      </c>
      <c r="AZ1132" t="s">
        <v>264</v>
      </c>
      <c r="BA1132" t="s">
        <v>245</v>
      </c>
      <c r="BB1132" t="s">
        <v>245</v>
      </c>
      <c r="BC1132" t="s">
        <v>245</v>
      </c>
      <c r="BD1132" t="s">
        <v>847</v>
      </c>
      <c r="BE1132" t="s">
        <v>3495</v>
      </c>
      <c r="BF1132" t="s">
        <v>279</v>
      </c>
      <c r="BG1132" t="s">
        <v>110</v>
      </c>
      <c r="BH1132" t="str">
        <f>IF(COUNTIF(工作表1!A:A, $C1132)&gt;0, "預購款", "非預購款")</f>
        <v>非預購款</v>
      </c>
    </row>
    <row r="1133" spans="1:60" x14ac:dyDescent="0.25">
      <c r="A1133" t="s">
        <v>1540</v>
      </c>
      <c r="B1133" t="s">
        <v>226</v>
      </c>
      <c r="C1133" t="s">
        <v>1541</v>
      </c>
      <c r="D1133" t="s">
        <v>1542</v>
      </c>
      <c r="E1133" t="s">
        <v>1543</v>
      </c>
      <c r="F1133" t="s">
        <v>183</v>
      </c>
      <c r="G1133" t="s">
        <v>1544</v>
      </c>
      <c r="H1133" t="s">
        <v>119</v>
      </c>
      <c r="I1133" t="s">
        <v>111</v>
      </c>
      <c r="J1133" t="s">
        <v>112</v>
      </c>
      <c r="K1133" t="s">
        <v>80</v>
      </c>
      <c r="L1133" t="s">
        <v>1545</v>
      </c>
      <c r="M1133" t="s">
        <v>71</v>
      </c>
      <c r="N1133" t="s">
        <v>100</v>
      </c>
      <c r="O1133" t="s">
        <v>1391</v>
      </c>
      <c r="P1133" t="s">
        <v>1392</v>
      </c>
      <c r="R1133" t="s">
        <v>1393</v>
      </c>
      <c r="S1133" t="s">
        <v>2257</v>
      </c>
      <c r="T1133" t="s">
        <v>291</v>
      </c>
      <c r="U1133" t="s">
        <v>383</v>
      </c>
      <c r="V1133" t="s">
        <v>384</v>
      </c>
      <c r="W1133">
        <v>1080</v>
      </c>
      <c r="X1133">
        <v>44.99</v>
      </c>
      <c r="Y1133">
        <v>139</v>
      </c>
      <c r="Z1133">
        <v>779000</v>
      </c>
      <c r="AA1133">
        <v>199800</v>
      </c>
      <c r="AB1133">
        <v>570</v>
      </c>
      <c r="AD1133" t="s">
        <v>238</v>
      </c>
      <c r="AE1133">
        <v>1</v>
      </c>
      <c r="AF1133">
        <v>0</v>
      </c>
      <c r="AI1133">
        <v>0</v>
      </c>
      <c r="AJ1133">
        <v>95</v>
      </c>
      <c r="AK1133">
        <v>95</v>
      </c>
      <c r="AL1133">
        <v>185</v>
      </c>
      <c r="AM1133">
        <v>100</v>
      </c>
      <c r="AN1133">
        <v>0</v>
      </c>
      <c r="AO1133">
        <v>100</v>
      </c>
      <c r="AP1133" t="s">
        <v>80</v>
      </c>
      <c r="AQ1133" t="s">
        <v>2257</v>
      </c>
      <c r="AT1133" t="s">
        <v>86</v>
      </c>
      <c r="AU1133" t="s">
        <v>86</v>
      </c>
      <c r="AV1133" t="s">
        <v>1546</v>
      </c>
      <c r="AW1133" t="s">
        <v>69</v>
      </c>
      <c r="AX1133" t="s">
        <v>126</v>
      </c>
      <c r="AY1133" t="s">
        <v>1547</v>
      </c>
      <c r="AZ1133" t="s">
        <v>264</v>
      </c>
      <c r="BA1133" t="s">
        <v>245</v>
      </c>
      <c r="BB1133" t="s">
        <v>243</v>
      </c>
      <c r="BC1133" t="s">
        <v>245</v>
      </c>
      <c r="BD1133" t="s">
        <v>1548</v>
      </c>
      <c r="BE1133" t="s">
        <v>3496</v>
      </c>
      <c r="BF1133" t="s">
        <v>291</v>
      </c>
      <c r="BG1133" t="s">
        <v>110</v>
      </c>
      <c r="BH1133" t="str">
        <f>IF(COUNTIF(工作表1!A:A, $C1133)&gt;0, "預購款", "非預購款")</f>
        <v>非預購款</v>
      </c>
    </row>
    <row r="1134" spans="1:60" x14ac:dyDescent="0.25">
      <c r="A1134" t="s">
        <v>1540</v>
      </c>
      <c r="B1134" t="s">
        <v>226</v>
      </c>
      <c r="C1134" t="s">
        <v>1541</v>
      </c>
      <c r="D1134" t="s">
        <v>1542</v>
      </c>
      <c r="E1134" t="s">
        <v>1543</v>
      </c>
      <c r="F1134" t="s">
        <v>183</v>
      </c>
      <c r="G1134" t="s">
        <v>1544</v>
      </c>
      <c r="H1134" t="s">
        <v>130</v>
      </c>
      <c r="I1134" t="s">
        <v>111</v>
      </c>
      <c r="J1134" t="s">
        <v>112</v>
      </c>
      <c r="K1134" t="s">
        <v>80</v>
      </c>
      <c r="L1134" t="s">
        <v>1545</v>
      </c>
      <c r="M1134" t="s">
        <v>71</v>
      </c>
      <c r="N1134" t="s">
        <v>100</v>
      </c>
      <c r="O1134" t="s">
        <v>1391</v>
      </c>
      <c r="P1134" t="s">
        <v>1392</v>
      </c>
      <c r="R1134" t="s">
        <v>1393</v>
      </c>
      <c r="S1134" t="s">
        <v>2257</v>
      </c>
      <c r="T1134" t="s">
        <v>291</v>
      </c>
      <c r="U1134" t="s">
        <v>383</v>
      </c>
      <c r="V1134" t="s">
        <v>384</v>
      </c>
      <c r="W1134">
        <v>1080</v>
      </c>
      <c r="X1134">
        <v>44.99</v>
      </c>
      <c r="Y1134">
        <v>139</v>
      </c>
      <c r="Z1134">
        <v>779000</v>
      </c>
      <c r="AA1134">
        <v>199800</v>
      </c>
      <c r="AB1134">
        <v>570</v>
      </c>
      <c r="AD1134" t="s">
        <v>238</v>
      </c>
      <c r="AE1134">
        <v>1</v>
      </c>
      <c r="AF1134">
        <v>0</v>
      </c>
      <c r="AI1134">
        <v>0</v>
      </c>
      <c r="AJ1134">
        <v>75</v>
      </c>
      <c r="AK1134">
        <v>75</v>
      </c>
      <c r="AL1134">
        <v>185</v>
      </c>
      <c r="AM1134">
        <v>78</v>
      </c>
      <c r="AN1134">
        <v>0</v>
      </c>
      <c r="AO1134">
        <v>78</v>
      </c>
      <c r="AP1134" t="s">
        <v>80</v>
      </c>
      <c r="AQ1134" t="s">
        <v>2257</v>
      </c>
      <c r="AT1134" t="s">
        <v>86</v>
      </c>
      <c r="AU1134" t="s">
        <v>86</v>
      </c>
      <c r="AV1134" t="s">
        <v>1546</v>
      </c>
      <c r="AW1134" t="s">
        <v>69</v>
      </c>
      <c r="AX1134" t="s">
        <v>126</v>
      </c>
      <c r="AY1134" t="s">
        <v>1547</v>
      </c>
      <c r="AZ1134" t="s">
        <v>264</v>
      </c>
      <c r="BA1134" t="s">
        <v>245</v>
      </c>
      <c r="BB1134" t="s">
        <v>243</v>
      </c>
      <c r="BC1134" t="s">
        <v>245</v>
      </c>
      <c r="BD1134" t="s">
        <v>1550</v>
      </c>
      <c r="BE1134" t="s">
        <v>3496</v>
      </c>
      <c r="BF1134" t="s">
        <v>291</v>
      </c>
      <c r="BG1134" t="s">
        <v>110</v>
      </c>
      <c r="BH1134" t="str">
        <f>IF(COUNTIF(工作表1!A:A, $C1134)&gt;0, "預購款", "非預購款")</f>
        <v>非預購款</v>
      </c>
    </row>
    <row r="1135" spans="1:60" x14ac:dyDescent="0.25">
      <c r="A1135" t="s">
        <v>1540</v>
      </c>
      <c r="B1135" t="s">
        <v>226</v>
      </c>
      <c r="C1135" t="s">
        <v>1541</v>
      </c>
      <c r="D1135" t="s">
        <v>1542</v>
      </c>
      <c r="E1135" t="s">
        <v>1543</v>
      </c>
      <c r="F1135" t="s">
        <v>183</v>
      </c>
      <c r="G1135" t="s">
        <v>1544</v>
      </c>
      <c r="H1135" t="s">
        <v>132</v>
      </c>
      <c r="I1135" t="s">
        <v>111</v>
      </c>
      <c r="J1135" t="s">
        <v>112</v>
      </c>
      <c r="K1135" t="s">
        <v>80</v>
      </c>
      <c r="L1135" t="s">
        <v>1545</v>
      </c>
      <c r="M1135" t="s">
        <v>71</v>
      </c>
      <c r="N1135" t="s">
        <v>100</v>
      </c>
      <c r="O1135" t="s">
        <v>1391</v>
      </c>
      <c r="P1135" t="s">
        <v>1392</v>
      </c>
      <c r="R1135" t="s">
        <v>1393</v>
      </c>
      <c r="S1135" t="s">
        <v>2257</v>
      </c>
      <c r="T1135" t="s">
        <v>291</v>
      </c>
      <c r="U1135" t="s">
        <v>383</v>
      </c>
      <c r="V1135" t="s">
        <v>384</v>
      </c>
      <c r="W1135">
        <v>1080</v>
      </c>
      <c r="X1135">
        <v>44.99</v>
      </c>
      <c r="Y1135">
        <v>139</v>
      </c>
      <c r="Z1135">
        <v>779000</v>
      </c>
      <c r="AA1135">
        <v>199800</v>
      </c>
      <c r="AB1135">
        <v>570</v>
      </c>
      <c r="AD1135" t="s">
        <v>238</v>
      </c>
      <c r="AE1135">
        <v>1</v>
      </c>
      <c r="AF1135">
        <v>0</v>
      </c>
      <c r="AI1135">
        <v>0</v>
      </c>
      <c r="AJ1135">
        <v>15</v>
      </c>
      <c r="AK1135">
        <v>15</v>
      </c>
      <c r="AL1135">
        <v>185</v>
      </c>
      <c r="AM1135">
        <v>19</v>
      </c>
      <c r="AN1135">
        <v>0</v>
      </c>
      <c r="AO1135">
        <v>19</v>
      </c>
      <c r="AP1135" t="s">
        <v>80</v>
      </c>
      <c r="AQ1135" t="s">
        <v>2257</v>
      </c>
      <c r="AT1135" t="s">
        <v>86</v>
      </c>
      <c r="AU1135" t="s">
        <v>86</v>
      </c>
      <c r="AV1135" t="s">
        <v>1546</v>
      </c>
      <c r="AW1135" t="s">
        <v>69</v>
      </c>
      <c r="AX1135" t="s">
        <v>126</v>
      </c>
      <c r="AY1135" t="s">
        <v>1547</v>
      </c>
      <c r="AZ1135" t="s">
        <v>264</v>
      </c>
      <c r="BA1135" t="s">
        <v>245</v>
      </c>
      <c r="BB1135" t="s">
        <v>243</v>
      </c>
      <c r="BC1135" t="s">
        <v>245</v>
      </c>
      <c r="BD1135" t="s">
        <v>1551</v>
      </c>
      <c r="BE1135" t="s">
        <v>3496</v>
      </c>
      <c r="BF1135" t="s">
        <v>291</v>
      </c>
      <c r="BG1135" t="s">
        <v>110</v>
      </c>
      <c r="BH1135" t="str">
        <f>IF(COUNTIF(工作表1!A:A, $C1135)&gt;0, "預購款", "非預購款")</f>
        <v>非預購款</v>
      </c>
    </row>
    <row r="1136" spans="1:60" x14ac:dyDescent="0.25">
      <c r="A1136" t="s">
        <v>3497</v>
      </c>
      <c r="B1136" t="s">
        <v>226</v>
      </c>
      <c r="C1136" t="s">
        <v>3498</v>
      </c>
      <c r="D1136" t="s">
        <v>3499</v>
      </c>
      <c r="E1136" t="s">
        <v>3500</v>
      </c>
      <c r="F1136" t="s">
        <v>183</v>
      </c>
      <c r="G1136" t="s">
        <v>3501</v>
      </c>
      <c r="H1136" t="s">
        <v>119</v>
      </c>
      <c r="I1136" t="s">
        <v>88</v>
      </c>
      <c r="J1136" t="s">
        <v>89</v>
      </c>
      <c r="K1136" t="s">
        <v>69</v>
      </c>
      <c r="L1136" t="s">
        <v>3502</v>
      </c>
      <c r="M1136" t="s">
        <v>71</v>
      </c>
      <c r="N1136" t="s">
        <v>198</v>
      </c>
      <c r="O1136" t="s">
        <v>3146</v>
      </c>
      <c r="P1136" t="s">
        <v>3147</v>
      </c>
      <c r="R1136" t="s">
        <v>3148</v>
      </c>
      <c r="S1136" t="s">
        <v>2257</v>
      </c>
      <c r="T1136" t="s">
        <v>76</v>
      </c>
      <c r="U1136" t="s">
        <v>383</v>
      </c>
      <c r="V1136" t="s">
        <v>384</v>
      </c>
      <c r="W1136">
        <v>1080</v>
      </c>
      <c r="X1136">
        <v>44.99</v>
      </c>
      <c r="Y1136">
        <v>139</v>
      </c>
      <c r="Z1136">
        <v>779000</v>
      </c>
      <c r="AA1136">
        <v>253800</v>
      </c>
      <c r="AB1136">
        <v>650</v>
      </c>
      <c r="AD1136" t="s">
        <v>238</v>
      </c>
      <c r="AE1136">
        <v>1</v>
      </c>
      <c r="AF1136">
        <v>15</v>
      </c>
      <c r="AI1136">
        <v>50</v>
      </c>
      <c r="AJ1136">
        <v>60</v>
      </c>
      <c r="AK1136">
        <v>125</v>
      </c>
      <c r="AL1136">
        <v>235</v>
      </c>
      <c r="AM1136">
        <v>123</v>
      </c>
      <c r="AN1136">
        <v>0</v>
      </c>
      <c r="AO1136">
        <v>123</v>
      </c>
      <c r="AP1136" t="s">
        <v>80</v>
      </c>
      <c r="AQ1136" t="s">
        <v>2257</v>
      </c>
      <c r="AR1136" t="s">
        <v>86</v>
      </c>
      <c r="AS1136" t="s">
        <v>261</v>
      </c>
      <c r="AT1136" t="s">
        <v>86</v>
      </c>
      <c r="AU1136" t="s">
        <v>86</v>
      </c>
      <c r="AV1136" t="s">
        <v>799</v>
      </c>
      <c r="AW1136" t="s">
        <v>69</v>
      </c>
      <c r="AX1136" t="s">
        <v>387</v>
      </c>
      <c r="AY1136" t="s">
        <v>3503</v>
      </c>
      <c r="AZ1136" t="s">
        <v>245</v>
      </c>
      <c r="BA1136" t="s">
        <v>244</v>
      </c>
      <c r="BB1136" t="s">
        <v>245</v>
      </c>
      <c r="BC1136" t="s">
        <v>245</v>
      </c>
      <c r="BD1136" t="s">
        <v>3504</v>
      </c>
      <c r="BE1136" t="s">
        <v>3505</v>
      </c>
      <c r="BF1136" t="s">
        <v>86</v>
      </c>
      <c r="BG1136" t="s">
        <v>110</v>
      </c>
      <c r="BH1136" t="str">
        <f>IF(COUNTIF(工作表1!A:A, $C1136)&gt;0, "預購款", "非預購款")</f>
        <v>非預購款</v>
      </c>
    </row>
    <row r="1137" spans="1:60" x14ac:dyDescent="0.25">
      <c r="A1137" t="s">
        <v>3497</v>
      </c>
      <c r="B1137" t="s">
        <v>226</v>
      </c>
      <c r="C1137" t="s">
        <v>3498</v>
      </c>
      <c r="D1137" t="s">
        <v>3499</v>
      </c>
      <c r="E1137" t="s">
        <v>3500</v>
      </c>
      <c r="F1137" t="s">
        <v>183</v>
      </c>
      <c r="G1137" t="s">
        <v>3501</v>
      </c>
      <c r="H1137" t="s">
        <v>130</v>
      </c>
      <c r="I1137" t="s">
        <v>88</v>
      </c>
      <c r="J1137" t="s">
        <v>89</v>
      </c>
      <c r="K1137" t="s">
        <v>69</v>
      </c>
      <c r="L1137" t="s">
        <v>3502</v>
      </c>
      <c r="M1137" t="s">
        <v>71</v>
      </c>
      <c r="N1137" t="s">
        <v>198</v>
      </c>
      <c r="O1137" t="s">
        <v>3146</v>
      </c>
      <c r="P1137" t="s">
        <v>3147</v>
      </c>
      <c r="R1137" t="s">
        <v>3148</v>
      </c>
      <c r="S1137" t="s">
        <v>2257</v>
      </c>
      <c r="T1137" t="s">
        <v>76</v>
      </c>
      <c r="U1137" t="s">
        <v>383</v>
      </c>
      <c r="V1137" t="s">
        <v>384</v>
      </c>
      <c r="W1137">
        <v>1080</v>
      </c>
      <c r="X1137">
        <v>44.99</v>
      </c>
      <c r="Y1137">
        <v>139</v>
      </c>
      <c r="Z1137">
        <v>779000</v>
      </c>
      <c r="AA1137">
        <v>253800</v>
      </c>
      <c r="AB1137">
        <v>650</v>
      </c>
      <c r="AD1137" t="s">
        <v>238</v>
      </c>
      <c r="AE1137">
        <v>1</v>
      </c>
      <c r="AF1137">
        <v>10</v>
      </c>
      <c r="AI1137">
        <v>30</v>
      </c>
      <c r="AJ1137">
        <v>40</v>
      </c>
      <c r="AK1137">
        <v>80</v>
      </c>
      <c r="AL1137">
        <v>235</v>
      </c>
      <c r="AM1137">
        <v>80</v>
      </c>
      <c r="AN1137">
        <v>0</v>
      </c>
      <c r="AO1137">
        <v>80</v>
      </c>
      <c r="AP1137" t="s">
        <v>80</v>
      </c>
      <c r="AQ1137" t="s">
        <v>2257</v>
      </c>
      <c r="AR1137" t="s">
        <v>86</v>
      </c>
      <c r="AS1137" t="s">
        <v>261</v>
      </c>
      <c r="AT1137" t="s">
        <v>86</v>
      </c>
      <c r="AU1137" t="s">
        <v>86</v>
      </c>
      <c r="AV1137" t="s">
        <v>799</v>
      </c>
      <c r="AW1137" t="s">
        <v>69</v>
      </c>
      <c r="AX1137" t="s">
        <v>387</v>
      </c>
      <c r="AY1137" t="s">
        <v>3503</v>
      </c>
      <c r="AZ1137" t="s">
        <v>245</v>
      </c>
      <c r="BA1137" t="s">
        <v>244</v>
      </c>
      <c r="BB1137" t="s">
        <v>245</v>
      </c>
      <c r="BC1137" t="s">
        <v>245</v>
      </c>
      <c r="BD1137" t="s">
        <v>3506</v>
      </c>
      <c r="BE1137" t="s">
        <v>3505</v>
      </c>
      <c r="BF1137" t="s">
        <v>86</v>
      </c>
      <c r="BG1137" t="s">
        <v>110</v>
      </c>
      <c r="BH1137" t="str">
        <f>IF(COUNTIF(工作表1!A:A, $C1137)&gt;0, "預購款", "非預購款")</f>
        <v>非預購款</v>
      </c>
    </row>
    <row r="1138" spans="1:60" x14ac:dyDescent="0.25">
      <c r="A1138" t="s">
        <v>3497</v>
      </c>
      <c r="B1138" t="s">
        <v>226</v>
      </c>
      <c r="C1138" t="s">
        <v>3498</v>
      </c>
      <c r="D1138" t="s">
        <v>3499</v>
      </c>
      <c r="E1138" t="s">
        <v>3500</v>
      </c>
      <c r="F1138" t="s">
        <v>183</v>
      </c>
      <c r="G1138" t="s">
        <v>3501</v>
      </c>
      <c r="H1138" t="s">
        <v>132</v>
      </c>
      <c r="I1138" t="s">
        <v>88</v>
      </c>
      <c r="J1138" t="s">
        <v>89</v>
      </c>
      <c r="K1138" t="s">
        <v>69</v>
      </c>
      <c r="L1138" t="s">
        <v>3502</v>
      </c>
      <c r="M1138" t="s">
        <v>71</v>
      </c>
      <c r="N1138" t="s">
        <v>198</v>
      </c>
      <c r="O1138" t="s">
        <v>3146</v>
      </c>
      <c r="P1138" t="s">
        <v>3147</v>
      </c>
      <c r="R1138" t="s">
        <v>3148</v>
      </c>
      <c r="S1138" t="s">
        <v>2257</v>
      </c>
      <c r="T1138" t="s">
        <v>76</v>
      </c>
      <c r="U1138" t="s">
        <v>383</v>
      </c>
      <c r="V1138" t="s">
        <v>384</v>
      </c>
      <c r="W1138">
        <v>1080</v>
      </c>
      <c r="X1138">
        <v>44.99</v>
      </c>
      <c r="Y1138">
        <v>139</v>
      </c>
      <c r="Z1138">
        <v>779000</v>
      </c>
      <c r="AA1138">
        <v>253800</v>
      </c>
      <c r="AB1138">
        <v>650</v>
      </c>
      <c r="AD1138" t="s">
        <v>238</v>
      </c>
      <c r="AE1138">
        <v>1</v>
      </c>
      <c r="AF1138">
        <v>0</v>
      </c>
      <c r="AI1138">
        <v>10</v>
      </c>
      <c r="AJ1138">
        <v>20</v>
      </c>
      <c r="AK1138">
        <v>30</v>
      </c>
      <c r="AL1138">
        <v>235</v>
      </c>
      <c r="AM1138">
        <v>35</v>
      </c>
      <c r="AN1138">
        <v>0</v>
      </c>
      <c r="AO1138">
        <v>35</v>
      </c>
      <c r="AP1138" t="s">
        <v>80</v>
      </c>
      <c r="AQ1138" t="s">
        <v>2257</v>
      </c>
      <c r="AR1138" t="s">
        <v>86</v>
      </c>
      <c r="AS1138" t="s">
        <v>261</v>
      </c>
      <c r="AT1138" t="s">
        <v>86</v>
      </c>
      <c r="AU1138" t="s">
        <v>86</v>
      </c>
      <c r="AV1138" t="s">
        <v>799</v>
      </c>
      <c r="AW1138" t="s">
        <v>69</v>
      </c>
      <c r="AX1138" t="s">
        <v>387</v>
      </c>
      <c r="AY1138" t="s">
        <v>3503</v>
      </c>
      <c r="AZ1138" t="s">
        <v>245</v>
      </c>
      <c r="BA1138" t="s">
        <v>244</v>
      </c>
      <c r="BB1138" t="s">
        <v>245</v>
      </c>
      <c r="BC1138" t="s">
        <v>245</v>
      </c>
      <c r="BD1138" t="s">
        <v>3507</v>
      </c>
      <c r="BE1138" t="s">
        <v>3505</v>
      </c>
      <c r="BF1138" t="s">
        <v>86</v>
      </c>
      <c r="BG1138" t="s">
        <v>110</v>
      </c>
      <c r="BH1138" t="str">
        <f>IF(COUNTIF(工作表1!A:A, $C1138)&gt;0, "預購款", "非預購款")</f>
        <v>非預購款</v>
      </c>
    </row>
    <row r="1139" spans="1:60" x14ac:dyDescent="0.25">
      <c r="A1139" t="s">
        <v>2987</v>
      </c>
      <c r="B1139" t="s">
        <v>226</v>
      </c>
      <c r="C1139" t="s">
        <v>2988</v>
      </c>
      <c r="D1139" t="s">
        <v>2989</v>
      </c>
      <c r="E1139" t="s">
        <v>2990</v>
      </c>
      <c r="F1139" t="s">
        <v>183</v>
      </c>
      <c r="G1139" t="s">
        <v>2991</v>
      </c>
      <c r="H1139" t="s">
        <v>119</v>
      </c>
      <c r="I1139" t="s">
        <v>214</v>
      </c>
      <c r="J1139" t="s">
        <v>215</v>
      </c>
      <c r="K1139" t="s">
        <v>69</v>
      </c>
      <c r="L1139" t="s">
        <v>2992</v>
      </c>
      <c r="M1139" t="s">
        <v>71</v>
      </c>
      <c r="N1139" t="s">
        <v>198</v>
      </c>
      <c r="O1139" t="s">
        <v>2893</v>
      </c>
      <c r="P1139" t="s">
        <v>2894</v>
      </c>
      <c r="R1139" t="s">
        <v>2518</v>
      </c>
      <c r="S1139" t="s">
        <v>2257</v>
      </c>
      <c r="T1139" t="s">
        <v>258</v>
      </c>
      <c r="U1139" t="s">
        <v>684</v>
      </c>
      <c r="V1139" t="s">
        <v>1799</v>
      </c>
      <c r="W1139">
        <v>690</v>
      </c>
      <c r="X1139">
        <v>29.99</v>
      </c>
      <c r="Y1139">
        <v>89</v>
      </c>
      <c r="Z1139">
        <v>499000</v>
      </c>
      <c r="AA1139">
        <v>124200</v>
      </c>
      <c r="AB1139">
        <v>155</v>
      </c>
      <c r="AD1139" t="s">
        <v>238</v>
      </c>
      <c r="AE1139">
        <v>1</v>
      </c>
      <c r="AF1139">
        <v>0</v>
      </c>
      <c r="AI1139">
        <v>20</v>
      </c>
      <c r="AJ1139">
        <v>50</v>
      </c>
      <c r="AK1139">
        <v>70</v>
      </c>
      <c r="AL1139">
        <v>180</v>
      </c>
      <c r="AM1139">
        <v>66</v>
      </c>
      <c r="AN1139">
        <v>0</v>
      </c>
      <c r="AO1139">
        <v>66</v>
      </c>
      <c r="AP1139" t="s">
        <v>80</v>
      </c>
      <c r="AQ1139" t="s">
        <v>190</v>
      </c>
      <c r="AR1139" t="s">
        <v>86</v>
      </c>
      <c r="AS1139" t="s">
        <v>86</v>
      </c>
      <c r="AT1139" t="s">
        <v>240</v>
      </c>
      <c r="AU1139" t="s">
        <v>86</v>
      </c>
      <c r="AV1139" t="s">
        <v>2993</v>
      </c>
      <c r="AW1139" t="s">
        <v>69</v>
      </c>
      <c r="AX1139" t="s">
        <v>737</v>
      </c>
      <c r="AY1139" t="s">
        <v>2994</v>
      </c>
      <c r="AZ1139" t="s">
        <v>244</v>
      </c>
      <c r="BA1139" t="s">
        <v>244</v>
      </c>
      <c r="BB1139" t="s">
        <v>244</v>
      </c>
      <c r="BC1139" t="s">
        <v>244</v>
      </c>
      <c r="BD1139" t="s">
        <v>2995</v>
      </c>
      <c r="BE1139" t="s">
        <v>3508</v>
      </c>
      <c r="BF1139" t="s">
        <v>240</v>
      </c>
      <c r="BG1139" t="s">
        <v>150</v>
      </c>
      <c r="BH1139" t="str">
        <f>IF(COUNTIF(工作表1!A:A, $C1139)&gt;0, "預購款", "非預購款")</f>
        <v>非預購款</v>
      </c>
    </row>
    <row r="1140" spans="1:60" x14ac:dyDescent="0.25">
      <c r="A1140" t="s">
        <v>2987</v>
      </c>
      <c r="B1140" t="s">
        <v>226</v>
      </c>
      <c r="C1140" t="s">
        <v>2988</v>
      </c>
      <c r="D1140" t="s">
        <v>2989</v>
      </c>
      <c r="E1140" t="s">
        <v>2990</v>
      </c>
      <c r="F1140" t="s">
        <v>183</v>
      </c>
      <c r="G1140" t="s">
        <v>2991</v>
      </c>
      <c r="H1140" t="s">
        <v>130</v>
      </c>
      <c r="I1140" t="s">
        <v>214</v>
      </c>
      <c r="J1140" t="s">
        <v>215</v>
      </c>
      <c r="K1140" t="s">
        <v>69</v>
      </c>
      <c r="L1140" t="s">
        <v>2992</v>
      </c>
      <c r="M1140" t="s">
        <v>71</v>
      </c>
      <c r="N1140" t="s">
        <v>198</v>
      </c>
      <c r="O1140" t="s">
        <v>2893</v>
      </c>
      <c r="P1140" t="s">
        <v>2894</v>
      </c>
      <c r="R1140" t="s">
        <v>2518</v>
      </c>
      <c r="S1140" t="s">
        <v>2257</v>
      </c>
      <c r="T1140" t="s">
        <v>258</v>
      </c>
      <c r="U1140" t="s">
        <v>684</v>
      </c>
      <c r="V1140" t="s">
        <v>1799</v>
      </c>
      <c r="W1140">
        <v>690</v>
      </c>
      <c r="X1140">
        <v>29.99</v>
      </c>
      <c r="Y1140">
        <v>89</v>
      </c>
      <c r="Z1140">
        <v>499000</v>
      </c>
      <c r="AA1140">
        <v>124200</v>
      </c>
      <c r="AB1140">
        <v>155</v>
      </c>
      <c r="AD1140" t="s">
        <v>238</v>
      </c>
      <c r="AE1140">
        <v>1</v>
      </c>
      <c r="AF1140">
        <v>0</v>
      </c>
      <c r="AI1140">
        <v>10</v>
      </c>
      <c r="AJ1140">
        <v>60</v>
      </c>
      <c r="AK1140">
        <v>70</v>
      </c>
      <c r="AL1140">
        <v>180</v>
      </c>
      <c r="AM1140">
        <v>66</v>
      </c>
      <c r="AN1140">
        <v>0</v>
      </c>
      <c r="AO1140">
        <v>66</v>
      </c>
      <c r="AP1140" t="s">
        <v>80</v>
      </c>
      <c r="AQ1140" t="s">
        <v>190</v>
      </c>
      <c r="AR1140" t="s">
        <v>86</v>
      </c>
      <c r="AS1140" t="s">
        <v>86</v>
      </c>
      <c r="AT1140" t="s">
        <v>240</v>
      </c>
      <c r="AU1140" t="s">
        <v>86</v>
      </c>
      <c r="AV1140" t="s">
        <v>2993</v>
      </c>
      <c r="AW1140" t="s">
        <v>69</v>
      </c>
      <c r="AX1140" t="s">
        <v>737</v>
      </c>
      <c r="AY1140" t="s">
        <v>2994</v>
      </c>
      <c r="AZ1140" t="s">
        <v>244</v>
      </c>
      <c r="BA1140" t="s">
        <v>244</v>
      </c>
      <c r="BB1140" t="s">
        <v>244</v>
      </c>
      <c r="BC1140" t="s">
        <v>244</v>
      </c>
      <c r="BD1140" t="s">
        <v>2996</v>
      </c>
      <c r="BE1140" t="s">
        <v>3508</v>
      </c>
      <c r="BF1140" t="s">
        <v>240</v>
      </c>
      <c r="BG1140" t="s">
        <v>150</v>
      </c>
      <c r="BH1140" t="str">
        <f>IF(COUNTIF(工作表1!A:A, $C1140)&gt;0, "預購款", "非預購款")</f>
        <v>非預購款</v>
      </c>
    </row>
    <row r="1141" spans="1:60" x14ac:dyDescent="0.25">
      <c r="A1141" t="s">
        <v>2987</v>
      </c>
      <c r="B1141" t="s">
        <v>226</v>
      </c>
      <c r="C1141" t="s">
        <v>2988</v>
      </c>
      <c r="D1141" t="s">
        <v>2989</v>
      </c>
      <c r="E1141" t="s">
        <v>2990</v>
      </c>
      <c r="F1141" t="s">
        <v>183</v>
      </c>
      <c r="G1141" t="s">
        <v>2991</v>
      </c>
      <c r="H1141" t="s">
        <v>132</v>
      </c>
      <c r="I1141" t="s">
        <v>214</v>
      </c>
      <c r="J1141" t="s">
        <v>215</v>
      </c>
      <c r="K1141" t="s">
        <v>69</v>
      </c>
      <c r="L1141" t="s">
        <v>2992</v>
      </c>
      <c r="M1141" t="s">
        <v>71</v>
      </c>
      <c r="N1141" t="s">
        <v>198</v>
      </c>
      <c r="O1141" t="s">
        <v>2893</v>
      </c>
      <c r="P1141" t="s">
        <v>2894</v>
      </c>
      <c r="R1141" t="s">
        <v>2518</v>
      </c>
      <c r="S1141" t="s">
        <v>2257</v>
      </c>
      <c r="T1141" t="s">
        <v>258</v>
      </c>
      <c r="U1141" t="s">
        <v>684</v>
      </c>
      <c r="V1141" t="s">
        <v>1799</v>
      </c>
      <c r="W1141">
        <v>690</v>
      </c>
      <c r="X1141">
        <v>29.99</v>
      </c>
      <c r="Y1141">
        <v>89</v>
      </c>
      <c r="Z1141">
        <v>499000</v>
      </c>
      <c r="AA1141">
        <v>124200</v>
      </c>
      <c r="AB1141">
        <v>155</v>
      </c>
      <c r="AD1141" t="s">
        <v>238</v>
      </c>
      <c r="AE1141">
        <v>1</v>
      </c>
      <c r="AF1141">
        <v>0</v>
      </c>
      <c r="AI1141">
        <v>20</v>
      </c>
      <c r="AJ1141">
        <v>20</v>
      </c>
      <c r="AK1141">
        <v>40</v>
      </c>
      <c r="AL1141">
        <v>180</v>
      </c>
      <c r="AM1141">
        <v>35</v>
      </c>
      <c r="AN1141">
        <v>0</v>
      </c>
      <c r="AO1141">
        <v>35</v>
      </c>
      <c r="AP1141" t="s">
        <v>80</v>
      </c>
      <c r="AQ1141" t="s">
        <v>190</v>
      </c>
      <c r="AR1141" t="s">
        <v>86</v>
      </c>
      <c r="AS1141" t="s">
        <v>86</v>
      </c>
      <c r="AT1141" t="s">
        <v>240</v>
      </c>
      <c r="AU1141" t="s">
        <v>86</v>
      </c>
      <c r="AV1141" t="s">
        <v>2993</v>
      </c>
      <c r="AW1141" t="s">
        <v>69</v>
      </c>
      <c r="AX1141" t="s">
        <v>737</v>
      </c>
      <c r="AY1141" t="s">
        <v>2994</v>
      </c>
      <c r="AZ1141" t="s">
        <v>244</v>
      </c>
      <c r="BA1141" t="s">
        <v>244</v>
      </c>
      <c r="BB1141" t="s">
        <v>244</v>
      </c>
      <c r="BC1141" t="s">
        <v>244</v>
      </c>
      <c r="BD1141" t="s">
        <v>2997</v>
      </c>
      <c r="BE1141" t="s">
        <v>3508</v>
      </c>
      <c r="BF1141" t="s">
        <v>240</v>
      </c>
      <c r="BG1141" t="s">
        <v>150</v>
      </c>
      <c r="BH1141" t="str">
        <f>IF(COUNTIF(工作表1!A:A, $C1141)&gt;0, "預購款", "非預購款")</f>
        <v>非預購款</v>
      </c>
    </row>
    <row r="1142" spans="1:60" x14ac:dyDescent="0.25">
      <c r="A1142" t="s">
        <v>3509</v>
      </c>
      <c r="B1142" t="s">
        <v>226</v>
      </c>
      <c r="C1142" t="s">
        <v>3510</v>
      </c>
      <c r="D1142" t="s">
        <v>3511</v>
      </c>
      <c r="E1142" t="s">
        <v>3512</v>
      </c>
      <c r="F1142" t="s">
        <v>183</v>
      </c>
      <c r="G1142" t="s">
        <v>3513</v>
      </c>
      <c r="H1142" t="s">
        <v>119</v>
      </c>
      <c r="I1142" t="s">
        <v>171</v>
      </c>
      <c r="J1142" t="s">
        <v>172</v>
      </c>
      <c r="K1142" t="s">
        <v>69</v>
      </c>
      <c r="L1142" t="s">
        <v>3514</v>
      </c>
      <c r="M1142" t="s">
        <v>71</v>
      </c>
      <c r="N1142" t="s">
        <v>198</v>
      </c>
      <c r="O1142" t="s">
        <v>3439</v>
      </c>
      <c r="P1142" t="s">
        <v>3440</v>
      </c>
      <c r="R1142" t="s">
        <v>1095</v>
      </c>
      <c r="S1142" t="s">
        <v>2257</v>
      </c>
      <c r="T1142" t="s">
        <v>76</v>
      </c>
      <c r="U1142" t="s">
        <v>104</v>
      </c>
      <c r="V1142" t="s">
        <v>1519</v>
      </c>
      <c r="W1142">
        <v>490</v>
      </c>
      <c r="X1142">
        <v>22.99</v>
      </c>
      <c r="Y1142">
        <v>60</v>
      </c>
      <c r="Z1142">
        <v>355000</v>
      </c>
      <c r="AA1142">
        <v>98000</v>
      </c>
      <c r="AB1142">
        <v>132</v>
      </c>
      <c r="AD1142" t="s">
        <v>238</v>
      </c>
      <c r="AE1142">
        <v>1</v>
      </c>
      <c r="AF1142">
        <v>15</v>
      </c>
      <c r="AI1142">
        <v>40</v>
      </c>
      <c r="AJ1142">
        <v>15</v>
      </c>
      <c r="AK1142">
        <v>70</v>
      </c>
      <c r="AL1142">
        <v>200</v>
      </c>
      <c r="AM1142">
        <v>64</v>
      </c>
      <c r="AN1142">
        <v>0</v>
      </c>
      <c r="AO1142">
        <v>64</v>
      </c>
      <c r="AP1142" t="s">
        <v>80</v>
      </c>
      <c r="AQ1142" t="s">
        <v>190</v>
      </c>
      <c r="AR1142" t="s">
        <v>86</v>
      </c>
      <c r="AS1142" t="s">
        <v>86</v>
      </c>
      <c r="AT1142" t="s">
        <v>240</v>
      </c>
      <c r="AU1142" t="s">
        <v>86</v>
      </c>
      <c r="AV1142" t="s">
        <v>81</v>
      </c>
      <c r="AW1142" t="s">
        <v>69</v>
      </c>
      <c r="AX1142" t="s">
        <v>126</v>
      </c>
      <c r="AY1142" t="s">
        <v>3515</v>
      </c>
      <c r="AZ1142" t="s">
        <v>243</v>
      </c>
      <c r="BA1142" t="s">
        <v>244</v>
      </c>
      <c r="BB1142" t="s">
        <v>244</v>
      </c>
      <c r="BC1142" t="s">
        <v>244</v>
      </c>
      <c r="BD1142" t="s">
        <v>3516</v>
      </c>
      <c r="BE1142" t="s">
        <v>3517</v>
      </c>
      <c r="BF1142" t="s">
        <v>86</v>
      </c>
      <c r="BG1142" t="s">
        <v>150</v>
      </c>
      <c r="BH1142" t="str">
        <f>IF(COUNTIF(工作表1!A:A, $C1142)&gt;0, "預購款", "非預購款")</f>
        <v>非預購款</v>
      </c>
    </row>
    <row r="1143" spans="1:60" x14ac:dyDescent="0.25">
      <c r="A1143" t="s">
        <v>3509</v>
      </c>
      <c r="B1143" t="s">
        <v>226</v>
      </c>
      <c r="C1143" t="s">
        <v>3510</v>
      </c>
      <c r="D1143" t="s">
        <v>3511</v>
      </c>
      <c r="E1143" t="s">
        <v>3512</v>
      </c>
      <c r="F1143" t="s">
        <v>183</v>
      </c>
      <c r="G1143" t="s">
        <v>3513</v>
      </c>
      <c r="H1143" t="s">
        <v>130</v>
      </c>
      <c r="I1143" t="s">
        <v>171</v>
      </c>
      <c r="J1143" t="s">
        <v>172</v>
      </c>
      <c r="K1143" t="s">
        <v>69</v>
      </c>
      <c r="L1143" t="s">
        <v>3514</v>
      </c>
      <c r="M1143" t="s">
        <v>71</v>
      </c>
      <c r="N1143" t="s">
        <v>198</v>
      </c>
      <c r="O1143" t="s">
        <v>3439</v>
      </c>
      <c r="P1143" t="s">
        <v>3440</v>
      </c>
      <c r="R1143" t="s">
        <v>1095</v>
      </c>
      <c r="S1143" t="s">
        <v>2257</v>
      </c>
      <c r="T1143" t="s">
        <v>76</v>
      </c>
      <c r="U1143" t="s">
        <v>104</v>
      </c>
      <c r="V1143" t="s">
        <v>1519</v>
      </c>
      <c r="W1143">
        <v>490</v>
      </c>
      <c r="X1143">
        <v>22.99</v>
      </c>
      <c r="Y1143">
        <v>60</v>
      </c>
      <c r="Z1143">
        <v>355000</v>
      </c>
      <c r="AA1143">
        <v>98000</v>
      </c>
      <c r="AB1143">
        <v>132</v>
      </c>
      <c r="AD1143" t="s">
        <v>238</v>
      </c>
      <c r="AE1143">
        <v>1</v>
      </c>
      <c r="AF1143">
        <v>10</v>
      </c>
      <c r="AI1143">
        <v>40</v>
      </c>
      <c r="AJ1143">
        <v>40</v>
      </c>
      <c r="AK1143">
        <v>90</v>
      </c>
      <c r="AL1143">
        <v>200</v>
      </c>
      <c r="AM1143">
        <v>82</v>
      </c>
      <c r="AN1143">
        <v>0</v>
      </c>
      <c r="AO1143">
        <v>82</v>
      </c>
      <c r="AP1143" t="s">
        <v>80</v>
      </c>
      <c r="AQ1143" t="s">
        <v>190</v>
      </c>
      <c r="AR1143" t="s">
        <v>86</v>
      </c>
      <c r="AS1143" t="s">
        <v>86</v>
      </c>
      <c r="AT1143" t="s">
        <v>240</v>
      </c>
      <c r="AU1143" t="s">
        <v>86</v>
      </c>
      <c r="AV1143" t="s">
        <v>81</v>
      </c>
      <c r="AW1143" t="s">
        <v>69</v>
      </c>
      <c r="AX1143" t="s">
        <v>126</v>
      </c>
      <c r="AY1143" t="s">
        <v>3515</v>
      </c>
      <c r="AZ1143" t="s">
        <v>243</v>
      </c>
      <c r="BA1143" t="s">
        <v>244</v>
      </c>
      <c r="BB1143" t="s">
        <v>244</v>
      </c>
      <c r="BC1143" t="s">
        <v>244</v>
      </c>
      <c r="BD1143" t="s">
        <v>3518</v>
      </c>
      <c r="BE1143" t="s">
        <v>3517</v>
      </c>
      <c r="BF1143" t="s">
        <v>86</v>
      </c>
      <c r="BG1143" t="s">
        <v>150</v>
      </c>
      <c r="BH1143" t="str">
        <f>IF(COUNTIF(工作表1!A:A, $C1143)&gt;0, "預購款", "非預購款")</f>
        <v>非預購款</v>
      </c>
    </row>
    <row r="1144" spans="1:60" x14ac:dyDescent="0.25">
      <c r="A1144" t="s">
        <v>3509</v>
      </c>
      <c r="B1144" t="s">
        <v>226</v>
      </c>
      <c r="C1144" t="s">
        <v>3510</v>
      </c>
      <c r="D1144" t="s">
        <v>3511</v>
      </c>
      <c r="E1144" t="s">
        <v>3512</v>
      </c>
      <c r="F1144" t="s">
        <v>183</v>
      </c>
      <c r="G1144" t="s">
        <v>3513</v>
      </c>
      <c r="H1144" t="s">
        <v>132</v>
      </c>
      <c r="I1144" t="s">
        <v>171</v>
      </c>
      <c r="J1144" t="s">
        <v>172</v>
      </c>
      <c r="K1144" t="s">
        <v>69</v>
      </c>
      <c r="L1144" t="s">
        <v>3514</v>
      </c>
      <c r="M1144" t="s">
        <v>71</v>
      </c>
      <c r="N1144" t="s">
        <v>198</v>
      </c>
      <c r="O1144" t="s">
        <v>3439</v>
      </c>
      <c r="P1144" t="s">
        <v>3440</v>
      </c>
      <c r="R1144" t="s">
        <v>1095</v>
      </c>
      <c r="S1144" t="s">
        <v>2257</v>
      </c>
      <c r="T1144" t="s">
        <v>76</v>
      </c>
      <c r="U1144" t="s">
        <v>104</v>
      </c>
      <c r="V1144" t="s">
        <v>1519</v>
      </c>
      <c r="W1144">
        <v>490</v>
      </c>
      <c r="X1144">
        <v>22.99</v>
      </c>
      <c r="Y1144">
        <v>60</v>
      </c>
      <c r="Z1144">
        <v>355000</v>
      </c>
      <c r="AA1144">
        <v>98000</v>
      </c>
      <c r="AB1144">
        <v>132</v>
      </c>
      <c r="AD1144" t="s">
        <v>238</v>
      </c>
      <c r="AE1144">
        <v>1</v>
      </c>
      <c r="AF1144">
        <v>0</v>
      </c>
      <c r="AI1144">
        <v>20</v>
      </c>
      <c r="AJ1144">
        <v>20</v>
      </c>
      <c r="AK1144">
        <v>40</v>
      </c>
      <c r="AL1144">
        <v>200</v>
      </c>
      <c r="AM1144">
        <v>41</v>
      </c>
      <c r="AN1144">
        <v>0</v>
      </c>
      <c r="AO1144">
        <v>41</v>
      </c>
      <c r="AP1144" t="s">
        <v>80</v>
      </c>
      <c r="AQ1144" t="s">
        <v>190</v>
      </c>
      <c r="AR1144" t="s">
        <v>86</v>
      </c>
      <c r="AS1144" t="s">
        <v>86</v>
      </c>
      <c r="AT1144" t="s">
        <v>240</v>
      </c>
      <c r="AU1144" t="s">
        <v>86</v>
      </c>
      <c r="AV1144" t="s">
        <v>81</v>
      </c>
      <c r="AW1144" t="s">
        <v>69</v>
      </c>
      <c r="AX1144" t="s">
        <v>126</v>
      </c>
      <c r="AY1144" t="s">
        <v>3515</v>
      </c>
      <c r="AZ1144" t="s">
        <v>243</v>
      </c>
      <c r="BA1144" t="s">
        <v>244</v>
      </c>
      <c r="BB1144" t="s">
        <v>244</v>
      </c>
      <c r="BC1144" t="s">
        <v>244</v>
      </c>
      <c r="BD1144" t="s">
        <v>3519</v>
      </c>
      <c r="BE1144" t="s">
        <v>3517</v>
      </c>
      <c r="BF1144" t="s">
        <v>86</v>
      </c>
      <c r="BG1144" t="s">
        <v>150</v>
      </c>
      <c r="BH1144" t="str">
        <f>IF(COUNTIF(工作表1!A:A, $C1144)&gt;0, "預購款", "非預購款")</f>
        <v>非預購款</v>
      </c>
    </row>
    <row r="1145" spans="1:60" x14ac:dyDescent="0.25">
      <c r="A1145" t="s">
        <v>3182</v>
      </c>
      <c r="B1145" t="s">
        <v>226</v>
      </c>
      <c r="C1145" t="s">
        <v>3183</v>
      </c>
      <c r="D1145" t="s">
        <v>3184</v>
      </c>
      <c r="E1145" t="s">
        <v>3185</v>
      </c>
      <c r="F1145" t="s">
        <v>183</v>
      </c>
      <c r="G1145" t="s">
        <v>3186</v>
      </c>
      <c r="H1145" t="s">
        <v>119</v>
      </c>
      <c r="I1145" t="s">
        <v>97</v>
      </c>
      <c r="J1145" t="s">
        <v>98</v>
      </c>
      <c r="K1145" t="s">
        <v>80</v>
      </c>
      <c r="L1145" t="s">
        <v>3189</v>
      </c>
      <c r="M1145" t="s">
        <v>71</v>
      </c>
      <c r="N1145" t="s">
        <v>198</v>
      </c>
      <c r="O1145" t="s">
        <v>3146</v>
      </c>
      <c r="P1145" t="s">
        <v>3147</v>
      </c>
      <c r="R1145" t="s">
        <v>3148</v>
      </c>
      <c r="S1145" t="s">
        <v>2257</v>
      </c>
      <c r="T1145" t="s">
        <v>291</v>
      </c>
      <c r="U1145" t="s">
        <v>104</v>
      </c>
      <c r="V1145" t="s">
        <v>1936</v>
      </c>
      <c r="W1145">
        <v>590</v>
      </c>
      <c r="X1145">
        <v>29.99</v>
      </c>
      <c r="Y1145">
        <v>75</v>
      </c>
      <c r="Z1145">
        <v>429000</v>
      </c>
      <c r="AA1145">
        <v>188800</v>
      </c>
      <c r="AB1145">
        <v>200</v>
      </c>
      <c r="AD1145" t="s">
        <v>238</v>
      </c>
      <c r="AE1145">
        <v>2</v>
      </c>
      <c r="AF1145">
        <v>0</v>
      </c>
      <c r="AI1145">
        <v>40</v>
      </c>
      <c r="AJ1145">
        <v>55</v>
      </c>
      <c r="AK1145">
        <v>95</v>
      </c>
      <c r="AL1145">
        <v>320</v>
      </c>
      <c r="AM1145">
        <v>107</v>
      </c>
      <c r="AN1145">
        <v>0</v>
      </c>
      <c r="AO1145">
        <v>107</v>
      </c>
      <c r="AP1145" t="s">
        <v>69</v>
      </c>
      <c r="AT1145" t="s">
        <v>240</v>
      </c>
      <c r="AU1145" t="s">
        <v>240</v>
      </c>
      <c r="AV1145" t="s">
        <v>3190</v>
      </c>
      <c r="AW1145" t="s">
        <v>69</v>
      </c>
      <c r="AX1145" t="s">
        <v>218</v>
      </c>
      <c r="AY1145" t="s">
        <v>3191</v>
      </c>
      <c r="AZ1145" t="s">
        <v>243</v>
      </c>
      <c r="BA1145" t="s">
        <v>245</v>
      </c>
      <c r="BB1145" t="s">
        <v>244</v>
      </c>
      <c r="BC1145" t="s">
        <v>244</v>
      </c>
      <c r="BD1145" t="s">
        <v>3520</v>
      </c>
      <c r="BE1145" t="s">
        <v>3521</v>
      </c>
      <c r="BF1145" t="s">
        <v>291</v>
      </c>
      <c r="BG1145" t="s">
        <v>150</v>
      </c>
      <c r="BH1145" t="str">
        <f>IF(COUNTIF(工作表1!A:A, $C1145)&gt;0, "預購款", "非預購款")</f>
        <v>非預購款</v>
      </c>
    </row>
    <row r="1146" spans="1:60" x14ac:dyDescent="0.25">
      <c r="A1146" t="s">
        <v>3182</v>
      </c>
      <c r="B1146" t="s">
        <v>226</v>
      </c>
      <c r="C1146" t="s">
        <v>3183</v>
      </c>
      <c r="D1146" t="s">
        <v>3184</v>
      </c>
      <c r="E1146" t="s">
        <v>3185</v>
      </c>
      <c r="F1146" t="s">
        <v>183</v>
      </c>
      <c r="G1146" t="s">
        <v>3186</v>
      </c>
      <c r="H1146" t="s">
        <v>130</v>
      </c>
      <c r="I1146" t="s">
        <v>97</v>
      </c>
      <c r="J1146" t="s">
        <v>98</v>
      </c>
      <c r="K1146" t="s">
        <v>80</v>
      </c>
      <c r="L1146" t="s">
        <v>3189</v>
      </c>
      <c r="M1146" t="s">
        <v>71</v>
      </c>
      <c r="N1146" t="s">
        <v>198</v>
      </c>
      <c r="O1146" t="s">
        <v>3146</v>
      </c>
      <c r="P1146" t="s">
        <v>3147</v>
      </c>
      <c r="R1146" t="s">
        <v>3148</v>
      </c>
      <c r="S1146" t="s">
        <v>2257</v>
      </c>
      <c r="T1146" t="s">
        <v>291</v>
      </c>
      <c r="U1146" t="s">
        <v>104</v>
      </c>
      <c r="V1146" t="s">
        <v>1936</v>
      </c>
      <c r="W1146">
        <v>590</v>
      </c>
      <c r="X1146">
        <v>29.99</v>
      </c>
      <c r="Y1146">
        <v>75</v>
      </c>
      <c r="Z1146">
        <v>429000</v>
      </c>
      <c r="AA1146">
        <v>188800</v>
      </c>
      <c r="AB1146">
        <v>200</v>
      </c>
      <c r="AD1146" t="s">
        <v>238</v>
      </c>
      <c r="AE1146">
        <v>2</v>
      </c>
      <c r="AF1146">
        <v>0</v>
      </c>
      <c r="AI1146">
        <v>0</v>
      </c>
      <c r="AJ1146">
        <v>40</v>
      </c>
      <c r="AK1146">
        <v>40</v>
      </c>
      <c r="AL1146">
        <v>320</v>
      </c>
      <c r="AM1146">
        <v>49</v>
      </c>
      <c r="AN1146">
        <v>0</v>
      </c>
      <c r="AO1146">
        <v>49</v>
      </c>
      <c r="AP1146" t="s">
        <v>69</v>
      </c>
      <c r="AT1146" t="s">
        <v>240</v>
      </c>
      <c r="AU1146" t="s">
        <v>240</v>
      </c>
      <c r="AV1146" t="s">
        <v>3190</v>
      </c>
      <c r="AW1146" t="s">
        <v>69</v>
      </c>
      <c r="AX1146" t="s">
        <v>218</v>
      </c>
      <c r="AY1146" t="s">
        <v>3191</v>
      </c>
      <c r="AZ1146" t="s">
        <v>243</v>
      </c>
      <c r="BA1146" t="s">
        <v>245</v>
      </c>
      <c r="BB1146" t="s">
        <v>244</v>
      </c>
      <c r="BC1146" t="s">
        <v>244</v>
      </c>
      <c r="BD1146" t="s">
        <v>3522</v>
      </c>
      <c r="BE1146" t="s">
        <v>3521</v>
      </c>
      <c r="BF1146" t="s">
        <v>291</v>
      </c>
      <c r="BG1146" t="s">
        <v>150</v>
      </c>
      <c r="BH1146" t="str">
        <f>IF(COUNTIF(工作表1!A:A, $C1146)&gt;0, "預購款", "非預購款")</f>
        <v>非預購款</v>
      </c>
    </row>
    <row r="1147" spans="1:60" x14ac:dyDescent="0.25">
      <c r="A1147" t="s">
        <v>3182</v>
      </c>
      <c r="B1147" t="s">
        <v>226</v>
      </c>
      <c r="C1147" t="s">
        <v>3183</v>
      </c>
      <c r="D1147" t="s">
        <v>3184</v>
      </c>
      <c r="E1147" t="s">
        <v>3185</v>
      </c>
      <c r="F1147" t="s">
        <v>183</v>
      </c>
      <c r="G1147" t="s">
        <v>3186</v>
      </c>
      <c r="H1147" t="s">
        <v>132</v>
      </c>
      <c r="I1147" t="s">
        <v>97</v>
      </c>
      <c r="J1147" t="s">
        <v>98</v>
      </c>
      <c r="K1147" t="s">
        <v>80</v>
      </c>
      <c r="L1147" t="s">
        <v>3189</v>
      </c>
      <c r="M1147" t="s">
        <v>71</v>
      </c>
      <c r="N1147" t="s">
        <v>198</v>
      </c>
      <c r="O1147" t="s">
        <v>3146</v>
      </c>
      <c r="P1147" t="s">
        <v>3147</v>
      </c>
      <c r="R1147" t="s">
        <v>3148</v>
      </c>
      <c r="S1147" t="s">
        <v>2257</v>
      </c>
      <c r="T1147" t="s">
        <v>291</v>
      </c>
      <c r="U1147" t="s">
        <v>104</v>
      </c>
      <c r="V1147" t="s">
        <v>1936</v>
      </c>
      <c r="W1147">
        <v>590</v>
      </c>
      <c r="X1147">
        <v>29.99</v>
      </c>
      <c r="Y1147">
        <v>75</v>
      </c>
      <c r="Z1147">
        <v>429000</v>
      </c>
      <c r="AA1147">
        <v>188800</v>
      </c>
      <c r="AB1147">
        <v>200</v>
      </c>
      <c r="AD1147" t="s">
        <v>238</v>
      </c>
      <c r="AE1147">
        <v>2</v>
      </c>
      <c r="AF1147">
        <v>0</v>
      </c>
      <c r="AI1147">
        <v>0</v>
      </c>
      <c r="AJ1147">
        <v>15</v>
      </c>
      <c r="AK1147">
        <v>15</v>
      </c>
      <c r="AL1147">
        <v>320</v>
      </c>
      <c r="AM1147">
        <v>24</v>
      </c>
      <c r="AN1147">
        <v>0</v>
      </c>
      <c r="AO1147">
        <v>24</v>
      </c>
      <c r="AP1147" t="s">
        <v>69</v>
      </c>
      <c r="AT1147" t="s">
        <v>240</v>
      </c>
      <c r="AU1147" t="s">
        <v>240</v>
      </c>
      <c r="AV1147" t="s">
        <v>3190</v>
      </c>
      <c r="AW1147" t="s">
        <v>69</v>
      </c>
      <c r="AX1147" t="s">
        <v>218</v>
      </c>
      <c r="AY1147" t="s">
        <v>3191</v>
      </c>
      <c r="AZ1147" t="s">
        <v>243</v>
      </c>
      <c r="BA1147" t="s">
        <v>245</v>
      </c>
      <c r="BB1147" t="s">
        <v>244</v>
      </c>
      <c r="BC1147" t="s">
        <v>244</v>
      </c>
      <c r="BD1147" t="s">
        <v>3523</v>
      </c>
      <c r="BE1147" t="s">
        <v>3521</v>
      </c>
      <c r="BF1147" t="s">
        <v>291</v>
      </c>
      <c r="BG1147" t="s">
        <v>150</v>
      </c>
      <c r="BH1147" t="str">
        <f>IF(COUNTIF(工作表1!A:A, $C1147)&gt;0, "預購款", "非預購款")</f>
        <v>非預購款</v>
      </c>
    </row>
    <row r="1148" spans="1:60" x14ac:dyDescent="0.25">
      <c r="A1148" t="s">
        <v>3182</v>
      </c>
      <c r="B1148" t="s">
        <v>226</v>
      </c>
      <c r="C1148" t="s">
        <v>3183</v>
      </c>
      <c r="D1148" t="s">
        <v>3184</v>
      </c>
      <c r="E1148" t="s">
        <v>3185</v>
      </c>
      <c r="F1148" t="s">
        <v>183</v>
      </c>
      <c r="G1148" t="s">
        <v>3186</v>
      </c>
      <c r="H1148" t="s">
        <v>119</v>
      </c>
      <c r="I1148" t="s">
        <v>3187</v>
      </c>
      <c r="J1148" t="s">
        <v>3188</v>
      </c>
      <c r="K1148" t="s">
        <v>69</v>
      </c>
      <c r="L1148" t="s">
        <v>3189</v>
      </c>
      <c r="M1148" t="s">
        <v>71</v>
      </c>
      <c r="N1148" t="s">
        <v>198</v>
      </c>
      <c r="O1148" t="s">
        <v>3146</v>
      </c>
      <c r="P1148" t="s">
        <v>3147</v>
      </c>
      <c r="R1148" t="s">
        <v>3148</v>
      </c>
      <c r="S1148" t="s">
        <v>2257</v>
      </c>
      <c r="T1148" t="s">
        <v>291</v>
      </c>
      <c r="U1148" t="s">
        <v>104</v>
      </c>
      <c r="V1148" t="s">
        <v>1936</v>
      </c>
      <c r="W1148">
        <v>590</v>
      </c>
      <c r="X1148">
        <v>29.99</v>
      </c>
      <c r="Y1148">
        <v>75</v>
      </c>
      <c r="Z1148">
        <v>429000</v>
      </c>
      <c r="AA1148">
        <v>188800</v>
      </c>
      <c r="AB1148">
        <v>200</v>
      </c>
      <c r="AD1148" t="s">
        <v>238</v>
      </c>
      <c r="AE1148">
        <v>2</v>
      </c>
      <c r="AF1148">
        <v>0</v>
      </c>
      <c r="AI1148">
        <v>50</v>
      </c>
      <c r="AJ1148">
        <v>30</v>
      </c>
      <c r="AK1148">
        <v>80</v>
      </c>
      <c r="AL1148">
        <v>320</v>
      </c>
      <c r="AM1148">
        <v>69</v>
      </c>
      <c r="AN1148">
        <v>21</v>
      </c>
      <c r="AO1148">
        <v>90</v>
      </c>
      <c r="AP1148" t="s">
        <v>69</v>
      </c>
      <c r="AT1148" t="s">
        <v>240</v>
      </c>
      <c r="AU1148" t="s">
        <v>240</v>
      </c>
      <c r="AV1148" t="s">
        <v>3190</v>
      </c>
      <c r="AW1148" t="s">
        <v>69</v>
      </c>
      <c r="AX1148" t="s">
        <v>218</v>
      </c>
      <c r="AY1148" t="s">
        <v>3191</v>
      </c>
      <c r="AZ1148" t="s">
        <v>243</v>
      </c>
      <c r="BA1148" t="s">
        <v>245</v>
      </c>
      <c r="BB1148" t="s">
        <v>244</v>
      </c>
      <c r="BC1148" t="s">
        <v>244</v>
      </c>
      <c r="BD1148" t="s">
        <v>3192</v>
      </c>
      <c r="BE1148" t="s">
        <v>3521</v>
      </c>
      <c r="BF1148" t="s">
        <v>291</v>
      </c>
      <c r="BG1148" t="s">
        <v>150</v>
      </c>
      <c r="BH1148" t="str">
        <f>IF(COUNTIF(工作表1!A:A, $C1148)&gt;0, "預購款", "非預購款")</f>
        <v>非預購款</v>
      </c>
    </row>
    <row r="1149" spans="1:60" x14ac:dyDescent="0.25">
      <c r="A1149" t="s">
        <v>3182</v>
      </c>
      <c r="B1149" t="s">
        <v>226</v>
      </c>
      <c r="C1149" t="s">
        <v>3183</v>
      </c>
      <c r="D1149" t="s">
        <v>3184</v>
      </c>
      <c r="E1149" t="s">
        <v>3185</v>
      </c>
      <c r="F1149" t="s">
        <v>183</v>
      </c>
      <c r="G1149" t="s">
        <v>3186</v>
      </c>
      <c r="H1149" t="s">
        <v>130</v>
      </c>
      <c r="I1149" t="s">
        <v>3187</v>
      </c>
      <c r="J1149" t="s">
        <v>3188</v>
      </c>
      <c r="K1149" t="s">
        <v>69</v>
      </c>
      <c r="L1149" t="s">
        <v>3189</v>
      </c>
      <c r="M1149" t="s">
        <v>71</v>
      </c>
      <c r="N1149" t="s">
        <v>198</v>
      </c>
      <c r="O1149" t="s">
        <v>3146</v>
      </c>
      <c r="P1149" t="s">
        <v>3147</v>
      </c>
      <c r="R1149" t="s">
        <v>3148</v>
      </c>
      <c r="S1149" t="s">
        <v>2257</v>
      </c>
      <c r="T1149" t="s">
        <v>291</v>
      </c>
      <c r="U1149" t="s">
        <v>104</v>
      </c>
      <c r="V1149" t="s">
        <v>1936</v>
      </c>
      <c r="W1149">
        <v>590</v>
      </c>
      <c r="X1149">
        <v>29.99</v>
      </c>
      <c r="Y1149">
        <v>75</v>
      </c>
      <c r="Z1149">
        <v>429000</v>
      </c>
      <c r="AA1149">
        <v>188800</v>
      </c>
      <c r="AB1149">
        <v>200</v>
      </c>
      <c r="AD1149" t="s">
        <v>238</v>
      </c>
      <c r="AE1149">
        <v>2</v>
      </c>
      <c r="AF1149">
        <v>0</v>
      </c>
      <c r="AI1149">
        <v>30</v>
      </c>
      <c r="AJ1149">
        <v>30</v>
      </c>
      <c r="AK1149">
        <v>60</v>
      </c>
      <c r="AL1149">
        <v>320</v>
      </c>
      <c r="AM1149">
        <v>70</v>
      </c>
      <c r="AN1149">
        <v>0</v>
      </c>
      <c r="AO1149">
        <v>70</v>
      </c>
      <c r="AP1149" t="s">
        <v>69</v>
      </c>
      <c r="AT1149" t="s">
        <v>240</v>
      </c>
      <c r="AU1149" t="s">
        <v>240</v>
      </c>
      <c r="AV1149" t="s">
        <v>3190</v>
      </c>
      <c r="AW1149" t="s">
        <v>69</v>
      </c>
      <c r="AX1149" t="s">
        <v>218</v>
      </c>
      <c r="AY1149" t="s">
        <v>3191</v>
      </c>
      <c r="AZ1149" t="s">
        <v>243</v>
      </c>
      <c r="BA1149" t="s">
        <v>245</v>
      </c>
      <c r="BB1149" t="s">
        <v>244</v>
      </c>
      <c r="BC1149" t="s">
        <v>244</v>
      </c>
      <c r="BD1149" t="s">
        <v>3194</v>
      </c>
      <c r="BE1149" t="s">
        <v>3521</v>
      </c>
      <c r="BF1149" t="s">
        <v>291</v>
      </c>
      <c r="BG1149" t="s">
        <v>150</v>
      </c>
      <c r="BH1149" t="str">
        <f>IF(COUNTIF(工作表1!A:A, $C1149)&gt;0, "預購款", "非預購款")</f>
        <v>非預購款</v>
      </c>
    </row>
    <row r="1150" spans="1:60" x14ac:dyDescent="0.25">
      <c r="A1150" t="s">
        <v>3182</v>
      </c>
      <c r="B1150" t="s">
        <v>226</v>
      </c>
      <c r="C1150" t="s">
        <v>3183</v>
      </c>
      <c r="D1150" t="s">
        <v>3184</v>
      </c>
      <c r="E1150" t="s">
        <v>3185</v>
      </c>
      <c r="F1150" t="s">
        <v>183</v>
      </c>
      <c r="G1150" t="s">
        <v>3186</v>
      </c>
      <c r="H1150" t="s">
        <v>132</v>
      </c>
      <c r="I1150" t="s">
        <v>3187</v>
      </c>
      <c r="J1150" t="s">
        <v>3188</v>
      </c>
      <c r="K1150" t="s">
        <v>69</v>
      </c>
      <c r="L1150" t="s">
        <v>3189</v>
      </c>
      <c r="M1150" t="s">
        <v>71</v>
      </c>
      <c r="N1150" t="s">
        <v>198</v>
      </c>
      <c r="O1150" t="s">
        <v>3146</v>
      </c>
      <c r="P1150" t="s">
        <v>3147</v>
      </c>
      <c r="R1150" t="s">
        <v>3148</v>
      </c>
      <c r="S1150" t="s">
        <v>2257</v>
      </c>
      <c r="T1150" t="s">
        <v>291</v>
      </c>
      <c r="U1150" t="s">
        <v>104</v>
      </c>
      <c r="V1150" t="s">
        <v>1936</v>
      </c>
      <c r="W1150">
        <v>590</v>
      </c>
      <c r="X1150">
        <v>29.99</v>
      </c>
      <c r="Y1150">
        <v>75</v>
      </c>
      <c r="Z1150">
        <v>429000</v>
      </c>
      <c r="AA1150">
        <v>188800</v>
      </c>
      <c r="AB1150">
        <v>200</v>
      </c>
      <c r="AD1150" t="s">
        <v>238</v>
      </c>
      <c r="AE1150">
        <v>2</v>
      </c>
      <c r="AF1150">
        <v>0</v>
      </c>
      <c r="AI1150">
        <v>20</v>
      </c>
      <c r="AJ1150">
        <v>10</v>
      </c>
      <c r="AK1150">
        <v>30</v>
      </c>
      <c r="AL1150">
        <v>320</v>
      </c>
      <c r="AM1150">
        <v>40</v>
      </c>
      <c r="AN1150">
        <v>0</v>
      </c>
      <c r="AO1150">
        <v>40</v>
      </c>
      <c r="AP1150" t="s">
        <v>69</v>
      </c>
      <c r="AT1150" t="s">
        <v>240</v>
      </c>
      <c r="AU1150" t="s">
        <v>240</v>
      </c>
      <c r="AV1150" t="s">
        <v>3190</v>
      </c>
      <c r="AW1150" t="s">
        <v>69</v>
      </c>
      <c r="AX1150" t="s">
        <v>218</v>
      </c>
      <c r="AY1150" t="s">
        <v>3191</v>
      </c>
      <c r="AZ1150" t="s">
        <v>243</v>
      </c>
      <c r="BA1150" t="s">
        <v>245</v>
      </c>
      <c r="BB1150" t="s">
        <v>244</v>
      </c>
      <c r="BC1150" t="s">
        <v>244</v>
      </c>
      <c r="BD1150" t="s">
        <v>3195</v>
      </c>
      <c r="BE1150" t="s">
        <v>3521</v>
      </c>
      <c r="BF1150" t="s">
        <v>291</v>
      </c>
      <c r="BG1150" t="s">
        <v>150</v>
      </c>
      <c r="BH1150" t="str">
        <f>IF(COUNTIF(工作表1!A:A, $C1150)&gt;0, "預購款", "非預購款")</f>
        <v>非預購款</v>
      </c>
    </row>
    <row r="1151" spans="1:60" x14ac:dyDescent="0.25">
      <c r="A1151" t="s">
        <v>3524</v>
      </c>
      <c r="B1151" t="s">
        <v>301</v>
      </c>
      <c r="C1151" t="s">
        <v>3525</v>
      </c>
      <c r="D1151" t="s">
        <v>3526</v>
      </c>
      <c r="E1151" t="s">
        <v>3527</v>
      </c>
      <c r="F1151" t="s">
        <v>183</v>
      </c>
      <c r="G1151" t="s">
        <v>3528</v>
      </c>
      <c r="H1151" t="s">
        <v>119</v>
      </c>
      <c r="I1151" t="s">
        <v>97</v>
      </c>
      <c r="J1151" t="s">
        <v>98</v>
      </c>
      <c r="K1151" t="s">
        <v>69</v>
      </c>
      <c r="L1151" t="s">
        <v>3529</v>
      </c>
      <c r="M1151" t="s">
        <v>71</v>
      </c>
      <c r="N1151" t="s">
        <v>198</v>
      </c>
      <c r="O1151" t="s">
        <v>3439</v>
      </c>
      <c r="P1151" t="s">
        <v>3440</v>
      </c>
      <c r="R1151" t="s">
        <v>1095</v>
      </c>
      <c r="S1151" t="s">
        <v>2257</v>
      </c>
      <c r="T1151" t="s">
        <v>76</v>
      </c>
      <c r="U1151" t="s">
        <v>150</v>
      </c>
      <c r="V1151" t="s">
        <v>3530</v>
      </c>
      <c r="W1151">
        <v>690</v>
      </c>
      <c r="X1151">
        <v>29.99</v>
      </c>
      <c r="Y1151">
        <v>89</v>
      </c>
      <c r="Z1151">
        <v>499000</v>
      </c>
      <c r="AA1151">
        <v>138000</v>
      </c>
      <c r="AB1151">
        <v>176</v>
      </c>
      <c r="AD1151" t="s">
        <v>238</v>
      </c>
      <c r="AE1151">
        <v>1</v>
      </c>
      <c r="AF1151">
        <v>0</v>
      </c>
      <c r="AI1151">
        <v>40</v>
      </c>
      <c r="AJ1151">
        <v>60</v>
      </c>
      <c r="AK1151">
        <v>100</v>
      </c>
      <c r="AL1151">
        <v>200</v>
      </c>
      <c r="AM1151">
        <v>110</v>
      </c>
      <c r="AN1151">
        <v>0</v>
      </c>
      <c r="AO1151">
        <v>110</v>
      </c>
      <c r="AP1151" t="s">
        <v>80</v>
      </c>
      <c r="AQ1151" t="s">
        <v>190</v>
      </c>
      <c r="AR1151" t="s">
        <v>86</v>
      </c>
      <c r="AT1151" t="s">
        <v>86</v>
      </c>
      <c r="AU1151" t="s">
        <v>261</v>
      </c>
      <c r="AV1151" t="s">
        <v>1033</v>
      </c>
      <c r="AW1151" t="s">
        <v>69</v>
      </c>
      <c r="AX1151" t="s">
        <v>218</v>
      </c>
      <c r="AY1151" t="s">
        <v>3531</v>
      </c>
      <c r="AZ1151" t="s">
        <v>310</v>
      </c>
      <c r="BA1151" t="s">
        <v>244</v>
      </c>
      <c r="BB1151" t="s">
        <v>244</v>
      </c>
      <c r="BC1151" t="s">
        <v>244</v>
      </c>
      <c r="BD1151" t="s">
        <v>3532</v>
      </c>
      <c r="BE1151" t="s">
        <v>3533</v>
      </c>
      <c r="BF1151" t="s">
        <v>786</v>
      </c>
      <c r="BG1151" t="s">
        <v>87</v>
      </c>
      <c r="BH1151" t="str">
        <f>IF(COUNTIF(工作表1!A:A, $C1151)&gt;0, "預購款", "非預購款")</f>
        <v>非預購款</v>
      </c>
    </row>
    <row r="1152" spans="1:60" x14ac:dyDescent="0.25">
      <c r="A1152" t="s">
        <v>3524</v>
      </c>
      <c r="B1152" t="s">
        <v>301</v>
      </c>
      <c r="C1152" t="s">
        <v>3525</v>
      </c>
      <c r="D1152" t="s">
        <v>3526</v>
      </c>
      <c r="E1152" t="s">
        <v>3527</v>
      </c>
      <c r="F1152" t="s">
        <v>183</v>
      </c>
      <c r="G1152" t="s">
        <v>3528</v>
      </c>
      <c r="H1152" t="s">
        <v>130</v>
      </c>
      <c r="I1152" t="s">
        <v>97</v>
      </c>
      <c r="J1152" t="s">
        <v>98</v>
      </c>
      <c r="K1152" t="s">
        <v>69</v>
      </c>
      <c r="L1152" t="s">
        <v>3529</v>
      </c>
      <c r="M1152" t="s">
        <v>71</v>
      </c>
      <c r="N1152" t="s">
        <v>198</v>
      </c>
      <c r="O1152" t="s">
        <v>3439</v>
      </c>
      <c r="P1152" t="s">
        <v>3440</v>
      </c>
      <c r="R1152" t="s">
        <v>1095</v>
      </c>
      <c r="S1152" t="s">
        <v>2257</v>
      </c>
      <c r="T1152" t="s">
        <v>76</v>
      </c>
      <c r="U1152" t="s">
        <v>150</v>
      </c>
      <c r="V1152" t="s">
        <v>3530</v>
      </c>
      <c r="W1152">
        <v>690</v>
      </c>
      <c r="X1152">
        <v>29.99</v>
      </c>
      <c r="Y1152">
        <v>89</v>
      </c>
      <c r="Z1152">
        <v>499000</v>
      </c>
      <c r="AA1152">
        <v>138000</v>
      </c>
      <c r="AB1152">
        <v>176</v>
      </c>
      <c r="AD1152" t="s">
        <v>238</v>
      </c>
      <c r="AE1152">
        <v>1</v>
      </c>
      <c r="AF1152">
        <v>0</v>
      </c>
      <c r="AI1152">
        <v>30</v>
      </c>
      <c r="AJ1152">
        <v>70</v>
      </c>
      <c r="AK1152">
        <v>100</v>
      </c>
      <c r="AL1152">
        <v>200</v>
      </c>
      <c r="AM1152">
        <v>106</v>
      </c>
      <c r="AN1152">
        <v>0</v>
      </c>
      <c r="AO1152">
        <v>106</v>
      </c>
      <c r="AP1152" t="s">
        <v>80</v>
      </c>
      <c r="AQ1152" t="s">
        <v>190</v>
      </c>
      <c r="AR1152" t="s">
        <v>86</v>
      </c>
      <c r="AT1152" t="s">
        <v>86</v>
      </c>
      <c r="AU1152" t="s">
        <v>261</v>
      </c>
      <c r="AV1152" t="s">
        <v>1033</v>
      </c>
      <c r="AW1152" t="s">
        <v>69</v>
      </c>
      <c r="AX1152" t="s">
        <v>218</v>
      </c>
      <c r="AY1152" t="s">
        <v>3531</v>
      </c>
      <c r="AZ1152" t="s">
        <v>310</v>
      </c>
      <c r="BA1152" t="s">
        <v>244</v>
      </c>
      <c r="BB1152" t="s">
        <v>244</v>
      </c>
      <c r="BC1152" t="s">
        <v>244</v>
      </c>
      <c r="BD1152" t="s">
        <v>3534</v>
      </c>
      <c r="BE1152" t="s">
        <v>3533</v>
      </c>
      <c r="BF1152" t="s">
        <v>786</v>
      </c>
      <c r="BG1152" t="s">
        <v>87</v>
      </c>
      <c r="BH1152" t="str">
        <f>IF(COUNTIF(工作表1!A:A, $C1152)&gt;0, "預購款", "非預購款")</f>
        <v>非預購款</v>
      </c>
    </row>
    <row r="1153" spans="1:60" x14ac:dyDescent="0.25">
      <c r="A1153" t="s">
        <v>3535</v>
      </c>
      <c r="B1153" t="s">
        <v>301</v>
      </c>
      <c r="C1153" t="s">
        <v>3536</v>
      </c>
      <c r="D1153" t="s">
        <v>3537</v>
      </c>
      <c r="E1153" t="s">
        <v>3538</v>
      </c>
      <c r="F1153" t="s">
        <v>183</v>
      </c>
      <c r="G1153" t="s">
        <v>3539</v>
      </c>
      <c r="H1153" t="s">
        <v>119</v>
      </c>
      <c r="I1153" t="s">
        <v>97</v>
      </c>
      <c r="J1153" t="s">
        <v>98</v>
      </c>
      <c r="K1153" t="s">
        <v>69</v>
      </c>
      <c r="L1153" t="s">
        <v>3540</v>
      </c>
      <c r="M1153" t="s">
        <v>71</v>
      </c>
      <c r="N1153" t="s">
        <v>198</v>
      </c>
      <c r="O1153" t="s">
        <v>3439</v>
      </c>
      <c r="P1153" t="s">
        <v>3440</v>
      </c>
      <c r="R1153" t="s">
        <v>1095</v>
      </c>
      <c r="S1153" t="s">
        <v>2257</v>
      </c>
      <c r="T1153" t="s">
        <v>258</v>
      </c>
      <c r="U1153" t="s">
        <v>104</v>
      </c>
      <c r="V1153" t="s">
        <v>1848</v>
      </c>
      <c r="W1153">
        <v>890</v>
      </c>
      <c r="X1153">
        <v>39.99</v>
      </c>
      <c r="Y1153">
        <v>115</v>
      </c>
      <c r="Z1153">
        <v>639000</v>
      </c>
      <c r="AA1153">
        <v>338200</v>
      </c>
      <c r="AB1153">
        <v>330</v>
      </c>
      <c r="AD1153" t="s">
        <v>238</v>
      </c>
      <c r="AE1153">
        <v>2</v>
      </c>
      <c r="AF1153">
        <v>0</v>
      </c>
      <c r="AI1153">
        <v>0</v>
      </c>
      <c r="AJ1153">
        <v>45</v>
      </c>
      <c r="AK1153">
        <v>45</v>
      </c>
      <c r="AL1153">
        <v>380</v>
      </c>
      <c r="AM1153">
        <v>55</v>
      </c>
      <c r="AN1153">
        <v>0</v>
      </c>
      <c r="AO1153">
        <v>55</v>
      </c>
      <c r="AP1153" t="s">
        <v>80</v>
      </c>
      <c r="AQ1153" t="s">
        <v>190</v>
      </c>
      <c r="AR1153" t="s">
        <v>86</v>
      </c>
      <c r="AS1153" t="s">
        <v>86</v>
      </c>
      <c r="AT1153" t="s">
        <v>86</v>
      </c>
      <c r="AU1153" t="s">
        <v>86</v>
      </c>
      <c r="AV1153" t="s">
        <v>81</v>
      </c>
      <c r="AW1153" t="s">
        <v>69</v>
      </c>
      <c r="AX1153" t="s">
        <v>262</v>
      </c>
      <c r="AY1153" t="s">
        <v>3473</v>
      </c>
      <c r="AZ1153" t="s">
        <v>264</v>
      </c>
      <c r="BA1153" t="s">
        <v>245</v>
      </c>
      <c r="BB1153" t="s">
        <v>245</v>
      </c>
      <c r="BC1153" t="s">
        <v>244</v>
      </c>
      <c r="BD1153" t="s">
        <v>3541</v>
      </c>
      <c r="BE1153" t="s">
        <v>3542</v>
      </c>
      <c r="BF1153" t="s">
        <v>240</v>
      </c>
      <c r="BG1153" t="s">
        <v>110</v>
      </c>
      <c r="BH1153" t="str">
        <f>IF(COUNTIF(工作表1!A:A, $C1153)&gt;0, "預購款", "非預購款")</f>
        <v>非預購款</v>
      </c>
    </row>
    <row r="1154" spans="1:60" x14ac:dyDescent="0.25">
      <c r="A1154" t="s">
        <v>3535</v>
      </c>
      <c r="B1154" t="s">
        <v>301</v>
      </c>
      <c r="C1154" t="s">
        <v>3536</v>
      </c>
      <c r="D1154" t="s">
        <v>3537</v>
      </c>
      <c r="E1154" t="s">
        <v>3538</v>
      </c>
      <c r="F1154" t="s">
        <v>183</v>
      </c>
      <c r="G1154" t="s">
        <v>3539</v>
      </c>
      <c r="H1154" t="s">
        <v>130</v>
      </c>
      <c r="I1154" t="s">
        <v>97</v>
      </c>
      <c r="J1154" t="s">
        <v>98</v>
      </c>
      <c r="K1154" t="s">
        <v>69</v>
      </c>
      <c r="L1154" t="s">
        <v>3540</v>
      </c>
      <c r="M1154" t="s">
        <v>71</v>
      </c>
      <c r="N1154" t="s">
        <v>198</v>
      </c>
      <c r="O1154" t="s">
        <v>3439</v>
      </c>
      <c r="P1154" t="s">
        <v>3440</v>
      </c>
      <c r="R1154" t="s">
        <v>1095</v>
      </c>
      <c r="S1154" t="s">
        <v>2257</v>
      </c>
      <c r="T1154" t="s">
        <v>258</v>
      </c>
      <c r="U1154" t="s">
        <v>104</v>
      </c>
      <c r="V1154" t="s">
        <v>1848</v>
      </c>
      <c r="W1154">
        <v>890</v>
      </c>
      <c r="X1154">
        <v>39.99</v>
      </c>
      <c r="Y1154">
        <v>115</v>
      </c>
      <c r="Z1154">
        <v>639000</v>
      </c>
      <c r="AA1154">
        <v>338200</v>
      </c>
      <c r="AB1154">
        <v>330</v>
      </c>
      <c r="AD1154" t="s">
        <v>238</v>
      </c>
      <c r="AE1154">
        <v>2</v>
      </c>
      <c r="AF1154">
        <v>0</v>
      </c>
      <c r="AI1154">
        <v>10</v>
      </c>
      <c r="AJ1154">
        <v>40</v>
      </c>
      <c r="AK1154">
        <v>50</v>
      </c>
      <c r="AL1154">
        <v>380</v>
      </c>
      <c r="AM1154">
        <v>60</v>
      </c>
      <c r="AN1154">
        <v>0</v>
      </c>
      <c r="AO1154">
        <v>60</v>
      </c>
      <c r="AP1154" t="s">
        <v>80</v>
      </c>
      <c r="AQ1154" t="s">
        <v>190</v>
      </c>
      <c r="AR1154" t="s">
        <v>86</v>
      </c>
      <c r="AS1154" t="s">
        <v>86</v>
      </c>
      <c r="AT1154" t="s">
        <v>86</v>
      </c>
      <c r="AU1154" t="s">
        <v>86</v>
      </c>
      <c r="AV1154" t="s">
        <v>81</v>
      </c>
      <c r="AW1154" t="s">
        <v>69</v>
      </c>
      <c r="AX1154" t="s">
        <v>262</v>
      </c>
      <c r="AY1154" t="s">
        <v>3473</v>
      </c>
      <c r="AZ1154" t="s">
        <v>264</v>
      </c>
      <c r="BA1154" t="s">
        <v>245</v>
      </c>
      <c r="BB1154" t="s">
        <v>245</v>
      </c>
      <c r="BC1154" t="s">
        <v>244</v>
      </c>
      <c r="BD1154" t="s">
        <v>3543</v>
      </c>
      <c r="BE1154" t="s">
        <v>3542</v>
      </c>
      <c r="BF1154" t="s">
        <v>240</v>
      </c>
      <c r="BG1154" t="s">
        <v>110</v>
      </c>
      <c r="BH1154" t="str">
        <f>IF(COUNTIF(工作表1!A:A, $C1154)&gt;0, "預購款", "非預購款")</f>
        <v>非預購款</v>
      </c>
    </row>
    <row r="1155" spans="1:60" x14ac:dyDescent="0.25">
      <c r="A1155" t="s">
        <v>3535</v>
      </c>
      <c r="B1155" t="s">
        <v>301</v>
      </c>
      <c r="C1155" t="s">
        <v>3536</v>
      </c>
      <c r="D1155" t="s">
        <v>3537</v>
      </c>
      <c r="E1155" t="s">
        <v>3538</v>
      </c>
      <c r="F1155" t="s">
        <v>183</v>
      </c>
      <c r="G1155" t="s">
        <v>3539</v>
      </c>
      <c r="H1155" t="s">
        <v>132</v>
      </c>
      <c r="I1155" t="s">
        <v>97</v>
      </c>
      <c r="J1155" t="s">
        <v>98</v>
      </c>
      <c r="K1155" t="s">
        <v>69</v>
      </c>
      <c r="L1155" t="s">
        <v>3540</v>
      </c>
      <c r="M1155" t="s">
        <v>71</v>
      </c>
      <c r="N1155" t="s">
        <v>198</v>
      </c>
      <c r="O1155" t="s">
        <v>3439</v>
      </c>
      <c r="P1155" t="s">
        <v>3440</v>
      </c>
      <c r="R1155" t="s">
        <v>1095</v>
      </c>
      <c r="S1155" t="s">
        <v>2257</v>
      </c>
      <c r="T1155" t="s">
        <v>258</v>
      </c>
      <c r="U1155" t="s">
        <v>104</v>
      </c>
      <c r="V1155" t="s">
        <v>1848</v>
      </c>
      <c r="W1155">
        <v>890</v>
      </c>
      <c r="X1155">
        <v>39.99</v>
      </c>
      <c r="Y1155">
        <v>115</v>
      </c>
      <c r="Z1155">
        <v>639000</v>
      </c>
      <c r="AA1155">
        <v>338200</v>
      </c>
      <c r="AB1155">
        <v>330</v>
      </c>
      <c r="AD1155" t="s">
        <v>238</v>
      </c>
      <c r="AE1155">
        <v>2</v>
      </c>
      <c r="AF1155">
        <v>0</v>
      </c>
      <c r="AI1155">
        <v>10</v>
      </c>
      <c r="AJ1155">
        <v>45</v>
      </c>
      <c r="AK1155">
        <v>55</v>
      </c>
      <c r="AL1155">
        <v>380</v>
      </c>
      <c r="AM1155">
        <v>65</v>
      </c>
      <c r="AN1155">
        <v>0</v>
      </c>
      <c r="AO1155">
        <v>65</v>
      </c>
      <c r="AP1155" t="s">
        <v>80</v>
      </c>
      <c r="AQ1155" t="s">
        <v>190</v>
      </c>
      <c r="AR1155" t="s">
        <v>86</v>
      </c>
      <c r="AS1155" t="s">
        <v>86</v>
      </c>
      <c r="AT1155" t="s">
        <v>86</v>
      </c>
      <c r="AU1155" t="s">
        <v>86</v>
      </c>
      <c r="AV1155" t="s">
        <v>81</v>
      </c>
      <c r="AW1155" t="s">
        <v>69</v>
      </c>
      <c r="AX1155" t="s">
        <v>262</v>
      </c>
      <c r="AY1155" t="s">
        <v>3473</v>
      </c>
      <c r="AZ1155" t="s">
        <v>264</v>
      </c>
      <c r="BA1155" t="s">
        <v>245</v>
      </c>
      <c r="BB1155" t="s">
        <v>245</v>
      </c>
      <c r="BC1155" t="s">
        <v>244</v>
      </c>
      <c r="BD1155" t="s">
        <v>3544</v>
      </c>
      <c r="BE1155" t="s">
        <v>3542</v>
      </c>
      <c r="BF1155" t="s">
        <v>240</v>
      </c>
      <c r="BG1155" t="s">
        <v>110</v>
      </c>
      <c r="BH1155" t="str">
        <f>IF(COUNTIF(工作表1!A:A, $C1155)&gt;0, "預購款", "非預購款")</f>
        <v>非預購款</v>
      </c>
    </row>
    <row r="1156" spans="1:60" x14ac:dyDescent="0.25">
      <c r="A1156" t="s">
        <v>3535</v>
      </c>
      <c r="B1156" t="s">
        <v>301</v>
      </c>
      <c r="C1156" t="s">
        <v>3536</v>
      </c>
      <c r="D1156" t="s">
        <v>3537</v>
      </c>
      <c r="E1156" t="s">
        <v>3538</v>
      </c>
      <c r="F1156" t="s">
        <v>183</v>
      </c>
      <c r="G1156" t="s">
        <v>3539</v>
      </c>
      <c r="H1156" t="s">
        <v>119</v>
      </c>
      <c r="I1156" t="s">
        <v>88</v>
      </c>
      <c r="J1156" t="s">
        <v>89</v>
      </c>
      <c r="K1156" t="s">
        <v>69</v>
      </c>
      <c r="L1156" t="s">
        <v>3540</v>
      </c>
      <c r="M1156" t="s">
        <v>71</v>
      </c>
      <c r="N1156" t="s">
        <v>198</v>
      </c>
      <c r="O1156" t="s">
        <v>3439</v>
      </c>
      <c r="P1156" t="s">
        <v>3440</v>
      </c>
      <c r="R1156" t="s">
        <v>1095</v>
      </c>
      <c r="S1156" t="s">
        <v>2257</v>
      </c>
      <c r="T1156" t="s">
        <v>258</v>
      </c>
      <c r="U1156" t="s">
        <v>104</v>
      </c>
      <c r="V1156" t="s">
        <v>1848</v>
      </c>
      <c r="W1156">
        <v>890</v>
      </c>
      <c r="X1156">
        <v>39.99</v>
      </c>
      <c r="Y1156">
        <v>115</v>
      </c>
      <c r="Z1156">
        <v>639000</v>
      </c>
      <c r="AA1156">
        <v>338200</v>
      </c>
      <c r="AB1156">
        <v>330</v>
      </c>
      <c r="AD1156" t="s">
        <v>238</v>
      </c>
      <c r="AE1156">
        <v>2</v>
      </c>
      <c r="AF1156">
        <v>0</v>
      </c>
      <c r="AI1156">
        <v>25</v>
      </c>
      <c r="AJ1156">
        <v>50</v>
      </c>
      <c r="AK1156">
        <v>75</v>
      </c>
      <c r="AL1156">
        <v>380</v>
      </c>
      <c r="AM1156">
        <v>75</v>
      </c>
      <c r="AN1156">
        <v>0</v>
      </c>
      <c r="AO1156">
        <v>75</v>
      </c>
      <c r="AP1156" t="s">
        <v>80</v>
      </c>
      <c r="AQ1156" t="s">
        <v>190</v>
      </c>
      <c r="AR1156" t="s">
        <v>86</v>
      </c>
      <c r="AS1156" t="s">
        <v>86</v>
      </c>
      <c r="AT1156" t="s">
        <v>86</v>
      </c>
      <c r="AU1156" t="s">
        <v>86</v>
      </c>
      <c r="AV1156" t="s">
        <v>81</v>
      </c>
      <c r="AW1156" t="s">
        <v>69</v>
      </c>
      <c r="AX1156" t="s">
        <v>262</v>
      </c>
      <c r="AY1156" t="s">
        <v>3473</v>
      </c>
      <c r="AZ1156" t="s">
        <v>264</v>
      </c>
      <c r="BA1156" t="s">
        <v>245</v>
      </c>
      <c r="BB1156" t="s">
        <v>245</v>
      </c>
      <c r="BC1156" t="s">
        <v>244</v>
      </c>
      <c r="BD1156" t="s">
        <v>3545</v>
      </c>
      <c r="BE1156" t="s">
        <v>3542</v>
      </c>
      <c r="BF1156" t="s">
        <v>240</v>
      </c>
      <c r="BG1156" t="s">
        <v>110</v>
      </c>
      <c r="BH1156" t="str">
        <f>IF(COUNTIF(工作表1!A:A, $C1156)&gt;0, "預購款", "非預購款")</f>
        <v>非預購款</v>
      </c>
    </row>
    <row r="1157" spans="1:60" x14ac:dyDescent="0.25">
      <c r="A1157" t="s">
        <v>3535</v>
      </c>
      <c r="B1157" t="s">
        <v>301</v>
      </c>
      <c r="C1157" t="s">
        <v>3536</v>
      </c>
      <c r="D1157" t="s">
        <v>3537</v>
      </c>
      <c r="E1157" t="s">
        <v>3538</v>
      </c>
      <c r="F1157" t="s">
        <v>183</v>
      </c>
      <c r="G1157" t="s">
        <v>3539</v>
      </c>
      <c r="H1157" t="s">
        <v>130</v>
      </c>
      <c r="I1157" t="s">
        <v>88</v>
      </c>
      <c r="J1157" t="s">
        <v>89</v>
      </c>
      <c r="K1157" t="s">
        <v>69</v>
      </c>
      <c r="L1157" t="s">
        <v>3540</v>
      </c>
      <c r="M1157" t="s">
        <v>71</v>
      </c>
      <c r="N1157" t="s">
        <v>198</v>
      </c>
      <c r="O1157" t="s">
        <v>3439</v>
      </c>
      <c r="P1157" t="s">
        <v>3440</v>
      </c>
      <c r="R1157" t="s">
        <v>1095</v>
      </c>
      <c r="S1157" t="s">
        <v>2257</v>
      </c>
      <c r="T1157" t="s">
        <v>258</v>
      </c>
      <c r="U1157" t="s">
        <v>104</v>
      </c>
      <c r="V1157" t="s">
        <v>1848</v>
      </c>
      <c r="W1157">
        <v>890</v>
      </c>
      <c r="X1157">
        <v>39.99</v>
      </c>
      <c r="Y1157">
        <v>115</v>
      </c>
      <c r="Z1157">
        <v>639000</v>
      </c>
      <c r="AA1157">
        <v>338200</v>
      </c>
      <c r="AB1157">
        <v>330</v>
      </c>
      <c r="AD1157" t="s">
        <v>238</v>
      </c>
      <c r="AE1157">
        <v>2</v>
      </c>
      <c r="AF1157">
        <v>0</v>
      </c>
      <c r="AI1157">
        <v>15</v>
      </c>
      <c r="AJ1157">
        <v>90</v>
      </c>
      <c r="AK1157">
        <v>105</v>
      </c>
      <c r="AL1157">
        <v>380</v>
      </c>
      <c r="AM1157">
        <v>105</v>
      </c>
      <c r="AN1157">
        <v>0</v>
      </c>
      <c r="AO1157">
        <v>105</v>
      </c>
      <c r="AP1157" t="s">
        <v>80</v>
      </c>
      <c r="AQ1157" t="s">
        <v>190</v>
      </c>
      <c r="AR1157" t="s">
        <v>86</v>
      </c>
      <c r="AS1157" t="s">
        <v>86</v>
      </c>
      <c r="AT1157" t="s">
        <v>86</v>
      </c>
      <c r="AU1157" t="s">
        <v>86</v>
      </c>
      <c r="AV1157" t="s">
        <v>81</v>
      </c>
      <c r="AW1157" t="s">
        <v>69</v>
      </c>
      <c r="AX1157" t="s">
        <v>262</v>
      </c>
      <c r="AY1157" t="s">
        <v>3473</v>
      </c>
      <c r="AZ1157" t="s">
        <v>264</v>
      </c>
      <c r="BA1157" t="s">
        <v>245</v>
      </c>
      <c r="BB1157" t="s">
        <v>245</v>
      </c>
      <c r="BC1157" t="s">
        <v>244</v>
      </c>
      <c r="BD1157" t="s">
        <v>3546</v>
      </c>
      <c r="BE1157" t="s">
        <v>3542</v>
      </c>
      <c r="BF1157" t="s">
        <v>240</v>
      </c>
      <c r="BG1157" t="s">
        <v>110</v>
      </c>
      <c r="BH1157" t="str">
        <f>IF(COUNTIF(工作表1!A:A, $C1157)&gt;0, "預購款", "非預購款")</f>
        <v>非預購款</v>
      </c>
    </row>
    <row r="1158" spans="1:60" x14ac:dyDescent="0.25">
      <c r="A1158" t="s">
        <v>3535</v>
      </c>
      <c r="B1158" t="s">
        <v>301</v>
      </c>
      <c r="C1158" t="s">
        <v>3536</v>
      </c>
      <c r="D1158" t="s">
        <v>3537</v>
      </c>
      <c r="E1158" t="s">
        <v>3538</v>
      </c>
      <c r="F1158" t="s">
        <v>183</v>
      </c>
      <c r="G1158" t="s">
        <v>3539</v>
      </c>
      <c r="H1158" t="s">
        <v>132</v>
      </c>
      <c r="I1158" t="s">
        <v>88</v>
      </c>
      <c r="J1158" t="s">
        <v>89</v>
      </c>
      <c r="K1158" t="s">
        <v>69</v>
      </c>
      <c r="L1158" t="s">
        <v>3540</v>
      </c>
      <c r="M1158" t="s">
        <v>71</v>
      </c>
      <c r="N1158" t="s">
        <v>198</v>
      </c>
      <c r="O1158" t="s">
        <v>3439</v>
      </c>
      <c r="P1158" t="s">
        <v>3440</v>
      </c>
      <c r="R1158" t="s">
        <v>1095</v>
      </c>
      <c r="S1158" t="s">
        <v>2257</v>
      </c>
      <c r="T1158" t="s">
        <v>258</v>
      </c>
      <c r="U1158" t="s">
        <v>104</v>
      </c>
      <c r="V1158" t="s">
        <v>1848</v>
      </c>
      <c r="W1158">
        <v>890</v>
      </c>
      <c r="X1158">
        <v>39.99</v>
      </c>
      <c r="Y1158">
        <v>115</v>
      </c>
      <c r="Z1158">
        <v>639000</v>
      </c>
      <c r="AA1158">
        <v>338200</v>
      </c>
      <c r="AB1158">
        <v>330</v>
      </c>
      <c r="AD1158" t="s">
        <v>238</v>
      </c>
      <c r="AE1158">
        <v>2</v>
      </c>
      <c r="AF1158">
        <v>0</v>
      </c>
      <c r="AI1158">
        <v>10</v>
      </c>
      <c r="AJ1158">
        <v>40</v>
      </c>
      <c r="AK1158">
        <v>50</v>
      </c>
      <c r="AL1158">
        <v>380</v>
      </c>
      <c r="AM1158">
        <v>50</v>
      </c>
      <c r="AN1158">
        <v>0</v>
      </c>
      <c r="AO1158">
        <v>50</v>
      </c>
      <c r="AP1158" t="s">
        <v>80</v>
      </c>
      <c r="AQ1158" t="s">
        <v>190</v>
      </c>
      <c r="AR1158" t="s">
        <v>86</v>
      </c>
      <c r="AS1158" t="s">
        <v>86</v>
      </c>
      <c r="AT1158" t="s">
        <v>86</v>
      </c>
      <c r="AU1158" t="s">
        <v>86</v>
      </c>
      <c r="AV1158" t="s">
        <v>81</v>
      </c>
      <c r="AW1158" t="s">
        <v>69</v>
      </c>
      <c r="AX1158" t="s">
        <v>262</v>
      </c>
      <c r="AY1158" t="s">
        <v>3473</v>
      </c>
      <c r="AZ1158" t="s">
        <v>264</v>
      </c>
      <c r="BA1158" t="s">
        <v>245</v>
      </c>
      <c r="BB1158" t="s">
        <v>245</v>
      </c>
      <c r="BC1158" t="s">
        <v>244</v>
      </c>
      <c r="BD1158" t="s">
        <v>3547</v>
      </c>
      <c r="BE1158" t="s">
        <v>3542</v>
      </c>
      <c r="BF1158" t="s">
        <v>240</v>
      </c>
      <c r="BG1158" t="s">
        <v>110</v>
      </c>
      <c r="BH1158" t="str">
        <f>IF(COUNTIF(工作表1!A:A, $C1158)&gt;0, "預購款", "非預購款")</f>
        <v>非預購款</v>
      </c>
    </row>
    <row r="1159" spans="1:60" x14ac:dyDescent="0.25">
      <c r="A1159" t="s">
        <v>3548</v>
      </c>
      <c r="B1159" t="s">
        <v>301</v>
      </c>
      <c r="C1159" t="s">
        <v>3549</v>
      </c>
      <c r="D1159" t="s">
        <v>3550</v>
      </c>
      <c r="E1159" t="s">
        <v>3551</v>
      </c>
      <c r="F1159" t="s">
        <v>183</v>
      </c>
      <c r="G1159" t="s">
        <v>3552</v>
      </c>
      <c r="H1159" t="s">
        <v>119</v>
      </c>
      <c r="I1159" t="s">
        <v>97</v>
      </c>
      <c r="J1159" t="s">
        <v>98</v>
      </c>
      <c r="K1159" t="s">
        <v>69</v>
      </c>
      <c r="L1159" t="s">
        <v>3553</v>
      </c>
      <c r="M1159" t="s">
        <v>71</v>
      </c>
      <c r="N1159" t="s">
        <v>198</v>
      </c>
      <c r="O1159" t="s">
        <v>3439</v>
      </c>
      <c r="P1159" t="s">
        <v>3440</v>
      </c>
      <c r="R1159" t="s">
        <v>1095</v>
      </c>
      <c r="S1159" t="s">
        <v>2257</v>
      </c>
      <c r="T1159" t="s">
        <v>258</v>
      </c>
      <c r="U1159" t="s">
        <v>146</v>
      </c>
      <c r="V1159" t="s">
        <v>124</v>
      </c>
      <c r="W1159">
        <v>790</v>
      </c>
      <c r="X1159">
        <v>34.99</v>
      </c>
      <c r="Y1159">
        <v>99</v>
      </c>
      <c r="Z1159">
        <v>569000</v>
      </c>
      <c r="AA1159">
        <v>367350</v>
      </c>
      <c r="AB1159">
        <v>275</v>
      </c>
      <c r="AD1159" t="s">
        <v>238</v>
      </c>
      <c r="AE1159">
        <v>2</v>
      </c>
      <c r="AF1159">
        <v>0</v>
      </c>
      <c r="AI1159">
        <v>15</v>
      </c>
      <c r="AJ1159">
        <v>70</v>
      </c>
      <c r="AK1159">
        <v>85</v>
      </c>
      <c r="AL1159">
        <v>465</v>
      </c>
      <c r="AM1159">
        <v>94</v>
      </c>
      <c r="AN1159">
        <v>0</v>
      </c>
      <c r="AO1159">
        <v>94</v>
      </c>
      <c r="AP1159" t="s">
        <v>80</v>
      </c>
      <c r="AQ1159" t="s">
        <v>190</v>
      </c>
      <c r="AR1159" t="s">
        <v>86</v>
      </c>
      <c r="AS1159" t="s">
        <v>86</v>
      </c>
      <c r="AT1159" t="s">
        <v>86</v>
      </c>
      <c r="AU1159" t="s">
        <v>86</v>
      </c>
      <c r="AV1159" t="s">
        <v>81</v>
      </c>
      <c r="AW1159" t="s">
        <v>69</v>
      </c>
      <c r="AX1159" t="s">
        <v>262</v>
      </c>
      <c r="AY1159" t="s">
        <v>3554</v>
      </c>
      <c r="AZ1159" t="s">
        <v>264</v>
      </c>
      <c r="BA1159" t="s">
        <v>245</v>
      </c>
      <c r="BB1159" t="s">
        <v>245</v>
      </c>
      <c r="BC1159" t="s">
        <v>244</v>
      </c>
      <c r="BD1159" t="s">
        <v>3555</v>
      </c>
      <c r="BE1159" t="s">
        <v>3556</v>
      </c>
      <c r="BF1159" t="s">
        <v>240</v>
      </c>
      <c r="BG1159" t="s">
        <v>110</v>
      </c>
      <c r="BH1159" t="str">
        <f>IF(COUNTIF(工作表1!A:A, $C1159)&gt;0, "預購款", "非預購款")</f>
        <v>非預購款</v>
      </c>
    </row>
    <row r="1160" spans="1:60" x14ac:dyDescent="0.25">
      <c r="A1160" t="s">
        <v>3548</v>
      </c>
      <c r="B1160" t="s">
        <v>301</v>
      </c>
      <c r="C1160" t="s">
        <v>3549</v>
      </c>
      <c r="D1160" t="s">
        <v>3550</v>
      </c>
      <c r="E1160" t="s">
        <v>3551</v>
      </c>
      <c r="F1160" t="s">
        <v>183</v>
      </c>
      <c r="G1160" t="s">
        <v>3552</v>
      </c>
      <c r="H1160" t="s">
        <v>130</v>
      </c>
      <c r="I1160" t="s">
        <v>97</v>
      </c>
      <c r="J1160" t="s">
        <v>98</v>
      </c>
      <c r="K1160" t="s">
        <v>69</v>
      </c>
      <c r="L1160" t="s">
        <v>3553</v>
      </c>
      <c r="M1160" t="s">
        <v>71</v>
      </c>
      <c r="N1160" t="s">
        <v>198</v>
      </c>
      <c r="O1160" t="s">
        <v>3439</v>
      </c>
      <c r="P1160" t="s">
        <v>3440</v>
      </c>
      <c r="R1160" t="s">
        <v>1095</v>
      </c>
      <c r="S1160" t="s">
        <v>2257</v>
      </c>
      <c r="T1160" t="s">
        <v>258</v>
      </c>
      <c r="U1160" t="s">
        <v>146</v>
      </c>
      <c r="V1160" t="s">
        <v>124</v>
      </c>
      <c r="W1160">
        <v>790</v>
      </c>
      <c r="X1160">
        <v>34.99</v>
      </c>
      <c r="Y1160">
        <v>99</v>
      </c>
      <c r="Z1160">
        <v>569000</v>
      </c>
      <c r="AA1160">
        <v>367350</v>
      </c>
      <c r="AB1160">
        <v>275</v>
      </c>
      <c r="AD1160" t="s">
        <v>238</v>
      </c>
      <c r="AE1160">
        <v>2</v>
      </c>
      <c r="AF1160">
        <v>0</v>
      </c>
      <c r="AI1160">
        <v>10</v>
      </c>
      <c r="AJ1160">
        <v>45</v>
      </c>
      <c r="AK1160">
        <v>55</v>
      </c>
      <c r="AL1160">
        <v>465</v>
      </c>
      <c r="AM1160">
        <v>64</v>
      </c>
      <c r="AN1160">
        <v>0</v>
      </c>
      <c r="AO1160">
        <v>64</v>
      </c>
      <c r="AP1160" t="s">
        <v>80</v>
      </c>
      <c r="AQ1160" t="s">
        <v>190</v>
      </c>
      <c r="AR1160" t="s">
        <v>86</v>
      </c>
      <c r="AS1160" t="s">
        <v>86</v>
      </c>
      <c r="AT1160" t="s">
        <v>86</v>
      </c>
      <c r="AU1160" t="s">
        <v>86</v>
      </c>
      <c r="AV1160" t="s">
        <v>81</v>
      </c>
      <c r="AW1160" t="s">
        <v>69</v>
      </c>
      <c r="AX1160" t="s">
        <v>262</v>
      </c>
      <c r="AY1160" t="s">
        <v>3554</v>
      </c>
      <c r="AZ1160" t="s">
        <v>264</v>
      </c>
      <c r="BA1160" t="s">
        <v>245</v>
      </c>
      <c r="BB1160" t="s">
        <v>245</v>
      </c>
      <c r="BC1160" t="s">
        <v>244</v>
      </c>
      <c r="BD1160" t="s">
        <v>3557</v>
      </c>
      <c r="BE1160" t="s">
        <v>3556</v>
      </c>
      <c r="BF1160" t="s">
        <v>240</v>
      </c>
      <c r="BG1160" t="s">
        <v>110</v>
      </c>
      <c r="BH1160" t="str">
        <f>IF(COUNTIF(工作表1!A:A, $C1160)&gt;0, "預購款", "非預購款")</f>
        <v>非預購款</v>
      </c>
    </row>
    <row r="1161" spans="1:60" x14ac:dyDescent="0.25">
      <c r="A1161" t="s">
        <v>3548</v>
      </c>
      <c r="B1161" t="s">
        <v>301</v>
      </c>
      <c r="C1161" t="s">
        <v>3549</v>
      </c>
      <c r="D1161" t="s">
        <v>3550</v>
      </c>
      <c r="E1161" t="s">
        <v>3551</v>
      </c>
      <c r="F1161" t="s">
        <v>183</v>
      </c>
      <c r="G1161" t="s">
        <v>3552</v>
      </c>
      <c r="H1161" t="s">
        <v>132</v>
      </c>
      <c r="I1161" t="s">
        <v>97</v>
      </c>
      <c r="J1161" t="s">
        <v>98</v>
      </c>
      <c r="K1161" t="s">
        <v>69</v>
      </c>
      <c r="L1161" t="s">
        <v>3553</v>
      </c>
      <c r="M1161" t="s">
        <v>71</v>
      </c>
      <c r="N1161" t="s">
        <v>198</v>
      </c>
      <c r="O1161" t="s">
        <v>3439</v>
      </c>
      <c r="P1161" t="s">
        <v>3440</v>
      </c>
      <c r="R1161" t="s">
        <v>1095</v>
      </c>
      <c r="S1161" t="s">
        <v>2257</v>
      </c>
      <c r="T1161" t="s">
        <v>258</v>
      </c>
      <c r="U1161" t="s">
        <v>146</v>
      </c>
      <c r="V1161" t="s">
        <v>124</v>
      </c>
      <c r="W1161">
        <v>790</v>
      </c>
      <c r="X1161">
        <v>34.99</v>
      </c>
      <c r="Y1161">
        <v>99</v>
      </c>
      <c r="Z1161">
        <v>569000</v>
      </c>
      <c r="AA1161">
        <v>367350</v>
      </c>
      <c r="AB1161">
        <v>275</v>
      </c>
      <c r="AD1161" t="s">
        <v>238</v>
      </c>
      <c r="AE1161">
        <v>2</v>
      </c>
      <c r="AF1161">
        <v>0</v>
      </c>
      <c r="AI1161">
        <v>10</v>
      </c>
      <c r="AJ1161">
        <v>40</v>
      </c>
      <c r="AK1161">
        <v>50</v>
      </c>
      <c r="AL1161">
        <v>465</v>
      </c>
      <c r="AM1161">
        <v>60</v>
      </c>
      <c r="AN1161">
        <v>0</v>
      </c>
      <c r="AO1161">
        <v>60</v>
      </c>
      <c r="AP1161" t="s">
        <v>80</v>
      </c>
      <c r="AQ1161" t="s">
        <v>190</v>
      </c>
      <c r="AR1161" t="s">
        <v>86</v>
      </c>
      <c r="AS1161" t="s">
        <v>86</v>
      </c>
      <c r="AT1161" t="s">
        <v>86</v>
      </c>
      <c r="AU1161" t="s">
        <v>86</v>
      </c>
      <c r="AV1161" t="s">
        <v>81</v>
      </c>
      <c r="AW1161" t="s">
        <v>69</v>
      </c>
      <c r="AX1161" t="s">
        <v>262</v>
      </c>
      <c r="AY1161" t="s">
        <v>3554</v>
      </c>
      <c r="AZ1161" t="s">
        <v>264</v>
      </c>
      <c r="BA1161" t="s">
        <v>245</v>
      </c>
      <c r="BB1161" t="s">
        <v>245</v>
      </c>
      <c r="BC1161" t="s">
        <v>244</v>
      </c>
      <c r="BD1161" t="s">
        <v>3558</v>
      </c>
      <c r="BE1161" t="s">
        <v>3556</v>
      </c>
      <c r="BF1161" t="s">
        <v>240</v>
      </c>
      <c r="BG1161" t="s">
        <v>110</v>
      </c>
      <c r="BH1161" t="str">
        <f>IF(COUNTIF(工作表1!A:A, $C1161)&gt;0, "預購款", "非預購款")</f>
        <v>非預購款</v>
      </c>
    </row>
    <row r="1162" spans="1:60" x14ac:dyDescent="0.25">
      <c r="A1162" t="s">
        <v>3548</v>
      </c>
      <c r="B1162" t="s">
        <v>301</v>
      </c>
      <c r="C1162" t="s">
        <v>3549</v>
      </c>
      <c r="D1162" t="s">
        <v>3550</v>
      </c>
      <c r="E1162" t="s">
        <v>3551</v>
      </c>
      <c r="F1162" t="s">
        <v>183</v>
      </c>
      <c r="G1162" t="s">
        <v>3552</v>
      </c>
      <c r="H1162" t="s">
        <v>119</v>
      </c>
      <c r="I1162" t="s">
        <v>88</v>
      </c>
      <c r="J1162" t="s">
        <v>89</v>
      </c>
      <c r="K1162" t="s">
        <v>69</v>
      </c>
      <c r="L1162" t="s">
        <v>3553</v>
      </c>
      <c r="M1162" t="s">
        <v>71</v>
      </c>
      <c r="N1162" t="s">
        <v>198</v>
      </c>
      <c r="O1162" t="s">
        <v>3439</v>
      </c>
      <c r="P1162" t="s">
        <v>3440</v>
      </c>
      <c r="R1162" t="s">
        <v>1095</v>
      </c>
      <c r="S1162" t="s">
        <v>2257</v>
      </c>
      <c r="T1162" t="s">
        <v>258</v>
      </c>
      <c r="U1162" t="s">
        <v>146</v>
      </c>
      <c r="V1162" t="s">
        <v>124</v>
      </c>
      <c r="W1162">
        <v>790</v>
      </c>
      <c r="X1162">
        <v>34.99</v>
      </c>
      <c r="Y1162">
        <v>99</v>
      </c>
      <c r="Z1162">
        <v>569000</v>
      </c>
      <c r="AA1162">
        <v>367350</v>
      </c>
      <c r="AB1162">
        <v>275</v>
      </c>
      <c r="AD1162" t="s">
        <v>238</v>
      </c>
      <c r="AE1162">
        <v>2</v>
      </c>
      <c r="AF1162">
        <v>0</v>
      </c>
      <c r="AI1162">
        <v>15</v>
      </c>
      <c r="AJ1162">
        <v>90</v>
      </c>
      <c r="AK1162">
        <v>105</v>
      </c>
      <c r="AL1162">
        <v>465</v>
      </c>
      <c r="AM1162">
        <v>109</v>
      </c>
      <c r="AN1162">
        <v>0</v>
      </c>
      <c r="AO1162">
        <v>109</v>
      </c>
      <c r="AP1162" t="s">
        <v>80</v>
      </c>
      <c r="AQ1162" t="s">
        <v>190</v>
      </c>
      <c r="AR1162" t="s">
        <v>86</v>
      </c>
      <c r="AS1162" t="s">
        <v>86</v>
      </c>
      <c r="AT1162" t="s">
        <v>86</v>
      </c>
      <c r="AU1162" t="s">
        <v>86</v>
      </c>
      <c r="AV1162" t="s">
        <v>81</v>
      </c>
      <c r="AW1162" t="s">
        <v>69</v>
      </c>
      <c r="AX1162" t="s">
        <v>262</v>
      </c>
      <c r="AY1162" t="s">
        <v>3554</v>
      </c>
      <c r="AZ1162" t="s">
        <v>264</v>
      </c>
      <c r="BA1162" t="s">
        <v>245</v>
      </c>
      <c r="BB1162" t="s">
        <v>245</v>
      </c>
      <c r="BC1162" t="s">
        <v>244</v>
      </c>
      <c r="BD1162" t="s">
        <v>3559</v>
      </c>
      <c r="BE1162" t="s">
        <v>3556</v>
      </c>
      <c r="BF1162" t="s">
        <v>240</v>
      </c>
      <c r="BG1162" t="s">
        <v>110</v>
      </c>
      <c r="BH1162" t="str">
        <f>IF(COUNTIF(工作表1!A:A, $C1162)&gt;0, "預購款", "非預購款")</f>
        <v>非預購款</v>
      </c>
    </row>
    <row r="1163" spans="1:60" x14ac:dyDescent="0.25">
      <c r="A1163" t="s">
        <v>3548</v>
      </c>
      <c r="B1163" t="s">
        <v>301</v>
      </c>
      <c r="C1163" t="s">
        <v>3549</v>
      </c>
      <c r="D1163" t="s">
        <v>3550</v>
      </c>
      <c r="E1163" t="s">
        <v>3551</v>
      </c>
      <c r="F1163" t="s">
        <v>183</v>
      </c>
      <c r="G1163" t="s">
        <v>3552</v>
      </c>
      <c r="H1163" t="s">
        <v>130</v>
      </c>
      <c r="I1163" t="s">
        <v>88</v>
      </c>
      <c r="J1163" t="s">
        <v>89</v>
      </c>
      <c r="K1163" t="s">
        <v>69</v>
      </c>
      <c r="L1163" t="s">
        <v>3553</v>
      </c>
      <c r="M1163" t="s">
        <v>71</v>
      </c>
      <c r="N1163" t="s">
        <v>198</v>
      </c>
      <c r="O1163" t="s">
        <v>3439</v>
      </c>
      <c r="P1163" t="s">
        <v>3440</v>
      </c>
      <c r="R1163" t="s">
        <v>1095</v>
      </c>
      <c r="S1163" t="s">
        <v>2257</v>
      </c>
      <c r="T1163" t="s">
        <v>258</v>
      </c>
      <c r="U1163" t="s">
        <v>146</v>
      </c>
      <c r="V1163" t="s">
        <v>124</v>
      </c>
      <c r="W1163">
        <v>790</v>
      </c>
      <c r="X1163">
        <v>34.99</v>
      </c>
      <c r="Y1163">
        <v>99</v>
      </c>
      <c r="Z1163">
        <v>569000</v>
      </c>
      <c r="AA1163">
        <v>367350</v>
      </c>
      <c r="AB1163">
        <v>275</v>
      </c>
      <c r="AD1163" t="s">
        <v>238</v>
      </c>
      <c r="AE1163">
        <v>2</v>
      </c>
      <c r="AF1163">
        <v>0</v>
      </c>
      <c r="AI1163">
        <v>15</v>
      </c>
      <c r="AJ1163">
        <v>100</v>
      </c>
      <c r="AK1163">
        <v>115</v>
      </c>
      <c r="AL1163">
        <v>465</v>
      </c>
      <c r="AM1163">
        <v>115</v>
      </c>
      <c r="AN1163">
        <v>0</v>
      </c>
      <c r="AO1163">
        <v>115</v>
      </c>
      <c r="AP1163" t="s">
        <v>80</v>
      </c>
      <c r="AQ1163" t="s">
        <v>190</v>
      </c>
      <c r="AR1163" t="s">
        <v>86</v>
      </c>
      <c r="AS1163" t="s">
        <v>86</v>
      </c>
      <c r="AT1163" t="s">
        <v>86</v>
      </c>
      <c r="AU1163" t="s">
        <v>86</v>
      </c>
      <c r="AV1163" t="s">
        <v>81</v>
      </c>
      <c r="AW1163" t="s">
        <v>69</v>
      </c>
      <c r="AX1163" t="s">
        <v>262</v>
      </c>
      <c r="AY1163" t="s">
        <v>3554</v>
      </c>
      <c r="AZ1163" t="s">
        <v>264</v>
      </c>
      <c r="BA1163" t="s">
        <v>245</v>
      </c>
      <c r="BB1163" t="s">
        <v>245</v>
      </c>
      <c r="BC1163" t="s">
        <v>244</v>
      </c>
      <c r="BD1163" t="s">
        <v>3560</v>
      </c>
      <c r="BE1163" t="s">
        <v>3556</v>
      </c>
      <c r="BF1163" t="s">
        <v>240</v>
      </c>
      <c r="BG1163" t="s">
        <v>110</v>
      </c>
      <c r="BH1163" t="str">
        <f>IF(COUNTIF(工作表1!A:A, $C1163)&gt;0, "預購款", "非預購款")</f>
        <v>非預購款</v>
      </c>
    </row>
    <row r="1164" spans="1:60" x14ac:dyDescent="0.25">
      <c r="A1164" t="s">
        <v>3548</v>
      </c>
      <c r="B1164" t="s">
        <v>301</v>
      </c>
      <c r="C1164" t="s">
        <v>3549</v>
      </c>
      <c r="D1164" t="s">
        <v>3550</v>
      </c>
      <c r="E1164" t="s">
        <v>3551</v>
      </c>
      <c r="F1164" t="s">
        <v>183</v>
      </c>
      <c r="G1164" t="s">
        <v>3552</v>
      </c>
      <c r="H1164" t="s">
        <v>132</v>
      </c>
      <c r="I1164" t="s">
        <v>88</v>
      </c>
      <c r="J1164" t="s">
        <v>89</v>
      </c>
      <c r="K1164" t="s">
        <v>69</v>
      </c>
      <c r="L1164" t="s">
        <v>3553</v>
      </c>
      <c r="M1164" t="s">
        <v>71</v>
      </c>
      <c r="N1164" t="s">
        <v>198</v>
      </c>
      <c r="O1164" t="s">
        <v>3439</v>
      </c>
      <c r="P1164" t="s">
        <v>3440</v>
      </c>
      <c r="R1164" t="s">
        <v>1095</v>
      </c>
      <c r="S1164" t="s">
        <v>2257</v>
      </c>
      <c r="T1164" t="s">
        <v>258</v>
      </c>
      <c r="U1164" t="s">
        <v>146</v>
      </c>
      <c r="V1164" t="s">
        <v>124</v>
      </c>
      <c r="W1164">
        <v>790</v>
      </c>
      <c r="X1164">
        <v>34.99</v>
      </c>
      <c r="Y1164">
        <v>99</v>
      </c>
      <c r="Z1164">
        <v>569000</v>
      </c>
      <c r="AA1164">
        <v>367350</v>
      </c>
      <c r="AB1164">
        <v>275</v>
      </c>
      <c r="AD1164" t="s">
        <v>238</v>
      </c>
      <c r="AE1164">
        <v>2</v>
      </c>
      <c r="AF1164">
        <v>0</v>
      </c>
      <c r="AI1164">
        <v>15</v>
      </c>
      <c r="AJ1164">
        <v>40</v>
      </c>
      <c r="AK1164">
        <v>55</v>
      </c>
      <c r="AL1164">
        <v>465</v>
      </c>
      <c r="AM1164">
        <v>54</v>
      </c>
      <c r="AN1164">
        <v>0</v>
      </c>
      <c r="AO1164">
        <v>54</v>
      </c>
      <c r="AP1164" t="s">
        <v>80</v>
      </c>
      <c r="AQ1164" t="s">
        <v>190</v>
      </c>
      <c r="AR1164" t="s">
        <v>86</v>
      </c>
      <c r="AS1164" t="s">
        <v>86</v>
      </c>
      <c r="AT1164" t="s">
        <v>86</v>
      </c>
      <c r="AU1164" t="s">
        <v>86</v>
      </c>
      <c r="AV1164" t="s">
        <v>81</v>
      </c>
      <c r="AW1164" t="s">
        <v>69</v>
      </c>
      <c r="AX1164" t="s">
        <v>262</v>
      </c>
      <c r="AY1164" t="s">
        <v>3554</v>
      </c>
      <c r="AZ1164" t="s">
        <v>264</v>
      </c>
      <c r="BA1164" t="s">
        <v>245</v>
      </c>
      <c r="BB1164" t="s">
        <v>245</v>
      </c>
      <c r="BC1164" t="s">
        <v>244</v>
      </c>
      <c r="BD1164" t="s">
        <v>3561</v>
      </c>
      <c r="BE1164" t="s">
        <v>3556</v>
      </c>
      <c r="BF1164" t="s">
        <v>240</v>
      </c>
      <c r="BG1164" t="s">
        <v>110</v>
      </c>
      <c r="BH1164" t="str">
        <f>IF(COUNTIF(工作表1!A:A, $C1164)&gt;0, "預購款", "非預購款")</f>
        <v>非預購款</v>
      </c>
    </row>
    <row r="1165" spans="1:60" x14ac:dyDescent="0.25">
      <c r="A1165" t="s">
        <v>3302</v>
      </c>
      <c r="B1165" t="s">
        <v>315</v>
      </c>
      <c r="C1165" t="s">
        <v>3303</v>
      </c>
      <c r="D1165" t="s">
        <v>3304</v>
      </c>
      <c r="E1165" t="s">
        <v>3305</v>
      </c>
      <c r="F1165" t="s">
        <v>183</v>
      </c>
      <c r="G1165" t="s">
        <v>3306</v>
      </c>
      <c r="H1165" t="s">
        <v>119</v>
      </c>
      <c r="I1165" t="s">
        <v>97</v>
      </c>
      <c r="J1165" t="s">
        <v>98</v>
      </c>
      <c r="K1165" t="s">
        <v>80</v>
      </c>
      <c r="L1165" t="s">
        <v>3307</v>
      </c>
      <c r="M1165" t="s">
        <v>71</v>
      </c>
      <c r="N1165" t="s">
        <v>198</v>
      </c>
      <c r="O1165" t="s">
        <v>3146</v>
      </c>
      <c r="P1165" t="s">
        <v>3147</v>
      </c>
      <c r="R1165" t="s">
        <v>3148</v>
      </c>
      <c r="S1165" t="s">
        <v>2257</v>
      </c>
      <c r="T1165" t="s">
        <v>291</v>
      </c>
      <c r="U1165" t="s">
        <v>383</v>
      </c>
      <c r="V1165" t="s">
        <v>124</v>
      </c>
      <c r="W1165">
        <v>590</v>
      </c>
      <c r="X1165">
        <v>29.99</v>
      </c>
      <c r="Y1165">
        <v>75</v>
      </c>
      <c r="Z1165">
        <v>429000</v>
      </c>
      <c r="AA1165">
        <v>144550</v>
      </c>
      <c r="AB1165">
        <v>0</v>
      </c>
      <c r="AD1165" t="s">
        <v>238</v>
      </c>
      <c r="AE1165">
        <v>1</v>
      </c>
      <c r="AF1165">
        <v>0</v>
      </c>
      <c r="AI1165">
        <v>25</v>
      </c>
      <c r="AJ1165">
        <v>90</v>
      </c>
      <c r="AK1165">
        <v>115</v>
      </c>
      <c r="AL1165">
        <v>245</v>
      </c>
      <c r="AM1165">
        <v>130</v>
      </c>
      <c r="AN1165">
        <v>0</v>
      </c>
      <c r="AO1165">
        <v>130</v>
      </c>
      <c r="AP1165" t="s">
        <v>69</v>
      </c>
      <c r="AR1165" t="s">
        <v>240</v>
      </c>
      <c r="AS1165" t="s">
        <v>240</v>
      </c>
      <c r="AT1165" t="s">
        <v>240</v>
      </c>
      <c r="AU1165" t="s">
        <v>86</v>
      </c>
      <c r="AV1165" t="s">
        <v>3308</v>
      </c>
      <c r="AW1165" t="s">
        <v>69</v>
      </c>
      <c r="AX1165" t="s">
        <v>126</v>
      </c>
      <c r="AY1165" t="s">
        <v>1257</v>
      </c>
      <c r="AZ1165" t="s">
        <v>264</v>
      </c>
      <c r="BA1165" t="s">
        <v>245</v>
      </c>
      <c r="BB1165" t="s">
        <v>243</v>
      </c>
      <c r="BC1165" t="s">
        <v>245</v>
      </c>
      <c r="BD1165" t="s">
        <v>3562</v>
      </c>
      <c r="BE1165" t="s">
        <v>3563</v>
      </c>
      <c r="BF1165" t="s">
        <v>291</v>
      </c>
      <c r="BG1165" t="s">
        <v>110</v>
      </c>
      <c r="BH1165" t="str">
        <f>IF(COUNTIF(工作表1!A:A, $C1165)&gt;0, "預購款", "非預購款")</f>
        <v>非預購款</v>
      </c>
    </row>
    <row r="1166" spans="1:60" x14ac:dyDescent="0.25">
      <c r="A1166" t="s">
        <v>3302</v>
      </c>
      <c r="B1166" t="s">
        <v>315</v>
      </c>
      <c r="C1166" t="s">
        <v>3303</v>
      </c>
      <c r="D1166" t="s">
        <v>3304</v>
      </c>
      <c r="E1166" t="s">
        <v>3305</v>
      </c>
      <c r="F1166" t="s">
        <v>183</v>
      </c>
      <c r="G1166" t="s">
        <v>3306</v>
      </c>
      <c r="H1166" t="s">
        <v>130</v>
      </c>
      <c r="I1166" t="s">
        <v>97</v>
      </c>
      <c r="J1166" t="s">
        <v>98</v>
      </c>
      <c r="K1166" t="s">
        <v>80</v>
      </c>
      <c r="L1166" t="s">
        <v>3307</v>
      </c>
      <c r="M1166" t="s">
        <v>71</v>
      </c>
      <c r="N1166" t="s">
        <v>198</v>
      </c>
      <c r="O1166" t="s">
        <v>3146</v>
      </c>
      <c r="P1166" t="s">
        <v>3147</v>
      </c>
      <c r="R1166" t="s">
        <v>3148</v>
      </c>
      <c r="S1166" t="s">
        <v>2257</v>
      </c>
      <c r="T1166" t="s">
        <v>291</v>
      </c>
      <c r="U1166" t="s">
        <v>383</v>
      </c>
      <c r="V1166" t="s">
        <v>124</v>
      </c>
      <c r="W1166">
        <v>590</v>
      </c>
      <c r="X1166">
        <v>29.99</v>
      </c>
      <c r="Y1166">
        <v>75</v>
      </c>
      <c r="Z1166">
        <v>429000</v>
      </c>
      <c r="AA1166">
        <v>144550</v>
      </c>
      <c r="AB1166">
        <v>0</v>
      </c>
      <c r="AD1166" t="s">
        <v>238</v>
      </c>
      <c r="AE1166">
        <v>1</v>
      </c>
      <c r="AF1166">
        <v>0</v>
      </c>
      <c r="AI1166">
        <v>35</v>
      </c>
      <c r="AJ1166">
        <v>50</v>
      </c>
      <c r="AK1166">
        <v>85</v>
      </c>
      <c r="AL1166">
        <v>245</v>
      </c>
      <c r="AM1166">
        <v>95</v>
      </c>
      <c r="AN1166">
        <v>0</v>
      </c>
      <c r="AO1166">
        <v>95</v>
      </c>
      <c r="AP1166" t="s">
        <v>69</v>
      </c>
      <c r="AR1166" t="s">
        <v>240</v>
      </c>
      <c r="AS1166" t="s">
        <v>240</v>
      </c>
      <c r="AT1166" t="s">
        <v>240</v>
      </c>
      <c r="AU1166" t="s">
        <v>86</v>
      </c>
      <c r="AV1166" t="s">
        <v>3308</v>
      </c>
      <c r="AW1166" t="s">
        <v>69</v>
      </c>
      <c r="AX1166" t="s">
        <v>126</v>
      </c>
      <c r="AY1166" t="s">
        <v>1257</v>
      </c>
      <c r="AZ1166" t="s">
        <v>264</v>
      </c>
      <c r="BA1166" t="s">
        <v>245</v>
      </c>
      <c r="BB1166" t="s">
        <v>243</v>
      </c>
      <c r="BC1166" t="s">
        <v>245</v>
      </c>
      <c r="BD1166" t="s">
        <v>3564</v>
      </c>
      <c r="BE1166" t="s">
        <v>3563</v>
      </c>
      <c r="BF1166" t="s">
        <v>291</v>
      </c>
      <c r="BG1166" t="s">
        <v>110</v>
      </c>
      <c r="BH1166" t="str">
        <f>IF(COUNTIF(工作表1!A:A, $C1166)&gt;0, "預購款", "非預購款")</f>
        <v>非預購款</v>
      </c>
    </row>
    <row r="1167" spans="1:60" x14ac:dyDescent="0.25">
      <c r="A1167" t="s">
        <v>3302</v>
      </c>
      <c r="B1167" t="s">
        <v>315</v>
      </c>
      <c r="C1167" t="s">
        <v>3303</v>
      </c>
      <c r="D1167" t="s">
        <v>3304</v>
      </c>
      <c r="E1167" t="s">
        <v>3305</v>
      </c>
      <c r="F1167" t="s">
        <v>183</v>
      </c>
      <c r="G1167" t="s">
        <v>3306</v>
      </c>
      <c r="H1167" t="s">
        <v>132</v>
      </c>
      <c r="I1167" t="s">
        <v>97</v>
      </c>
      <c r="J1167" t="s">
        <v>98</v>
      </c>
      <c r="K1167" t="s">
        <v>80</v>
      </c>
      <c r="L1167" t="s">
        <v>3307</v>
      </c>
      <c r="M1167" t="s">
        <v>71</v>
      </c>
      <c r="N1167" t="s">
        <v>198</v>
      </c>
      <c r="O1167" t="s">
        <v>3146</v>
      </c>
      <c r="P1167" t="s">
        <v>3147</v>
      </c>
      <c r="R1167" t="s">
        <v>3148</v>
      </c>
      <c r="S1167" t="s">
        <v>2257</v>
      </c>
      <c r="T1167" t="s">
        <v>291</v>
      </c>
      <c r="U1167" t="s">
        <v>383</v>
      </c>
      <c r="V1167" t="s">
        <v>124</v>
      </c>
      <c r="W1167">
        <v>590</v>
      </c>
      <c r="X1167">
        <v>29.99</v>
      </c>
      <c r="Y1167">
        <v>75</v>
      </c>
      <c r="Z1167">
        <v>429000</v>
      </c>
      <c r="AA1167">
        <v>144550</v>
      </c>
      <c r="AB1167">
        <v>0</v>
      </c>
      <c r="AD1167" t="s">
        <v>238</v>
      </c>
      <c r="AE1167">
        <v>1</v>
      </c>
      <c r="AF1167">
        <v>0</v>
      </c>
      <c r="AI1167">
        <v>15</v>
      </c>
      <c r="AJ1167">
        <v>30</v>
      </c>
      <c r="AK1167">
        <v>45</v>
      </c>
      <c r="AL1167">
        <v>245</v>
      </c>
      <c r="AM1167">
        <v>55</v>
      </c>
      <c r="AN1167">
        <v>0</v>
      </c>
      <c r="AO1167">
        <v>55</v>
      </c>
      <c r="AP1167" t="s">
        <v>69</v>
      </c>
      <c r="AR1167" t="s">
        <v>240</v>
      </c>
      <c r="AS1167" t="s">
        <v>240</v>
      </c>
      <c r="AT1167" t="s">
        <v>240</v>
      </c>
      <c r="AU1167" t="s">
        <v>86</v>
      </c>
      <c r="AV1167" t="s">
        <v>3308</v>
      </c>
      <c r="AW1167" t="s">
        <v>69</v>
      </c>
      <c r="AX1167" t="s">
        <v>126</v>
      </c>
      <c r="AY1167" t="s">
        <v>1257</v>
      </c>
      <c r="AZ1167" t="s">
        <v>264</v>
      </c>
      <c r="BA1167" t="s">
        <v>245</v>
      </c>
      <c r="BB1167" t="s">
        <v>243</v>
      </c>
      <c r="BC1167" t="s">
        <v>245</v>
      </c>
      <c r="BD1167" t="s">
        <v>3565</v>
      </c>
      <c r="BE1167" t="s">
        <v>3563</v>
      </c>
      <c r="BF1167" t="s">
        <v>291</v>
      </c>
      <c r="BG1167" t="s">
        <v>110</v>
      </c>
      <c r="BH1167" t="str">
        <f>IF(COUNTIF(工作表1!A:A, $C1167)&gt;0, "預購款", "非預購款")</f>
        <v>非預購款</v>
      </c>
    </row>
    <row r="1168" spans="1:60" x14ac:dyDescent="0.25">
      <c r="A1168" t="s">
        <v>3567</v>
      </c>
      <c r="B1168" t="s">
        <v>315</v>
      </c>
      <c r="C1168" t="s">
        <v>3568</v>
      </c>
      <c r="D1168" t="s">
        <v>3569</v>
      </c>
      <c r="E1168" t="s">
        <v>3570</v>
      </c>
      <c r="F1168" t="s">
        <v>183</v>
      </c>
      <c r="G1168" t="s">
        <v>3571</v>
      </c>
      <c r="H1168" t="s">
        <v>379</v>
      </c>
      <c r="I1168" t="s">
        <v>214</v>
      </c>
      <c r="J1168" t="s">
        <v>215</v>
      </c>
      <c r="K1168" t="s">
        <v>69</v>
      </c>
      <c r="L1168" t="s">
        <v>3572</v>
      </c>
      <c r="M1168" t="s">
        <v>71</v>
      </c>
      <c r="N1168" t="s">
        <v>198</v>
      </c>
      <c r="O1168" t="s">
        <v>3439</v>
      </c>
      <c r="P1168" t="s">
        <v>3440</v>
      </c>
      <c r="R1168" t="s">
        <v>1095</v>
      </c>
      <c r="S1168" t="s">
        <v>2257</v>
      </c>
      <c r="T1168" t="s">
        <v>76</v>
      </c>
      <c r="U1168" t="s">
        <v>146</v>
      </c>
      <c r="V1168" t="s">
        <v>144</v>
      </c>
      <c r="W1168">
        <v>990</v>
      </c>
      <c r="X1168">
        <v>39.99</v>
      </c>
      <c r="Y1168">
        <v>129</v>
      </c>
      <c r="Z1168">
        <v>709000</v>
      </c>
      <c r="AA1168">
        <v>272250</v>
      </c>
      <c r="AB1168">
        <v>450</v>
      </c>
      <c r="AD1168" t="s">
        <v>238</v>
      </c>
      <c r="AE1168">
        <v>1</v>
      </c>
      <c r="AF1168">
        <v>0</v>
      </c>
      <c r="AI1168">
        <v>10</v>
      </c>
      <c r="AJ1168">
        <v>10</v>
      </c>
      <c r="AK1168">
        <v>20</v>
      </c>
      <c r="AL1168">
        <v>275</v>
      </c>
      <c r="AM1168">
        <v>0</v>
      </c>
      <c r="AN1168">
        <v>0</v>
      </c>
      <c r="AO1168">
        <v>0</v>
      </c>
      <c r="AP1168" t="s">
        <v>69</v>
      </c>
      <c r="AR1168" t="s">
        <v>86</v>
      </c>
      <c r="AS1168" t="s">
        <v>86</v>
      </c>
      <c r="AT1168" t="s">
        <v>86</v>
      </c>
      <c r="AU1168" t="s">
        <v>86</v>
      </c>
      <c r="AV1168" t="s">
        <v>3573</v>
      </c>
      <c r="AW1168" t="s">
        <v>69</v>
      </c>
      <c r="AX1168" t="s">
        <v>2739</v>
      </c>
      <c r="AY1168" t="s">
        <v>3574</v>
      </c>
      <c r="AZ1168" t="s">
        <v>264</v>
      </c>
      <c r="BA1168" t="s">
        <v>245</v>
      </c>
      <c r="BB1168" t="s">
        <v>245</v>
      </c>
      <c r="BC1168" t="s">
        <v>245</v>
      </c>
      <c r="BD1168" t="s">
        <v>3575</v>
      </c>
      <c r="BE1168" t="s">
        <v>3576</v>
      </c>
      <c r="BF1168" t="s">
        <v>86</v>
      </c>
      <c r="BG1168" t="s">
        <v>110</v>
      </c>
      <c r="BH1168" t="str">
        <f>IF(COUNTIF(工作表1!A:A, $C1168)&gt;0, "預購款", "非預購款")</f>
        <v>非預購款</v>
      </c>
    </row>
    <row r="1169" spans="1:60" x14ac:dyDescent="0.25">
      <c r="A1169" t="s">
        <v>3567</v>
      </c>
      <c r="B1169" t="s">
        <v>315</v>
      </c>
      <c r="C1169" t="s">
        <v>3568</v>
      </c>
      <c r="D1169" t="s">
        <v>3569</v>
      </c>
      <c r="E1169" t="s">
        <v>3570</v>
      </c>
      <c r="F1169" t="s">
        <v>183</v>
      </c>
      <c r="G1169" t="s">
        <v>3571</v>
      </c>
      <c r="H1169" t="s">
        <v>119</v>
      </c>
      <c r="I1169" t="s">
        <v>214</v>
      </c>
      <c r="J1169" t="s">
        <v>215</v>
      </c>
      <c r="K1169" t="s">
        <v>69</v>
      </c>
      <c r="L1169" t="s">
        <v>3572</v>
      </c>
      <c r="M1169" t="s">
        <v>71</v>
      </c>
      <c r="N1169" t="s">
        <v>198</v>
      </c>
      <c r="O1169" t="s">
        <v>3439</v>
      </c>
      <c r="P1169" t="s">
        <v>3440</v>
      </c>
      <c r="R1169" t="s">
        <v>1095</v>
      </c>
      <c r="S1169" t="s">
        <v>2257</v>
      </c>
      <c r="T1169" t="s">
        <v>76</v>
      </c>
      <c r="U1169" t="s">
        <v>146</v>
      </c>
      <c r="V1169" t="s">
        <v>144</v>
      </c>
      <c r="W1169">
        <v>990</v>
      </c>
      <c r="X1169">
        <v>39.99</v>
      </c>
      <c r="Y1169">
        <v>129</v>
      </c>
      <c r="Z1169">
        <v>709000</v>
      </c>
      <c r="AA1169">
        <v>272250</v>
      </c>
      <c r="AB1169">
        <v>450</v>
      </c>
      <c r="AD1169" t="s">
        <v>238</v>
      </c>
      <c r="AE1169">
        <v>1</v>
      </c>
      <c r="AF1169">
        <v>0</v>
      </c>
      <c r="AI1169">
        <v>15</v>
      </c>
      <c r="AJ1169">
        <v>60</v>
      </c>
      <c r="AK1169">
        <v>75</v>
      </c>
      <c r="AL1169">
        <v>275</v>
      </c>
      <c r="AM1169">
        <v>0</v>
      </c>
      <c r="AN1169">
        <v>0</v>
      </c>
      <c r="AO1169">
        <v>0</v>
      </c>
      <c r="AP1169" t="s">
        <v>69</v>
      </c>
      <c r="AR1169" t="s">
        <v>86</v>
      </c>
      <c r="AS1169" t="s">
        <v>86</v>
      </c>
      <c r="AT1169" t="s">
        <v>86</v>
      </c>
      <c r="AU1169" t="s">
        <v>86</v>
      </c>
      <c r="AV1169" t="s">
        <v>3573</v>
      </c>
      <c r="AW1169" t="s">
        <v>69</v>
      </c>
      <c r="AX1169" t="s">
        <v>2739</v>
      </c>
      <c r="AY1169" t="s">
        <v>3574</v>
      </c>
      <c r="AZ1169" t="s">
        <v>264</v>
      </c>
      <c r="BA1169" t="s">
        <v>245</v>
      </c>
      <c r="BB1169" t="s">
        <v>245</v>
      </c>
      <c r="BC1169" t="s">
        <v>245</v>
      </c>
      <c r="BD1169" t="s">
        <v>3577</v>
      </c>
      <c r="BE1169" t="s">
        <v>3576</v>
      </c>
      <c r="BF1169" t="s">
        <v>86</v>
      </c>
      <c r="BG1169" t="s">
        <v>110</v>
      </c>
      <c r="BH1169" t="str">
        <f>IF(COUNTIF(工作表1!A:A, $C1169)&gt;0, "預購款", "非預購款")</f>
        <v>非預購款</v>
      </c>
    </row>
    <row r="1170" spans="1:60" x14ac:dyDescent="0.25">
      <c r="A1170" t="s">
        <v>3567</v>
      </c>
      <c r="B1170" t="s">
        <v>315</v>
      </c>
      <c r="C1170" t="s">
        <v>3568</v>
      </c>
      <c r="D1170" t="s">
        <v>3569</v>
      </c>
      <c r="E1170" t="s">
        <v>3570</v>
      </c>
      <c r="F1170" t="s">
        <v>183</v>
      </c>
      <c r="G1170" t="s">
        <v>3571</v>
      </c>
      <c r="H1170" t="s">
        <v>392</v>
      </c>
      <c r="I1170" t="s">
        <v>214</v>
      </c>
      <c r="J1170" t="s">
        <v>215</v>
      </c>
      <c r="K1170" t="s">
        <v>69</v>
      </c>
      <c r="L1170" t="s">
        <v>3572</v>
      </c>
      <c r="M1170" t="s">
        <v>71</v>
      </c>
      <c r="N1170" t="s">
        <v>198</v>
      </c>
      <c r="O1170" t="s">
        <v>3439</v>
      </c>
      <c r="P1170" t="s">
        <v>3440</v>
      </c>
      <c r="R1170" t="s">
        <v>1095</v>
      </c>
      <c r="S1170" t="s">
        <v>2257</v>
      </c>
      <c r="T1170" t="s">
        <v>76</v>
      </c>
      <c r="U1170" t="s">
        <v>146</v>
      </c>
      <c r="V1170" t="s">
        <v>144</v>
      </c>
      <c r="W1170">
        <v>990</v>
      </c>
      <c r="X1170">
        <v>39.99</v>
      </c>
      <c r="Y1170">
        <v>129</v>
      </c>
      <c r="Z1170">
        <v>709000</v>
      </c>
      <c r="AA1170">
        <v>272250</v>
      </c>
      <c r="AB1170">
        <v>450</v>
      </c>
      <c r="AD1170" t="s">
        <v>238</v>
      </c>
      <c r="AE1170">
        <v>1</v>
      </c>
      <c r="AF1170">
        <v>0</v>
      </c>
      <c r="AI1170">
        <v>10</v>
      </c>
      <c r="AJ1170">
        <v>25</v>
      </c>
      <c r="AK1170">
        <v>35</v>
      </c>
      <c r="AL1170">
        <v>275</v>
      </c>
      <c r="AM1170">
        <v>0</v>
      </c>
      <c r="AN1170">
        <v>0</v>
      </c>
      <c r="AO1170">
        <v>0</v>
      </c>
      <c r="AP1170" t="s">
        <v>69</v>
      </c>
      <c r="AR1170" t="s">
        <v>86</v>
      </c>
      <c r="AS1170" t="s">
        <v>86</v>
      </c>
      <c r="AT1170" t="s">
        <v>86</v>
      </c>
      <c r="AU1170" t="s">
        <v>86</v>
      </c>
      <c r="AV1170" t="s">
        <v>3573</v>
      </c>
      <c r="AW1170" t="s">
        <v>69</v>
      </c>
      <c r="AX1170" t="s">
        <v>2739</v>
      </c>
      <c r="AY1170" t="s">
        <v>3574</v>
      </c>
      <c r="AZ1170" t="s">
        <v>264</v>
      </c>
      <c r="BA1170" t="s">
        <v>245</v>
      </c>
      <c r="BB1170" t="s">
        <v>245</v>
      </c>
      <c r="BC1170" t="s">
        <v>245</v>
      </c>
      <c r="BD1170" t="s">
        <v>3578</v>
      </c>
      <c r="BE1170" t="s">
        <v>3576</v>
      </c>
      <c r="BF1170" t="s">
        <v>86</v>
      </c>
      <c r="BG1170" t="s">
        <v>110</v>
      </c>
      <c r="BH1170" t="str">
        <f>IF(COUNTIF(工作表1!A:A, $C1170)&gt;0, "預購款", "非預購款")</f>
        <v>非預購款</v>
      </c>
    </row>
    <row r="1171" spans="1:60" x14ac:dyDescent="0.25">
      <c r="A1171" t="s">
        <v>3567</v>
      </c>
      <c r="B1171" t="s">
        <v>315</v>
      </c>
      <c r="C1171" t="s">
        <v>3568</v>
      </c>
      <c r="D1171" t="s">
        <v>3569</v>
      </c>
      <c r="E1171" t="s">
        <v>3570</v>
      </c>
      <c r="F1171" t="s">
        <v>183</v>
      </c>
      <c r="G1171" t="s">
        <v>3571</v>
      </c>
      <c r="H1171" t="s">
        <v>130</v>
      </c>
      <c r="I1171" t="s">
        <v>214</v>
      </c>
      <c r="J1171" t="s">
        <v>215</v>
      </c>
      <c r="K1171" t="s">
        <v>69</v>
      </c>
      <c r="L1171" t="s">
        <v>3572</v>
      </c>
      <c r="M1171" t="s">
        <v>71</v>
      </c>
      <c r="N1171" t="s">
        <v>198</v>
      </c>
      <c r="O1171" t="s">
        <v>3439</v>
      </c>
      <c r="P1171" t="s">
        <v>3440</v>
      </c>
      <c r="R1171" t="s">
        <v>1095</v>
      </c>
      <c r="S1171" t="s">
        <v>2257</v>
      </c>
      <c r="T1171" t="s">
        <v>76</v>
      </c>
      <c r="U1171" t="s">
        <v>146</v>
      </c>
      <c r="V1171" t="s">
        <v>144</v>
      </c>
      <c r="W1171">
        <v>990</v>
      </c>
      <c r="X1171">
        <v>39.99</v>
      </c>
      <c r="Y1171">
        <v>129</v>
      </c>
      <c r="Z1171">
        <v>709000</v>
      </c>
      <c r="AA1171">
        <v>272250</v>
      </c>
      <c r="AB1171">
        <v>450</v>
      </c>
      <c r="AD1171" t="s">
        <v>238</v>
      </c>
      <c r="AE1171">
        <v>1</v>
      </c>
      <c r="AF1171">
        <v>0</v>
      </c>
      <c r="AI1171">
        <v>15</v>
      </c>
      <c r="AJ1171">
        <v>70</v>
      </c>
      <c r="AK1171">
        <v>85</v>
      </c>
      <c r="AL1171">
        <v>275</v>
      </c>
      <c r="AM1171">
        <v>0</v>
      </c>
      <c r="AN1171">
        <v>0</v>
      </c>
      <c r="AO1171">
        <v>0</v>
      </c>
      <c r="AP1171" t="s">
        <v>69</v>
      </c>
      <c r="AR1171" t="s">
        <v>86</v>
      </c>
      <c r="AS1171" t="s">
        <v>86</v>
      </c>
      <c r="AT1171" t="s">
        <v>86</v>
      </c>
      <c r="AU1171" t="s">
        <v>86</v>
      </c>
      <c r="AV1171" t="s">
        <v>3573</v>
      </c>
      <c r="AW1171" t="s">
        <v>69</v>
      </c>
      <c r="AX1171" t="s">
        <v>2739</v>
      </c>
      <c r="AY1171" t="s">
        <v>3574</v>
      </c>
      <c r="AZ1171" t="s">
        <v>264</v>
      </c>
      <c r="BA1171" t="s">
        <v>245</v>
      </c>
      <c r="BB1171" t="s">
        <v>245</v>
      </c>
      <c r="BC1171" t="s">
        <v>245</v>
      </c>
      <c r="BD1171" t="s">
        <v>3579</v>
      </c>
      <c r="BE1171" t="s">
        <v>3576</v>
      </c>
      <c r="BF1171" t="s">
        <v>86</v>
      </c>
      <c r="BG1171" t="s">
        <v>110</v>
      </c>
      <c r="BH1171" t="str">
        <f>IF(COUNTIF(工作表1!A:A, $C1171)&gt;0, "預購款", "非預購款")</f>
        <v>非預購款</v>
      </c>
    </row>
    <row r="1172" spans="1:60" x14ac:dyDescent="0.25">
      <c r="A1172" t="s">
        <v>3567</v>
      </c>
      <c r="B1172" t="s">
        <v>315</v>
      </c>
      <c r="C1172" t="s">
        <v>3568</v>
      </c>
      <c r="D1172" t="s">
        <v>3569</v>
      </c>
      <c r="E1172" t="s">
        <v>3570</v>
      </c>
      <c r="F1172" t="s">
        <v>183</v>
      </c>
      <c r="G1172" t="s">
        <v>3571</v>
      </c>
      <c r="H1172" t="s">
        <v>3580</v>
      </c>
      <c r="I1172" t="s">
        <v>214</v>
      </c>
      <c r="J1172" t="s">
        <v>215</v>
      </c>
      <c r="K1172" t="s">
        <v>69</v>
      </c>
      <c r="L1172" t="s">
        <v>3572</v>
      </c>
      <c r="M1172" t="s">
        <v>71</v>
      </c>
      <c r="N1172" t="s">
        <v>198</v>
      </c>
      <c r="O1172" t="s">
        <v>3439</v>
      </c>
      <c r="P1172" t="s">
        <v>3440</v>
      </c>
      <c r="R1172" t="s">
        <v>1095</v>
      </c>
      <c r="S1172" t="s">
        <v>2257</v>
      </c>
      <c r="T1172" t="s">
        <v>76</v>
      </c>
      <c r="U1172" t="s">
        <v>146</v>
      </c>
      <c r="V1172" t="s">
        <v>144</v>
      </c>
      <c r="W1172">
        <v>990</v>
      </c>
      <c r="X1172">
        <v>39.99</v>
      </c>
      <c r="Y1172">
        <v>129</v>
      </c>
      <c r="Z1172">
        <v>709000</v>
      </c>
      <c r="AA1172">
        <v>272250</v>
      </c>
      <c r="AB1172">
        <v>450</v>
      </c>
      <c r="AD1172" t="s">
        <v>238</v>
      </c>
      <c r="AE1172">
        <v>1</v>
      </c>
      <c r="AF1172">
        <v>0</v>
      </c>
      <c r="AI1172">
        <v>10</v>
      </c>
      <c r="AJ1172">
        <v>15</v>
      </c>
      <c r="AK1172">
        <v>25</v>
      </c>
      <c r="AL1172">
        <v>275</v>
      </c>
      <c r="AM1172">
        <v>0</v>
      </c>
      <c r="AN1172">
        <v>0</v>
      </c>
      <c r="AO1172">
        <v>0</v>
      </c>
      <c r="AP1172" t="s">
        <v>69</v>
      </c>
      <c r="AR1172" t="s">
        <v>86</v>
      </c>
      <c r="AS1172" t="s">
        <v>86</v>
      </c>
      <c r="AT1172" t="s">
        <v>86</v>
      </c>
      <c r="AU1172" t="s">
        <v>86</v>
      </c>
      <c r="AV1172" t="s">
        <v>3573</v>
      </c>
      <c r="AW1172" t="s">
        <v>69</v>
      </c>
      <c r="AX1172" t="s">
        <v>2739</v>
      </c>
      <c r="AY1172" t="s">
        <v>3574</v>
      </c>
      <c r="AZ1172" t="s">
        <v>264</v>
      </c>
      <c r="BA1172" t="s">
        <v>245</v>
      </c>
      <c r="BB1172" t="s">
        <v>245</v>
      </c>
      <c r="BC1172" t="s">
        <v>245</v>
      </c>
      <c r="BD1172" t="s">
        <v>3581</v>
      </c>
      <c r="BE1172" t="s">
        <v>3576</v>
      </c>
      <c r="BF1172" t="s">
        <v>86</v>
      </c>
      <c r="BG1172" t="s">
        <v>110</v>
      </c>
      <c r="BH1172" t="str">
        <f>IF(COUNTIF(工作表1!A:A, $C1172)&gt;0, "預購款", "非預購款")</f>
        <v>非預購款</v>
      </c>
    </row>
    <row r="1173" spans="1:60" x14ac:dyDescent="0.25">
      <c r="A1173" t="s">
        <v>3567</v>
      </c>
      <c r="B1173" t="s">
        <v>315</v>
      </c>
      <c r="C1173" t="s">
        <v>3568</v>
      </c>
      <c r="D1173" t="s">
        <v>3569</v>
      </c>
      <c r="E1173" t="s">
        <v>3570</v>
      </c>
      <c r="F1173" t="s">
        <v>183</v>
      </c>
      <c r="G1173" t="s">
        <v>3571</v>
      </c>
      <c r="H1173" t="s">
        <v>132</v>
      </c>
      <c r="I1173" t="s">
        <v>214</v>
      </c>
      <c r="J1173" t="s">
        <v>215</v>
      </c>
      <c r="K1173" t="s">
        <v>69</v>
      </c>
      <c r="L1173" t="s">
        <v>3572</v>
      </c>
      <c r="M1173" t="s">
        <v>71</v>
      </c>
      <c r="N1173" t="s">
        <v>198</v>
      </c>
      <c r="O1173" t="s">
        <v>3439</v>
      </c>
      <c r="P1173" t="s">
        <v>3440</v>
      </c>
      <c r="R1173" t="s">
        <v>1095</v>
      </c>
      <c r="S1173" t="s">
        <v>2257</v>
      </c>
      <c r="T1173" t="s">
        <v>76</v>
      </c>
      <c r="U1173" t="s">
        <v>146</v>
      </c>
      <c r="V1173" t="s">
        <v>144</v>
      </c>
      <c r="W1173">
        <v>990</v>
      </c>
      <c r="X1173">
        <v>39.99</v>
      </c>
      <c r="Y1173">
        <v>129</v>
      </c>
      <c r="Z1173">
        <v>709000</v>
      </c>
      <c r="AA1173">
        <v>272250</v>
      </c>
      <c r="AB1173">
        <v>450</v>
      </c>
      <c r="AD1173" t="s">
        <v>238</v>
      </c>
      <c r="AE1173">
        <v>1</v>
      </c>
      <c r="AF1173">
        <v>0</v>
      </c>
      <c r="AI1173">
        <v>10</v>
      </c>
      <c r="AJ1173">
        <v>25</v>
      </c>
      <c r="AK1173">
        <v>35</v>
      </c>
      <c r="AL1173">
        <v>275</v>
      </c>
      <c r="AM1173">
        <v>0</v>
      </c>
      <c r="AN1173">
        <v>0</v>
      </c>
      <c r="AO1173">
        <v>0</v>
      </c>
      <c r="AP1173" t="s">
        <v>69</v>
      </c>
      <c r="AR1173" t="s">
        <v>86</v>
      </c>
      <c r="AS1173" t="s">
        <v>86</v>
      </c>
      <c r="AT1173" t="s">
        <v>86</v>
      </c>
      <c r="AU1173" t="s">
        <v>86</v>
      </c>
      <c r="AV1173" t="s">
        <v>3573</v>
      </c>
      <c r="AW1173" t="s">
        <v>69</v>
      </c>
      <c r="AX1173" t="s">
        <v>2739</v>
      </c>
      <c r="AY1173" t="s">
        <v>3574</v>
      </c>
      <c r="AZ1173" t="s">
        <v>264</v>
      </c>
      <c r="BA1173" t="s">
        <v>245</v>
      </c>
      <c r="BB1173" t="s">
        <v>245</v>
      </c>
      <c r="BC1173" t="s">
        <v>245</v>
      </c>
      <c r="BD1173" t="s">
        <v>3582</v>
      </c>
      <c r="BE1173" t="s">
        <v>3576</v>
      </c>
      <c r="BF1173" t="s">
        <v>86</v>
      </c>
      <c r="BG1173" t="s">
        <v>110</v>
      </c>
      <c r="BH1173" t="str">
        <f>IF(COUNTIF(工作表1!A:A, $C1173)&gt;0, "預購款", "非預購款")</f>
        <v>非預購款</v>
      </c>
    </row>
    <row r="1174" spans="1:60" x14ac:dyDescent="0.25">
      <c r="A1174" t="s">
        <v>3116</v>
      </c>
      <c r="B1174" t="s">
        <v>2174</v>
      </c>
      <c r="C1174" t="s">
        <v>3117</v>
      </c>
      <c r="D1174" t="s">
        <v>3118</v>
      </c>
      <c r="E1174" t="s">
        <v>3119</v>
      </c>
      <c r="F1174" t="s">
        <v>183</v>
      </c>
      <c r="G1174" t="s">
        <v>3120</v>
      </c>
      <c r="H1174" t="s">
        <v>273</v>
      </c>
      <c r="I1174" t="s">
        <v>97</v>
      </c>
      <c r="J1174" t="s">
        <v>98</v>
      </c>
      <c r="K1174" t="s">
        <v>69</v>
      </c>
      <c r="L1174" t="s">
        <v>3107</v>
      </c>
      <c r="M1174" t="s">
        <v>71</v>
      </c>
      <c r="N1174" t="s">
        <v>198</v>
      </c>
      <c r="O1174" t="s">
        <v>2893</v>
      </c>
      <c r="P1174" t="s">
        <v>2894</v>
      </c>
      <c r="R1174" t="s">
        <v>2518</v>
      </c>
      <c r="S1174" t="s">
        <v>2257</v>
      </c>
      <c r="T1174" t="s">
        <v>274</v>
      </c>
      <c r="U1174" t="s">
        <v>150</v>
      </c>
      <c r="V1174" t="s">
        <v>641</v>
      </c>
      <c r="W1174">
        <v>790</v>
      </c>
      <c r="X1174">
        <v>34.99</v>
      </c>
      <c r="Y1174">
        <v>99</v>
      </c>
      <c r="Z1174">
        <v>569000</v>
      </c>
      <c r="AA1174">
        <v>158000</v>
      </c>
      <c r="AB1174">
        <v>284</v>
      </c>
      <c r="AD1174" t="s">
        <v>238</v>
      </c>
      <c r="AE1174">
        <v>2</v>
      </c>
      <c r="AF1174">
        <v>0</v>
      </c>
      <c r="AI1174">
        <v>0</v>
      </c>
      <c r="AJ1174">
        <v>80</v>
      </c>
      <c r="AK1174">
        <v>80</v>
      </c>
      <c r="AL1174">
        <v>200</v>
      </c>
      <c r="AM1174">
        <v>83</v>
      </c>
      <c r="AN1174">
        <v>0</v>
      </c>
      <c r="AO1174">
        <v>83</v>
      </c>
      <c r="AP1174" t="s">
        <v>80</v>
      </c>
      <c r="AQ1174" t="s">
        <v>190</v>
      </c>
      <c r="AS1174" t="s">
        <v>86</v>
      </c>
      <c r="AT1174" t="s">
        <v>240</v>
      </c>
      <c r="AU1174" t="s">
        <v>86</v>
      </c>
      <c r="AV1174" t="s">
        <v>2952</v>
      </c>
      <c r="AW1174" t="s">
        <v>69</v>
      </c>
      <c r="AX1174" t="s">
        <v>126</v>
      </c>
      <c r="AY1174" t="s">
        <v>3075</v>
      </c>
      <c r="AZ1174" t="s">
        <v>245</v>
      </c>
      <c r="BA1174" t="s">
        <v>244</v>
      </c>
      <c r="BB1174" t="s">
        <v>244</v>
      </c>
      <c r="BC1174" t="s">
        <v>244</v>
      </c>
      <c r="BD1174" t="s">
        <v>3121</v>
      </c>
      <c r="BE1174" t="s">
        <v>3583</v>
      </c>
      <c r="BF1174" t="s">
        <v>279</v>
      </c>
      <c r="BG1174" t="s">
        <v>87</v>
      </c>
      <c r="BH1174" t="str">
        <f>IF(COUNTIF(工作表1!A:A, $C1174)&gt;0, "預購款", "非預購款")</f>
        <v>非預購款</v>
      </c>
    </row>
    <row r="1175" spans="1:60" x14ac:dyDescent="0.25">
      <c r="A1175" t="s">
        <v>3116</v>
      </c>
      <c r="B1175" t="s">
        <v>2174</v>
      </c>
      <c r="C1175" t="s">
        <v>3117</v>
      </c>
      <c r="D1175" t="s">
        <v>3118</v>
      </c>
      <c r="E1175" t="s">
        <v>3119</v>
      </c>
      <c r="F1175" t="s">
        <v>183</v>
      </c>
      <c r="G1175" t="s">
        <v>3120</v>
      </c>
      <c r="H1175" t="s">
        <v>280</v>
      </c>
      <c r="I1175" t="s">
        <v>97</v>
      </c>
      <c r="J1175" t="s">
        <v>98</v>
      </c>
      <c r="K1175" t="s">
        <v>69</v>
      </c>
      <c r="L1175" t="s">
        <v>3107</v>
      </c>
      <c r="M1175" t="s">
        <v>71</v>
      </c>
      <c r="N1175" t="s">
        <v>198</v>
      </c>
      <c r="O1175" t="s">
        <v>2893</v>
      </c>
      <c r="P1175" t="s">
        <v>2894</v>
      </c>
      <c r="R1175" t="s">
        <v>2518</v>
      </c>
      <c r="S1175" t="s">
        <v>2257</v>
      </c>
      <c r="T1175" t="s">
        <v>274</v>
      </c>
      <c r="U1175" t="s">
        <v>150</v>
      </c>
      <c r="V1175" t="s">
        <v>641</v>
      </c>
      <c r="W1175">
        <v>790</v>
      </c>
      <c r="X1175">
        <v>34.99</v>
      </c>
      <c r="Y1175">
        <v>99</v>
      </c>
      <c r="Z1175">
        <v>569000</v>
      </c>
      <c r="AA1175">
        <v>158000</v>
      </c>
      <c r="AB1175">
        <v>284</v>
      </c>
      <c r="AD1175" t="s">
        <v>238</v>
      </c>
      <c r="AE1175">
        <v>2</v>
      </c>
      <c r="AF1175">
        <v>0</v>
      </c>
      <c r="AI1175">
        <v>0</v>
      </c>
      <c r="AJ1175">
        <v>20</v>
      </c>
      <c r="AK1175">
        <v>20</v>
      </c>
      <c r="AL1175">
        <v>200</v>
      </c>
      <c r="AM1175">
        <v>24</v>
      </c>
      <c r="AN1175">
        <v>0</v>
      </c>
      <c r="AO1175">
        <v>24</v>
      </c>
      <c r="AP1175" t="s">
        <v>80</v>
      </c>
      <c r="AQ1175" t="s">
        <v>190</v>
      </c>
      <c r="AS1175" t="s">
        <v>86</v>
      </c>
      <c r="AT1175" t="s">
        <v>240</v>
      </c>
      <c r="AU1175" t="s">
        <v>86</v>
      </c>
      <c r="AV1175" t="s">
        <v>2952</v>
      </c>
      <c r="AW1175" t="s">
        <v>69</v>
      </c>
      <c r="AX1175" t="s">
        <v>126</v>
      </c>
      <c r="AY1175" t="s">
        <v>3075</v>
      </c>
      <c r="AZ1175" t="s">
        <v>245</v>
      </c>
      <c r="BA1175" t="s">
        <v>244</v>
      </c>
      <c r="BB1175" t="s">
        <v>244</v>
      </c>
      <c r="BC1175" t="s">
        <v>244</v>
      </c>
      <c r="BD1175" t="s">
        <v>3123</v>
      </c>
      <c r="BE1175" t="s">
        <v>3583</v>
      </c>
      <c r="BF1175" t="s">
        <v>279</v>
      </c>
      <c r="BG1175" t="s">
        <v>87</v>
      </c>
      <c r="BH1175" t="str">
        <f>IF(COUNTIF(工作表1!A:A, $C1175)&gt;0, "預購款", "非預購款")</f>
        <v>非預購款</v>
      </c>
    </row>
    <row r="1176" spans="1:60" x14ac:dyDescent="0.25">
      <c r="A1176" t="s">
        <v>3116</v>
      </c>
      <c r="B1176" t="s">
        <v>2174</v>
      </c>
      <c r="C1176" t="s">
        <v>3117</v>
      </c>
      <c r="D1176" t="s">
        <v>3118</v>
      </c>
      <c r="E1176" t="s">
        <v>3119</v>
      </c>
      <c r="F1176" t="s">
        <v>183</v>
      </c>
      <c r="G1176" t="s">
        <v>3120</v>
      </c>
      <c r="H1176" t="s">
        <v>273</v>
      </c>
      <c r="I1176" t="s">
        <v>1228</v>
      </c>
      <c r="J1176" t="s">
        <v>1229</v>
      </c>
      <c r="K1176" t="s">
        <v>69</v>
      </c>
      <c r="L1176" t="s">
        <v>3107</v>
      </c>
      <c r="M1176" t="s">
        <v>71</v>
      </c>
      <c r="N1176" t="s">
        <v>198</v>
      </c>
      <c r="O1176" t="s">
        <v>2893</v>
      </c>
      <c r="P1176" t="s">
        <v>2894</v>
      </c>
      <c r="R1176" t="s">
        <v>2518</v>
      </c>
      <c r="S1176" t="s">
        <v>2257</v>
      </c>
      <c r="T1176" t="s">
        <v>274</v>
      </c>
      <c r="U1176" t="s">
        <v>150</v>
      </c>
      <c r="V1176" t="s">
        <v>641</v>
      </c>
      <c r="W1176">
        <v>790</v>
      </c>
      <c r="X1176">
        <v>34.99</v>
      </c>
      <c r="Y1176">
        <v>99</v>
      </c>
      <c r="Z1176">
        <v>569000</v>
      </c>
      <c r="AA1176">
        <v>158000</v>
      </c>
      <c r="AB1176">
        <v>284</v>
      </c>
      <c r="AD1176" t="s">
        <v>238</v>
      </c>
      <c r="AE1176">
        <v>2</v>
      </c>
      <c r="AF1176">
        <v>0</v>
      </c>
      <c r="AI1176">
        <v>20</v>
      </c>
      <c r="AJ1176">
        <v>30</v>
      </c>
      <c r="AK1176">
        <v>50</v>
      </c>
      <c r="AL1176">
        <v>200</v>
      </c>
      <c r="AM1176">
        <v>60</v>
      </c>
      <c r="AN1176">
        <v>0</v>
      </c>
      <c r="AO1176">
        <v>60</v>
      </c>
      <c r="AP1176" t="s">
        <v>80</v>
      </c>
      <c r="AQ1176" t="s">
        <v>190</v>
      </c>
      <c r="AS1176" t="s">
        <v>86</v>
      </c>
      <c r="AT1176" t="s">
        <v>240</v>
      </c>
      <c r="AU1176" t="s">
        <v>86</v>
      </c>
      <c r="AV1176" t="s">
        <v>2952</v>
      </c>
      <c r="AW1176" t="s">
        <v>69</v>
      </c>
      <c r="AX1176" t="s">
        <v>126</v>
      </c>
      <c r="AY1176" t="s">
        <v>3075</v>
      </c>
      <c r="AZ1176" t="s">
        <v>245</v>
      </c>
      <c r="BA1176" t="s">
        <v>244</v>
      </c>
      <c r="BB1176" t="s">
        <v>244</v>
      </c>
      <c r="BC1176" t="s">
        <v>244</v>
      </c>
      <c r="BD1176" t="s">
        <v>3126</v>
      </c>
      <c r="BE1176" t="s">
        <v>3583</v>
      </c>
      <c r="BF1176" t="s">
        <v>279</v>
      </c>
      <c r="BG1176" t="s">
        <v>87</v>
      </c>
      <c r="BH1176" t="str">
        <f>IF(COUNTIF(工作表1!A:A, $C1176)&gt;0, "預購款", "非預購款")</f>
        <v>非預購款</v>
      </c>
    </row>
    <row r="1177" spans="1:60" x14ac:dyDescent="0.25">
      <c r="A1177" t="s">
        <v>3116</v>
      </c>
      <c r="B1177" t="s">
        <v>2174</v>
      </c>
      <c r="C1177" t="s">
        <v>3117</v>
      </c>
      <c r="D1177" t="s">
        <v>3118</v>
      </c>
      <c r="E1177" t="s">
        <v>3119</v>
      </c>
      <c r="F1177" t="s">
        <v>183</v>
      </c>
      <c r="G1177" t="s">
        <v>3120</v>
      </c>
      <c r="H1177" t="s">
        <v>280</v>
      </c>
      <c r="I1177" t="s">
        <v>1228</v>
      </c>
      <c r="J1177" t="s">
        <v>1229</v>
      </c>
      <c r="K1177" t="s">
        <v>69</v>
      </c>
      <c r="L1177" t="s">
        <v>3107</v>
      </c>
      <c r="M1177" t="s">
        <v>71</v>
      </c>
      <c r="N1177" t="s">
        <v>198</v>
      </c>
      <c r="O1177" t="s">
        <v>2893</v>
      </c>
      <c r="P1177" t="s">
        <v>2894</v>
      </c>
      <c r="R1177" t="s">
        <v>2518</v>
      </c>
      <c r="S1177" t="s">
        <v>2257</v>
      </c>
      <c r="T1177" t="s">
        <v>274</v>
      </c>
      <c r="U1177" t="s">
        <v>150</v>
      </c>
      <c r="V1177" t="s">
        <v>641</v>
      </c>
      <c r="W1177">
        <v>790</v>
      </c>
      <c r="X1177">
        <v>34.99</v>
      </c>
      <c r="Y1177">
        <v>99</v>
      </c>
      <c r="Z1177">
        <v>569000</v>
      </c>
      <c r="AA1177">
        <v>158000</v>
      </c>
      <c r="AB1177">
        <v>284</v>
      </c>
      <c r="AD1177" t="s">
        <v>238</v>
      </c>
      <c r="AE1177">
        <v>2</v>
      </c>
      <c r="AF1177">
        <v>0</v>
      </c>
      <c r="AI1177">
        <v>0</v>
      </c>
      <c r="AJ1177">
        <v>50</v>
      </c>
      <c r="AK1177">
        <v>50</v>
      </c>
      <c r="AL1177">
        <v>200</v>
      </c>
      <c r="AM1177">
        <v>59</v>
      </c>
      <c r="AN1177">
        <v>0</v>
      </c>
      <c r="AO1177">
        <v>59</v>
      </c>
      <c r="AP1177" t="s">
        <v>80</v>
      </c>
      <c r="AQ1177" t="s">
        <v>190</v>
      </c>
      <c r="AS1177" t="s">
        <v>86</v>
      </c>
      <c r="AT1177" t="s">
        <v>240</v>
      </c>
      <c r="AU1177" t="s">
        <v>86</v>
      </c>
      <c r="AV1177" t="s">
        <v>2952</v>
      </c>
      <c r="AW1177" t="s">
        <v>69</v>
      </c>
      <c r="AX1177" t="s">
        <v>126</v>
      </c>
      <c r="AY1177" t="s">
        <v>3075</v>
      </c>
      <c r="AZ1177" t="s">
        <v>245</v>
      </c>
      <c r="BA1177" t="s">
        <v>244</v>
      </c>
      <c r="BB1177" t="s">
        <v>244</v>
      </c>
      <c r="BC1177" t="s">
        <v>244</v>
      </c>
      <c r="BD1177" t="s">
        <v>3127</v>
      </c>
      <c r="BE1177" t="s">
        <v>3583</v>
      </c>
      <c r="BF1177" t="s">
        <v>279</v>
      </c>
      <c r="BG1177" t="s">
        <v>87</v>
      </c>
      <c r="BH1177" t="str">
        <f>IF(COUNTIF(工作表1!A:A, $C1177)&gt;0, "預購款", "非預購款")</f>
        <v>非預購款</v>
      </c>
    </row>
    <row r="1178" spans="1:60" x14ac:dyDescent="0.25">
      <c r="A1178" t="s">
        <v>3584</v>
      </c>
      <c r="B1178" t="s">
        <v>678</v>
      </c>
      <c r="C1178" t="s">
        <v>3585</v>
      </c>
      <c r="D1178" t="s">
        <v>3586</v>
      </c>
      <c r="E1178" t="s">
        <v>3587</v>
      </c>
      <c r="F1178" t="s">
        <v>183</v>
      </c>
      <c r="G1178" t="s">
        <v>3588</v>
      </c>
      <c r="H1178" t="s">
        <v>273</v>
      </c>
      <c r="I1178" t="s">
        <v>120</v>
      </c>
      <c r="J1178" t="s">
        <v>121</v>
      </c>
      <c r="K1178" t="s">
        <v>69</v>
      </c>
      <c r="L1178" t="s">
        <v>3589</v>
      </c>
      <c r="M1178" t="s">
        <v>71</v>
      </c>
      <c r="N1178" t="s">
        <v>198</v>
      </c>
      <c r="O1178" t="s">
        <v>3439</v>
      </c>
      <c r="P1178" t="s">
        <v>3440</v>
      </c>
      <c r="R1178" t="s">
        <v>1095</v>
      </c>
      <c r="S1178" t="s">
        <v>2257</v>
      </c>
      <c r="T1178" t="s">
        <v>274</v>
      </c>
      <c r="U1178" t="s">
        <v>104</v>
      </c>
      <c r="V1178" t="s">
        <v>1220</v>
      </c>
      <c r="W1178">
        <v>590</v>
      </c>
      <c r="X1178">
        <v>29.99</v>
      </c>
      <c r="Y1178">
        <v>75</v>
      </c>
      <c r="Z1178">
        <v>429000</v>
      </c>
      <c r="AA1178">
        <v>82600</v>
      </c>
      <c r="AB1178">
        <v>90</v>
      </c>
      <c r="AD1178" t="s">
        <v>238</v>
      </c>
      <c r="AE1178">
        <v>1</v>
      </c>
      <c r="AF1178">
        <v>0</v>
      </c>
      <c r="AI1178">
        <v>0</v>
      </c>
      <c r="AJ1178">
        <v>75</v>
      </c>
      <c r="AK1178">
        <v>75</v>
      </c>
      <c r="AL1178">
        <v>140</v>
      </c>
      <c r="AM1178">
        <v>77</v>
      </c>
      <c r="AN1178">
        <v>0</v>
      </c>
      <c r="AO1178">
        <v>77</v>
      </c>
      <c r="AP1178" t="s">
        <v>80</v>
      </c>
      <c r="AQ1178" t="s">
        <v>190</v>
      </c>
      <c r="AS1178" t="s">
        <v>86</v>
      </c>
      <c r="AT1178" t="s">
        <v>86</v>
      </c>
      <c r="AU1178" t="s">
        <v>86</v>
      </c>
      <c r="AV1178" t="s">
        <v>3590</v>
      </c>
      <c r="AW1178" t="s">
        <v>69</v>
      </c>
      <c r="AX1178" t="s">
        <v>126</v>
      </c>
      <c r="AY1178" t="s">
        <v>1943</v>
      </c>
      <c r="AZ1178" t="s">
        <v>244</v>
      </c>
      <c r="BA1178" t="s">
        <v>245</v>
      </c>
      <c r="BB1178" t="s">
        <v>264</v>
      </c>
      <c r="BC1178" t="s">
        <v>264</v>
      </c>
      <c r="BD1178" t="s">
        <v>3591</v>
      </c>
      <c r="BE1178" t="s">
        <v>3592</v>
      </c>
      <c r="BF1178" t="s">
        <v>279</v>
      </c>
      <c r="BG1178" t="s">
        <v>110</v>
      </c>
      <c r="BH1178" t="str">
        <f>IF(COUNTIF(工作表1!A:A, $C1178)&gt;0, "預購款", "非預購款")</f>
        <v>非預購款</v>
      </c>
    </row>
    <row r="1179" spans="1:60" x14ac:dyDescent="0.25">
      <c r="A1179" t="s">
        <v>3584</v>
      </c>
      <c r="B1179" t="s">
        <v>678</v>
      </c>
      <c r="C1179" t="s">
        <v>3585</v>
      </c>
      <c r="D1179" t="s">
        <v>3586</v>
      </c>
      <c r="E1179" t="s">
        <v>3587</v>
      </c>
      <c r="F1179" t="s">
        <v>183</v>
      </c>
      <c r="G1179" t="s">
        <v>3588</v>
      </c>
      <c r="H1179" t="s">
        <v>501</v>
      </c>
      <c r="I1179" t="s">
        <v>120</v>
      </c>
      <c r="J1179" t="s">
        <v>121</v>
      </c>
      <c r="K1179" t="s">
        <v>69</v>
      </c>
      <c r="L1179" t="s">
        <v>3589</v>
      </c>
      <c r="M1179" t="s">
        <v>71</v>
      </c>
      <c r="N1179" t="s">
        <v>198</v>
      </c>
      <c r="O1179" t="s">
        <v>3439</v>
      </c>
      <c r="P1179" t="s">
        <v>3440</v>
      </c>
      <c r="R1179" t="s">
        <v>1095</v>
      </c>
      <c r="S1179" t="s">
        <v>2257</v>
      </c>
      <c r="T1179" t="s">
        <v>274</v>
      </c>
      <c r="U1179" t="s">
        <v>104</v>
      </c>
      <c r="V1179" t="s">
        <v>1220</v>
      </c>
      <c r="W1179">
        <v>590</v>
      </c>
      <c r="X1179">
        <v>29.99</v>
      </c>
      <c r="Y1179">
        <v>75</v>
      </c>
      <c r="Z1179">
        <v>429000</v>
      </c>
      <c r="AA1179">
        <v>82600</v>
      </c>
      <c r="AB1179">
        <v>90</v>
      </c>
      <c r="AD1179" t="s">
        <v>238</v>
      </c>
      <c r="AE1179">
        <v>1</v>
      </c>
      <c r="AF1179">
        <v>0</v>
      </c>
      <c r="AI1179">
        <v>0</v>
      </c>
      <c r="AJ1179">
        <v>30</v>
      </c>
      <c r="AK1179">
        <v>30</v>
      </c>
      <c r="AL1179">
        <v>140</v>
      </c>
      <c r="AM1179">
        <v>37</v>
      </c>
      <c r="AN1179">
        <v>0</v>
      </c>
      <c r="AO1179">
        <v>33</v>
      </c>
      <c r="AP1179" t="s">
        <v>80</v>
      </c>
      <c r="AQ1179" t="s">
        <v>190</v>
      </c>
      <c r="AS1179" t="s">
        <v>86</v>
      </c>
      <c r="AT1179" t="s">
        <v>86</v>
      </c>
      <c r="AU1179" t="s">
        <v>86</v>
      </c>
      <c r="AV1179" t="s">
        <v>3590</v>
      </c>
      <c r="AW1179" t="s">
        <v>69</v>
      </c>
      <c r="AX1179" t="s">
        <v>126</v>
      </c>
      <c r="AY1179" t="s">
        <v>1943</v>
      </c>
      <c r="AZ1179" t="s">
        <v>244</v>
      </c>
      <c r="BA1179" t="s">
        <v>245</v>
      </c>
      <c r="BB1179" t="s">
        <v>264</v>
      </c>
      <c r="BC1179" t="s">
        <v>264</v>
      </c>
      <c r="BD1179" t="s">
        <v>3593</v>
      </c>
      <c r="BE1179" t="s">
        <v>3592</v>
      </c>
      <c r="BF1179" t="s">
        <v>279</v>
      </c>
      <c r="BG1179" t="s">
        <v>110</v>
      </c>
      <c r="BH1179" t="str">
        <f>IF(COUNTIF(工作表1!A:A, $C1179)&gt;0, "預購款", "非預購款")</f>
        <v>非預購款</v>
      </c>
    </row>
    <row r="1180" spans="1:60" x14ac:dyDescent="0.25">
      <c r="A1180" t="s">
        <v>3584</v>
      </c>
      <c r="B1180" t="s">
        <v>678</v>
      </c>
      <c r="C1180" t="s">
        <v>3585</v>
      </c>
      <c r="D1180" t="s">
        <v>3586</v>
      </c>
      <c r="E1180" t="s">
        <v>3587</v>
      </c>
      <c r="F1180" t="s">
        <v>183</v>
      </c>
      <c r="G1180" t="s">
        <v>3588</v>
      </c>
      <c r="H1180" t="s">
        <v>280</v>
      </c>
      <c r="I1180" t="s">
        <v>120</v>
      </c>
      <c r="J1180" t="s">
        <v>121</v>
      </c>
      <c r="K1180" t="s">
        <v>69</v>
      </c>
      <c r="L1180" t="s">
        <v>3589</v>
      </c>
      <c r="M1180" t="s">
        <v>71</v>
      </c>
      <c r="N1180" t="s">
        <v>198</v>
      </c>
      <c r="O1180" t="s">
        <v>3439</v>
      </c>
      <c r="P1180" t="s">
        <v>3440</v>
      </c>
      <c r="R1180" t="s">
        <v>1095</v>
      </c>
      <c r="S1180" t="s">
        <v>2257</v>
      </c>
      <c r="T1180" t="s">
        <v>274</v>
      </c>
      <c r="U1180" t="s">
        <v>104</v>
      </c>
      <c r="V1180" t="s">
        <v>1220</v>
      </c>
      <c r="W1180">
        <v>590</v>
      </c>
      <c r="X1180">
        <v>29.99</v>
      </c>
      <c r="Y1180">
        <v>75</v>
      </c>
      <c r="Z1180">
        <v>429000</v>
      </c>
      <c r="AA1180">
        <v>82600</v>
      </c>
      <c r="AB1180">
        <v>90</v>
      </c>
      <c r="AD1180" t="s">
        <v>238</v>
      </c>
      <c r="AE1180">
        <v>1</v>
      </c>
      <c r="AF1180">
        <v>0</v>
      </c>
      <c r="AI1180">
        <v>0</v>
      </c>
      <c r="AJ1180">
        <v>35</v>
      </c>
      <c r="AK1180">
        <v>35</v>
      </c>
      <c r="AL1180">
        <v>140</v>
      </c>
      <c r="AM1180">
        <v>33</v>
      </c>
      <c r="AN1180">
        <v>0</v>
      </c>
      <c r="AO1180">
        <v>37</v>
      </c>
      <c r="AP1180" t="s">
        <v>80</v>
      </c>
      <c r="AQ1180" t="s">
        <v>190</v>
      </c>
      <c r="AS1180" t="s">
        <v>86</v>
      </c>
      <c r="AT1180" t="s">
        <v>86</v>
      </c>
      <c r="AU1180" t="s">
        <v>86</v>
      </c>
      <c r="AV1180" t="s">
        <v>3590</v>
      </c>
      <c r="AW1180" t="s">
        <v>69</v>
      </c>
      <c r="AX1180" t="s">
        <v>126</v>
      </c>
      <c r="AY1180" t="s">
        <v>1943</v>
      </c>
      <c r="AZ1180" t="s">
        <v>244</v>
      </c>
      <c r="BA1180" t="s">
        <v>245</v>
      </c>
      <c r="BB1180" t="s">
        <v>264</v>
      </c>
      <c r="BC1180" t="s">
        <v>264</v>
      </c>
      <c r="BD1180" t="s">
        <v>3594</v>
      </c>
      <c r="BE1180" t="s">
        <v>3592</v>
      </c>
      <c r="BF1180" t="s">
        <v>279</v>
      </c>
      <c r="BG1180" t="s">
        <v>110</v>
      </c>
      <c r="BH1180" t="str">
        <f>IF(COUNTIF(工作表1!A:A, $C1180)&gt;0, "預購款", "非預購款")</f>
        <v>非預購款</v>
      </c>
    </row>
    <row r="1181" spans="1:60" x14ac:dyDescent="0.25">
      <c r="A1181" t="s">
        <v>517</v>
      </c>
      <c r="B1181" t="s">
        <v>60</v>
      </c>
      <c r="C1181" t="s">
        <v>518</v>
      </c>
      <c r="D1181" t="s">
        <v>519</v>
      </c>
      <c r="E1181" t="s">
        <v>520</v>
      </c>
      <c r="F1181" t="s">
        <v>183</v>
      </c>
      <c r="G1181" t="s">
        <v>522</v>
      </c>
      <c r="H1181" t="s">
        <v>66</v>
      </c>
      <c r="I1181" t="s">
        <v>214</v>
      </c>
      <c r="J1181" t="s">
        <v>215</v>
      </c>
      <c r="K1181" t="s">
        <v>69</v>
      </c>
      <c r="L1181" t="s">
        <v>523</v>
      </c>
      <c r="M1181" t="s">
        <v>71</v>
      </c>
      <c r="N1181" t="s">
        <v>100</v>
      </c>
      <c r="O1181" t="s">
        <v>524</v>
      </c>
      <c r="P1181" t="s">
        <v>525</v>
      </c>
      <c r="R1181" t="s">
        <v>526</v>
      </c>
      <c r="S1181" t="s">
        <v>2257</v>
      </c>
      <c r="T1181" t="s">
        <v>258</v>
      </c>
      <c r="U1181" t="s">
        <v>527</v>
      </c>
      <c r="V1181" t="s">
        <v>528</v>
      </c>
      <c r="W1181">
        <v>890</v>
      </c>
      <c r="X1181">
        <v>39.99</v>
      </c>
      <c r="Y1181">
        <v>115</v>
      </c>
      <c r="Z1181">
        <v>639000</v>
      </c>
      <c r="AA1181">
        <v>267000</v>
      </c>
      <c r="AB1181">
        <v>460</v>
      </c>
      <c r="AD1181" t="s">
        <v>238</v>
      </c>
      <c r="AE1181">
        <v>1</v>
      </c>
      <c r="AF1181">
        <v>0</v>
      </c>
      <c r="AI1181">
        <v>0</v>
      </c>
      <c r="AJ1181">
        <v>300</v>
      </c>
      <c r="AK1181">
        <v>300</v>
      </c>
      <c r="AL1181">
        <v>300</v>
      </c>
      <c r="AM1181">
        <v>0</v>
      </c>
      <c r="AN1181">
        <v>0</v>
      </c>
      <c r="AO1181">
        <v>0</v>
      </c>
      <c r="AP1181" t="s">
        <v>69</v>
      </c>
      <c r="AT1181" t="s">
        <v>264</v>
      </c>
      <c r="AU1181" t="s">
        <v>264</v>
      </c>
      <c r="AV1181" t="s">
        <v>529</v>
      </c>
      <c r="AW1181" t="s">
        <v>69</v>
      </c>
      <c r="AX1181" t="s">
        <v>530</v>
      </c>
      <c r="AY1181" t="s">
        <v>531</v>
      </c>
      <c r="BD1181" t="s">
        <v>532</v>
      </c>
      <c r="BE1181" t="s">
        <v>3595</v>
      </c>
      <c r="BH1181" t="str">
        <f>IF(COUNTIF(工作表1!A:A, $C1181)&gt;0, "預購款", "非預購款")</f>
        <v>非預購款</v>
      </c>
    </row>
    <row r="1182" spans="1:60" x14ac:dyDescent="0.25">
      <c r="A1182" t="s">
        <v>1089</v>
      </c>
      <c r="B1182" t="s">
        <v>535</v>
      </c>
      <c r="C1182" t="s">
        <v>1090</v>
      </c>
      <c r="D1182" t="s">
        <v>1091</v>
      </c>
      <c r="E1182" t="s">
        <v>1092</v>
      </c>
      <c r="F1182" t="s">
        <v>183</v>
      </c>
      <c r="G1182" t="s">
        <v>1093</v>
      </c>
      <c r="H1182" t="s">
        <v>119</v>
      </c>
      <c r="I1182" t="s">
        <v>162</v>
      </c>
      <c r="J1182" t="s">
        <v>163</v>
      </c>
      <c r="K1182" t="s">
        <v>69</v>
      </c>
      <c r="L1182" t="s">
        <v>1094</v>
      </c>
      <c r="M1182" t="s">
        <v>71</v>
      </c>
      <c r="N1182" t="s">
        <v>100</v>
      </c>
      <c r="O1182" t="s">
        <v>980</v>
      </c>
      <c r="P1182" t="s">
        <v>981</v>
      </c>
      <c r="R1182" t="s">
        <v>1095</v>
      </c>
      <c r="S1182" t="s">
        <v>2257</v>
      </c>
      <c r="T1182" t="s">
        <v>76</v>
      </c>
      <c r="U1182" t="s">
        <v>104</v>
      </c>
      <c r="V1182" t="s">
        <v>965</v>
      </c>
      <c r="W1182">
        <v>390</v>
      </c>
      <c r="X1182">
        <v>16.989999999999998</v>
      </c>
      <c r="Y1182">
        <v>49</v>
      </c>
      <c r="Z1182">
        <v>279000</v>
      </c>
      <c r="AA1182">
        <v>713700</v>
      </c>
      <c r="AB1182">
        <v>192</v>
      </c>
      <c r="AD1182" t="s">
        <v>238</v>
      </c>
      <c r="AE1182">
        <v>4</v>
      </c>
      <c r="AF1182">
        <v>25</v>
      </c>
      <c r="AI1182">
        <v>0</v>
      </c>
      <c r="AJ1182">
        <v>430</v>
      </c>
      <c r="AK1182">
        <v>455</v>
      </c>
      <c r="AL1182">
        <v>1830</v>
      </c>
      <c r="AM1182">
        <v>458</v>
      </c>
      <c r="AN1182">
        <v>0</v>
      </c>
      <c r="AO1182">
        <v>458</v>
      </c>
      <c r="AP1182" t="s">
        <v>69</v>
      </c>
      <c r="AR1182" t="s">
        <v>86</v>
      </c>
      <c r="AS1182" t="s">
        <v>86</v>
      </c>
      <c r="AT1182" t="s">
        <v>264</v>
      </c>
      <c r="AU1182" t="s">
        <v>264</v>
      </c>
      <c r="AV1182" t="s">
        <v>1096</v>
      </c>
      <c r="AW1182" t="s">
        <v>69</v>
      </c>
      <c r="AX1182" t="s">
        <v>1097</v>
      </c>
      <c r="AY1182" t="s">
        <v>1098</v>
      </c>
      <c r="AZ1182" t="s">
        <v>243</v>
      </c>
      <c r="BA1182" t="s">
        <v>264</v>
      </c>
      <c r="BB1182" t="s">
        <v>244</v>
      </c>
      <c r="BC1182" t="s">
        <v>244</v>
      </c>
      <c r="BD1182" t="s">
        <v>1099</v>
      </c>
      <c r="BE1182" t="s">
        <v>3597</v>
      </c>
      <c r="BF1182" t="s">
        <v>86</v>
      </c>
      <c r="BG1182" t="s">
        <v>150</v>
      </c>
      <c r="BH1182" t="str">
        <f>IF(COUNTIF(工作表1!A:A, $C1182)&gt;0, "預購款", "非預購款")</f>
        <v>非預購款</v>
      </c>
    </row>
    <row r="1183" spans="1:60" x14ac:dyDescent="0.25">
      <c r="A1183" t="s">
        <v>1089</v>
      </c>
      <c r="B1183" t="s">
        <v>535</v>
      </c>
      <c r="C1183" t="s">
        <v>1090</v>
      </c>
      <c r="D1183" t="s">
        <v>1091</v>
      </c>
      <c r="E1183" t="s">
        <v>1092</v>
      </c>
      <c r="F1183" t="s">
        <v>183</v>
      </c>
      <c r="G1183" t="s">
        <v>1093</v>
      </c>
      <c r="H1183" t="s">
        <v>130</v>
      </c>
      <c r="I1183" t="s">
        <v>162</v>
      </c>
      <c r="J1183" t="s">
        <v>163</v>
      </c>
      <c r="K1183" t="s">
        <v>69</v>
      </c>
      <c r="L1183" t="s">
        <v>1094</v>
      </c>
      <c r="M1183" t="s">
        <v>71</v>
      </c>
      <c r="N1183" t="s">
        <v>100</v>
      </c>
      <c r="O1183" t="s">
        <v>980</v>
      </c>
      <c r="P1183" t="s">
        <v>981</v>
      </c>
      <c r="R1183" t="s">
        <v>1095</v>
      </c>
      <c r="S1183" t="s">
        <v>2257</v>
      </c>
      <c r="T1183" t="s">
        <v>76</v>
      </c>
      <c r="U1183" t="s">
        <v>104</v>
      </c>
      <c r="V1183" t="s">
        <v>965</v>
      </c>
      <c r="W1183">
        <v>390</v>
      </c>
      <c r="X1183">
        <v>16.989999999999998</v>
      </c>
      <c r="Y1183">
        <v>49</v>
      </c>
      <c r="Z1183">
        <v>279000</v>
      </c>
      <c r="AA1183">
        <v>713700</v>
      </c>
      <c r="AB1183">
        <v>192</v>
      </c>
      <c r="AD1183" t="s">
        <v>238</v>
      </c>
      <c r="AE1183">
        <v>4</v>
      </c>
      <c r="AF1183">
        <v>15</v>
      </c>
      <c r="AI1183">
        <v>0</v>
      </c>
      <c r="AJ1183">
        <v>110</v>
      </c>
      <c r="AK1183">
        <v>125</v>
      </c>
      <c r="AL1183">
        <v>1830</v>
      </c>
      <c r="AM1183">
        <v>124</v>
      </c>
      <c r="AN1183">
        <v>0</v>
      </c>
      <c r="AO1183">
        <v>124</v>
      </c>
      <c r="AP1183" t="s">
        <v>69</v>
      </c>
      <c r="AR1183" t="s">
        <v>86</v>
      </c>
      <c r="AS1183" t="s">
        <v>86</v>
      </c>
      <c r="AT1183" t="s">
        <v>264</v>
      </c>
      <c r="AU1183" t="s">
        <v>264</v>
      </c>
      <c r="AV1183" t="s">
        <v>1096</v>
      </c>
      <c r="AW1183" t="s">
        <v>69</v>
      </c>
      <c r="AX1183" t="s">
        <v>1097</v>
      </c>
      <c r="AY1183" t="s">
        <v>1098</v>
      </c>
      <c r="AZ1183" t="s">
        <v>243</v>
      </c>
      <c r="BA1183" t="s">
        <v>264</v>
      </c>
      <c r="BB1183" t="s">
        <v>244</v>
      </c>
      <c r="BC1183" t="s">
        <v>244</v>
      </c>
      <c r="BD1183" t="s">
        <v>1101</v>
      </c>
      <c r="BE1183" t="s">
        <v>3597</v>
      </c>
      <c r="BF1183" t="s">
        <v>86</v>
      </c>
      <c r="BG1183" t="s">
        <v>150</v>
      </c>
      <c r="BH1183" t="str">
        <f>IF(COUNTIF(工作表1!A:A, $C1183)&gt;0, "預購款", "非預購款")</f>
        <v>非預購款</v>
      </c>
    </row>
    <row r="1184" spans="1:60" x14ac:dyDescent="0.25">
      <c r="A1184" t="s">
        <v>1089</v>
      </c>
      <c r="B1184" t="s">
        <v>535</v>
      </c>
      <c r="C1184" t="s">
        <v>1090</v>
      </c>
      <c r="D1184" t="s">
        <v>1091</v>
      </c>
      <c r="E1184" t="s">
        <v>1092</v>
      </c>
      <c r="F1184" t="s">
        <v>183</v>
      </c>
      <c r="G1184" t="s">
        <v>1093</v>
      </c>
      <c r="H1184" t="s">
        <v>132</v>
      </c>
      <c r="I1184" t="s">
        <v>162</v>
      </c>
      <c r="J1184" t="s">
        <v>163</v>
      </c>
      <c r="K1184" t="s">
        <v>69</v>
      </c>
      <c r="L1184" t="s">
        <v>1094</v>
      </c>
      <c r="M1184" t="s">
        <v>71</v>
      </c>
      <c r="N1184" t="s">
        <v>100</v>
      </c>
      <c r="O1184" t="s">
        <v>980</v>
      </c>
      <c r="P1184" t="s">
        <v>981</v>
      </c>
      <c r="R1184" t="s">
        <v>1095</v>
      </c>
      <c r="S1184" t="s">
        <v>2257</v>
      </c>
      <c r="T1184" t="s">
        <v>76</v>
      </c>
      <c r="U1184" t="s">
        <v>104</v>
      </c>
      <c r="V1184" t="s">
        <v>965</v>
      </c>
      <c r="W1184">
        <v>390</v>
      </c>
      <c r="X1184">
        <v>16.989999999999998</v>
      </c>
      <c r="Y1184">
        <v>49</v>
      </c>
      <c r="Z1184">
        <v>279000</v>
      </c>
      <c r="AA1184">
        <v>713700</v>
      </c>
      <c r="AB1184">
        <v>192</v>
      </c>
      <c r="AD1184" t="s">
        <v>238</v>
      </c>
      <c r="AE1184">
        <v>4</v>
      </c>
      <c r="AF1184">
        <v>0</v>
      </c>
      <c r="AI1184">
        <v>40</v>
      </c>
      <c r="AJ1184">
        <v>50</v>
      </c>
      <c r="AK1184">
        <v>90</v>
      </c>
      <c r="AL1184">
        <v>1830</v>
      </c>
      <c r="AM1184">
        <v>85</v>
      </c>
      <c r="AN1184">
        <v>0</v>
      </c>
      <c r="AO1184">
        <v>85</v>
      </c>
      <c r="AP1184" t="s">
        <v>69</v>
      </c>
      <c r="AR1184" t="s">
        <v>86</v>
      </c>
      <c r="AS1184" t="s">
        <v>86</v>
      </c>
      <c r="AT1184" t="s">
        <v>264</v>
      </c>
      <c r="AU1184" t="s">
        <v>264</v>
      </c>
      <c r="AV1184" t="s">
        <v>1096</v>
      </c>
      <c r="AW1184" t="s">
        <v>69</v>
      </c>
      <c r="AX1184" t="s">
        <v>1097</v>
      </c>
      <c r="AY1184" t="s">
        <v>1098</v>
      </c>
      <c r="AZ1184" t="s">
        <v>243</v>
      </c>
      <c r="BA1184" t="s">
        <v>264</v>
      </c>
      <c r="BB1184" t="s">
        <v>244</v>
      </c>
      <c r="BC1184" t="s">
        <v>244</v>
      </c>
      <c r="BD1184" t="s">
        <v>1102</v>
      </c>
      <c r="BE1184" t="s">
        <v>3597</v>
      </c>
      <c r="BF1184" t="s">
        <v>86</v>
      </c>
      <c r="BG1184" t="s">
        <v>150</v>
      </c>
      <c r="BH1184" t="str">
        <f>IF(COUNTIF(工作表1!A:A, $C1184)&gt;0, "預購款", "非預購款")</f>
        <v>非預購款</v>
      </c>
    </row>
    <row r="1185" spans="1:60" x14ac:dyDescent="0.25">
      <c r="A1185" t="s">
        <v>1089</v>
      </c>
      <c r="B1185" t="s">
        <v>535</v>
      </c>
      <c r="C1185" t="s">
        <v>1090</v>
      </c>
      <c r="D1185" t="s">
        <v>1091</v>
      </c>
      <c r="E1185" t="s">
        <v>1092</v>
      </c>
      <c r="F1185" t="s">
        <v>183</v>
      </c>
      <c r="G1185" t="s">
        <v>1093</v>
      </c>
      <c r="H1185" t="s">
        <v>119</v>
      </c>
      <c r="I1185" t="s">
        <v>171</v>
      </c>
      <c r="J1185" t="s">
        <v>172</v>
      </c>
      <c r="K1185" t="s">
        <v>69</v>
      </c>
      <c r="L1185" t="s">
        <v>1094</v>
      </c>
      <c r="M1185" t="s">
        <v>71</v>
      </c>
      <c r="N1185" t="s">
        <v>100</v>
      </c>
      <c r="O1185" t="s">
        <v>980</v>
      </c>
      <c r="P1185" t="s">
        <v>981</v>
      </c>
      <c r="R1185" t="s">
        <v>1095</v>
      </c>
      <c r="S1185" t="s">
        <v>2257</v>
      </c>
      <c r="T1185" t="s">
        <v>76</v>
      </c>
      <c r="U1185" t="s">
        <v>104</v>
      </c>
      <c r="V1185" t="s">
        <v>965</v>
      </c>
      <c r="W1185">
        <v>390</v>
      </c>
      <c r="X1185">
        <v>16.989999999999998</v>
      </c>
      <c r="Y1185">
        <v>49</v>
      </c>
      <c r="Z1185">
        <v>279000</v>
      </c>
      <c r="AA1185">
        <v>713700</v>
      </c>
      <c r="AB1185">
        <v>192</v>
      </c>
      <c r="AD1185" t="s">
        <v>238</v>
      </c>
      <c r="AE1185">
        <v>4</v>
      </c>
      <c r="AF1185">
        <v>25</v>
      </c>
      <c r="AI1185">
        <v>0</v>
      </c>
      <c r="AJ1185">
        <v>640</v>
      </c>
      <c r="AK1185">
        <v>665</v>
      </c>
      <c r="AL1185">
        <v>1830</v>
      </c>
      <c r="AM1185">
        <v>668</v>
      </c>
      <c r="AN1185">
        <v>0</v>
      </c>
      <c r="AO1185">
        <v>668</v>
      </c>
      <c r="AP1185" t="s">
        <v>69</v>
      </c>
      <c r="AR1185" t="s">
        <v>86</v>
      </c>
      <c r="AS1185" t="s">
        <v>86</v>
      </c>
      <c r="AT1185" t="s">
        <v>264</v>
      </c>
      <c r="AU1185" t="s">
        <v>264</v>
      </c>
      <c r="AV1185" t="s">
        <v>1096</v>
      </c>
      <c r="AW1185" t="s">
        <v>69</v>
      </c>
      <c r="AX1185" t="s">
        <v>1097</v>
      </c>
      <c r="AY1185" t="s">
        <v>1098</v>
      </c>
      <c r="AZ1185" t="s">
        <v>243</v>
      </c>
      <c r="BA1185" t="s">
        <v>264</v>
      </c>
      <c r="BB1185" t="s">
        <v>244</v>
      </c>
      <c r="BC1185" t="s">
        <v>244</v>
      </c>
      <c r="BD1185" t="s">
        <v>1103</v>
      </c>
      <c r="BE1185" t="s">
        <v>3597</v>
      </c>
      <c r="BF1185" t="s">
        <v>86</v>
      </c>
      <c r="BG1185" t="s">
        <v>150</v>
      </c>
      <c r="BH1185" t="str">
        <f>IF(COUNTIF(工作表1!A:A, $C1185)&gt;0, "預購款", "非預購款")</f>
        <v>非預購款</v>
      </c>
    </row>
    <row r="1186" spans="1:60" x14ac:dyDescent="0.25">
      <c r="A1186" t="s">
        <v>1089</v>
      </c>
      <c r="B1186" t="s">
        <v>535</v>
      </c>
      <c r="C1186" t="s">
        <v>1090</v>
      </c>
      <c r="D1186" t="s">
        <v>1091</v>
      </c>
      <c r="E1186" t="s">
        <v>1092</v>
      </c>
      <c r="F1186" t="s">
        <v>183</v>
      </c>
      <c r="G1186" t="s">
        <v>1093</v>
      </c>
      <c r="H1186" t="s">
        <v>130</v>
      </c>
      <c r="I1186" t="s">
        <v>171</v>
      </c>
      <c r="J1186" t="s">
        <v>172</v>
      </c>
      <c r="K1186" t="s">
        <v>69</v>
      </c>
      <c r="L1186" t="s">
        <v>1094</v>
      </c>
      <c r="M1186" t="s">
        <v>71</v>
      </c>
      <c r="N1186" t="s">
        <v>100</v>
      </c>
      <c r="O1186" t="s">
        <v>980</v>
      </c>
      <c r="P1186" t="s">
        <v>981</v>
      </c>
      <c r="R1186" t="s">
        <v>1095</v>
      </c>
      <c r="S1186" t="s">
        <v>2257</v>
      </c>
      <c r="T1186" t="s">
        <v>76</v>
      </c>
      <c r="U1186" t="s">
        <v>104</v>
      </c>
      <c r="V1186" t="s">
        <v>965</v>
      </c>
      <c r="W1186">
        <v>390</v>
      </c>
      <c r="X1186">
        <v>16.989999999999998</v>
      </c>
      <c r="Y1186">
        <v>49</v>
      </c>
      <c r="Z1186">
        <v>279000</v>
      </c>
      <c r="AA1186">
        <v>713700</v>
      </c>
      <c r="AB1186">
        <v>192</v>
      </c>
      <c r="AD1186" t="s">
        <v>238</v>
      </c>
      <c r="AE1186">
        <v>4</v>
      </c>
      <c r="AF1186">
        <v>15</v>
      </c>
      <c r="AI1186">
        <v>0</v>
      </c>
      <c r="AJ1186">
        <v>160</v>
      </c>
      <c r="AK1186">
        <v>175</v>
      </c>
      <c r="AL1186">
        <v>1830</v>
      </c>
      <c r="AM1186">
        <v>174</v>
      </c>
      <c r="AN1186">
        <v>0</v>
      </c>
      <c r="AO1186">
        <v>174</v>
      </c>
      <c r="AP1186" t="s">
        <v>69</v>
      </c>
      <c r="AR1186" t="s">
        <v>86</v>
      </c>
      <c r="AS1186" t="s">
        <v>86</v>
      </c>
      <c r="AT1186" t="s">
        <v>264</v>
      </c>
      <c r="AU1186" t="s">
        <v>264</v>
      </c>
      <c r="AV1186" t="s">
        <v>1096</v>
      </c>
      <c r="AW1186" t="s">
        <v>69</v>
      </c>
      <c r="AX1186" t="s">
        <v>1097</v>
      </c>
      <c r="AY1186" t="s">
        <v>1098</v>
      </c>
      <c r="AZ1186" t="s">
        <v>243</v>
      </c>
      <c r="BA1186" t="s">
        <v>264</v>
      </c>
      <c r="BB1186" t="s">
        <v>244</v>
      </c>
      <c r="BC1186" t="s">
        <v>244</v>
      </c>
      <c r="BD1186" t="s">
        <v>1104</v>
      </c>
      <c r="BE1186" t="s">
        <v>3597</v>
      </c>
      <c r="BF1186" t="s">
        <v>86</v>
      </c>
      <c r="BG1186" t="s">
        <v>150</v>
      </c>
      <c r="BH1186" t="str">
        <f>IF(COUNTIF(工作表1!A:A, $C1186)&gt;0, "預購款", "非預購款")</f>
        <v>非預購款</v>
      </c>
    </row>
    <row r="1187" spans="1:60" x14ac:dyDescent="0.25">
      <c r="A1187" t="s">
        <v>1089</v>
      </c>
      <c r="B1187" t="s">
        <v>535</v>
      </c>
      <c r="C1187" t="s">
        <v>1090</v>
      </c>
      <c r="D1187" t="s">
        <v>1091</v>
      </c>
      <c r="E1187" t="s">
        <v>1092</v>
      </c>
      <c r="F1187" t="s">
        <v>183</v>
      </c>
      <c r="G1187" t="s">
        <v>1093</v>
      </c>
      <c r="H1187" t="s">
        <v>132</v>
      </c>
      <c r="I1187" t="s">
        <v>171</v>
      </c>
      <c r="J1187" t="s">
        <v>172</v>
      </c>
      <c r="K1187" t="s">
        <v>69</v>
      </c>
      <c r="L1187" t="s">
        <v>1094</v>
      </c>
      <c r="M1187" t="s">
        <v>71</v>
      </c>
      <c r="N1187" t="s">
        <v>100</v>
      </c>
      <c r="O1187" t="s">
        <v>980</v>
      </c>
      <c r="P1187" t="s">
        <v>981</v>
      </c>
      <c r="R1187" t="s">
        <v>1095</v>
      </c>
      <c r="S1187" t="s">
        <v>2257</v>
      </c>
      <c r="T1187" t="s">
        <v>76</v>
      </c>
      <c r="U1187" t="s">
        <v>104</v>
      </c>
      <c r="V1187" t="s">
        <v>965</v>
      </c>
      <c r="W1187">
        <v>390</v>
      </c>
      <c r="X1187">
        <v>16.989999999999998</v>
      </c>
      <c r="Y1187">
        <v>49</v>
      </c>
      <c r="Z1187">
        <v>279000</v>
      </c>
      <c r="AA1187">
        <v>713700</v>
      </c>
      <c r="AB1187">
        <v>192</v>
      </c>
      <c r="AD1187" t="s">
        <v>238</v>
      </c>
      <c r="AE1187">
        <v>4</v>
      </c>
      <c r="AF1187">
        <v>0</v>
      </c>
      <c r="AI1187">
        <v>0</v>
      </c>
      <c r="AJ1187">
        <v>120</v>
      </c>
      <c r="AK1187">
        <v>120</v>
      </c>
      <c r="AL1187">
        <v>1830</v>
      </c>
      <c r="AM1187">
        <v>114</v>
      </c>
      <c r="AN1187">
        <v>0</v>
      </c>
      <c r="AO1187">
        <v>114</v>
      </c>
      <c r="AP1187" t="s">
        <v>69</v>
      </c>
      <c r="AR1187" t="s">
        <v>86</v>
      </c>
      <c r="AS1187" t="s">
        <v>86</v>
      </c>
      <c r="AT1187" t="s">
        <v>264</v>
      </c>
      <c r="AU1187" t="s">
        <v>264</v>
      </c>
      <c r="AV1187" t="s">
        <v>1096</v>
      </c>
      <c r="AW1187" t="s">
        <v>69</v>
      </c>
      <c r="AX1187" t="s">
        <v>1097</v>
      </c>
      <c r="AY1187" t="s">
        <v>1098</v>
      </c>
      <c r="AZ1187" t="s">
        <v>243</v>
      </c>
      <c r="BA1187" t="s">
        <v>264</v>
      </c>
      <c r="BB1187" t="s">
        <v>244</v>
      </c>
      <c r="BC1187" t="s">
        <v>244</v>
      </c>
      <c r="BD1187" t="s">
        <v>1105</v>
      </c>
      <c r="BE1187" t="s">
        <v>3597</v>
      </c>
      <c r="BF1187" t="s">
        <v>86</v>
      </c>
      <c r="BG1187" t="s">
        <v>150</v>
      </c>
      <c r="BH1187" t="str">
        <f>IF(COUNTIF(工作表1!A:A, $C1187)&gt;0, "預購款", "非預購款")</f>
        <v>非預購款</v>
      </c>
    </row>
    <row r="1188" spans="1:60" x14ac:dyDescent="0.25">
      <c r="A1188" t="s">
        <v>3603</v>
      </c>
      <c r="B1188" t="s">
        <v>535</v>
      </c>
      <c r="C1188" t="s">
        <v>3604</v>
      </c>
      <c r="D1188" t="s">
        <v>3605</v>
      </c>
      <c r="E1188" t="s">
        <v>3606</v>
      </c>
      <c r="F1188" t="s">
        <v>183</v>
      </c>
      <c r="G1188" t="s">
        <v>3607</v>
      </c>
      <c r="H1188" t="s">
        <v>66</v>
      </c>
      <c r="I1188" t="s">
        <v>1552</v>
      </c>
      <c r="J1188" t="s">
        <v>1553</v>
      </c>
      <c r="K1188" t="s">
        <v>69</v>
      </c>
      <c r="L1188" t="s">
        <v>3608</v>
      </c>
      <c r="M1188" t="s">
        <v>71</v>
      </c>
      <c r="N1188" t="s">
        <v>100</v>
      </c>
      <c r="O1188" t="s">
        <v>2306</v>
      </c>
      <c r="P1188" t="s">
        <v>2307</v>
      </c>
      <c r="R1188" t="s">
        <v>2518</v>
      </c>
      <c r="S1188" t="s">
        <v>2257</v>
      </c>
      <c r="T1188" t="s">
        <v>76</v>
      </c>
      <c r="U1188" t="s">
        <v>527</v>
      </c>
      <c r="V1188" t="s">
        <v>3609</v>
      </c>
      <c r="W1188">
        <v>390</v>
      </c>
      <c r="X1188">
        <v>16.989999999999998</v>
      </c>
      <c r="Y1188">
        <v>49</v>
      </c>
      <c r="Z1188">
        <v>279000</v>
      </c>
      <c r="AA1188">
        <v>78000</v>
      </c>
      <c r="AB1188">
        <v>58</v>
      </c>
      <c r="AD1188" t="s">
        <v>238</v>
      </c>
      <c r="AE1188">
        <v>2</v>
      </c>
      <c r="AF1188">
        <v>0</v>
      </c>
      <c r="AI1188">
        <v>50</v>
      </c>
      <c r="AJ1188">
        <v>50</v>
      </c>
      <c r="AK1188">
        <v>100</v>
      </c>
      <c r="AL1188">
        <v>200</v>
      </c>
      <c r="AM1188">
        <v>97</v>
      </c>
      <c r="AN1188">
        <v>0</v>
      </c>
      <c r="AO1188">
        <v>97</v>
      </c>
      <c r="AP1188" t="s">
        <v>69</v>
      </c>
      <c r="AR1188" t="s">
        <v>240</v>
      </c>
      <c r="AS1188" t="s">
        <v>240</v>
      </c>
      <c r="AT1188" t="s">
        <v>261</v>
      </c>
      <c r="AU1188" t="s">
        <v>240</v>
      </c>
      <c r="AV1188" t="s">
        <v>3610</v>
      </c>
      <c r="AW1188" t="s">
        <v>69</v>
      </c>
      <c r="AX1188" t="s">
        <v>3611</v>
      </c>
      <c r="AY1188" t="s">
        <v>3612</v>
      </c>
      <c r="BD1188" t="s">
        <v>3613</v>
      </c>
      <c r="BE1188" t="s">
        <v>3614</v>
      </c>
      <c r="BH1188" t="str">
        <f>IF(COUNTIF(工作表1!A:A, $C1188)&gt;0, "預購款", "非預購款")</f>
        <v>非預購款</v>
      </c>
    </row>
    <row r="1189" spans="1:60" x14ac:dyDescent="0.25">
      <c r="A1189" t="s">
        <v>3603</v>
      </c>
      <c r="B1189" t="s">
        <v>535</v>
      </c>
      <c r="C1189" t="s">
        <v>3604</v>
      </c>
      <c r="D1189" t="s">
        <v>3605</v>
      </c>
      <c r="E1189" t="s">
        <v>3606</v>
      </c>
      <c r="F1189" t="s">
        <v>183</v>
      </c>
      <c r="G1189" t="s">
        <v>3607</v>
      </c>
      <c r="H1189" t="s">
        <v>66</v>
      </c>
      <c r="I1189" t="s">
        <v>162</v>
      </c>
      <c r="J1189" t="s">
        <v>163</v>
      </c>
      <c r="K1189" t="s">
        <v>69</v>
      </c>
      <c r="L1189" t="s">
        <v>3608</v>
      </c>
      <c r="M1189" t="s">
        <v>71</v>
      </c>
      <c r="N1189" t="s">
        <v>100</v>
      </c>
      <c r="O1189" t="s">
        <v>2306</v>
      </c>
      <c r="P1189" t="s">
        <v>2307</v>
      </c>
      <c r="R1189" t="s">
        <v>2518</v>
      </c>
      <c r="S1189" t="s">
        <v>2257</v>
      </c>
      <c r="T1189" t="s">
        <v>76</v>
      </c>
      <c r="U1189" t="s">
        <v>527</v>
      </c>
      <c r="V1189" t="s">
        <v>3609</v>
      </c>
      <c r="W1189">
        <v>390</v>
      </c>
      <c r="X1189">
        <v>16.989999999999998</v>
      </c>
      <c r="Y1189">
        <v>49</v>
      </c>
      <c r="Z1189">
        <v>279000</v>
      </c>
      <c r="AA1189">
        <v>78000</v>
      </c>
      <c r="AB1189">
        <v>58</v>
      </c>
      <c r="AD1189" t="s">
        <v>238</v>
      </c>
      <c r="AE1189">
        <v>2</v>
      </c>
      <c r="AF1189">
        <v>0</v>
      </c>
      <c r="AI1189">
        <v>50</v>
      </c>
      <c r="AJ1189">
        <v>50</v>
      </c>
      <c r="AK1189">
        <v>100</v>
      </c>
      <c r="AL1189">
        <v>200</v>
      </c>
      <c r="AM1189">
        <v>96</v>
      </c>
      <c r="AN1189">
        <v>0</v>
      </c>
      <c r="AO1189">
        <v>96</v>
      </c>
      <c r="AP1189" t="s">
        <v>69</v>
      </c>
      <c r="AR1189" t="s">
        <v>240</v>
      </c>
      <c r="AS1189" t="s">
        <v>240</v>
      </c>
      <c r="AT1189" t="s">
        <v>261</v>
      </c>
      <c r="AU1189" t="s">
        <v>240</v>
      </c>
      <c r="AV1189" t="s">
        <v>3610</v>
      </c>
      <c r="AW1189" t="s">
        <v>69</v>
      </c>
      <c r="AX1189" t="s">
        <v>3611</v>
      </c>
      <c r="AY1189" t="s">
        <v>3612</v>
      </c>
      <c r="BD1189" t="s">
        <v>3615</v>
      </c>
      <c r="BE1189" t="s">
        <v>3614</v>
      </c>
      <c r="BH1189" t="str">
        <f>IF(COUNTIF(工作表1!A:A, $C1189)&gt;0, "預購款", "非預購款")</f>
        <v>非預購款</v>
      </c>
    </row>
    <row r="1190" spans="1:60" x14ac:dyDescent="0.25">
      <c r="A1190" t="s">
        <v>548</v>
      </c>
      <c r="B1190" t="s">
        <v>535</v>
      </c>
      <c r="C1190" t="s">
        <v>549</v>
      </c>
      <c r="D1190" t="s">
        <v>550</v>
      </c>
      <c r="E1190" t="s">
        <v>551</v>
      </c>
      <c r="F1190" t="s">
        <v>183</v>
      </c>
      <c r="G1190" t="s">
        <v>552</v>
      </c>
      <c r="H1190" t="s">
        <v>66</v>
      </c>
      <c r="I1190" t="s">
        <v>214</v>
      </c>
      <c r="J1190" t="s">
        <v>215</v>
      </c>
      <c r="K1190" t="s">
        <v>69</v>
      </c>
      <c r="L1190" t="s">
        <v>553</v>
      </c>
      <c r="M1190" t="s">
        <v>71</v>
      </c>
      <c r="N1190" t="s">
        <v>100</v>
      </c>
      <c r="O1190" t="s">
        <v>524</v>
      </c>
      <c r="P1190" t="s">
        <v>525</v>
      </c>
      <c r="R1190" t="s">
        <v>526</v>
      </c>
      <c r="S1190" t="s">
        <v>2257</v>
      </c>
      <c r="T1190" t="s">
        <v>258</v>
      </c>
      <c r="U1190" t="s">
        <v>527</v>
      </c>
      <c r="V1190" t="s">
        <v>554</v>
      </c>
      <c r="W1190">
        <v>690</v>
      </c>
      <c r="X1190">
        <v>29.99</v>
      </c>
      <c r="Y1190">
        <v>89</v>
      </c>
      <c r="Z1190">
        <v>499000</v>
      </c>
      <c r="AA1190">
        <v>690000</v>
      </c>
      <c r="AB1190">
        <v>90</v>
      </c>
      <c r="AD1190" t="s">
        <v>238</v>
      </c>
      <c r="AE1190">
        <v>1</v>
      </c>
      <c r="AF1190">
        <v>0</v>
      </c>
      <c r="AI1190">
        <v>400</v>
      </c>
      <c r="AJ1190">
        <v>600</v>
      </c>
      <c r="AK1190">
        <v>1000</v>
      </c>
      <c r="AL1190">
        <v>1000</v>
      </c>
      <c r="AM1190">
        <v>0</v>
      </c>
      <c r="AN1190">
        <v>0</v>
      </c>
      <c r="AO1190">
        <v>0</v>
      </c>
      <c r="AP1190" t="s">
        <v>69</v>
      </c>
      <c r="AT1190" t="s">
        <v>264</v>
      </c>
      <c r="AU1190" t="s">
        <v>264</v>
      </c>
      <c r="AV1190" t="s">
        <v>555</v>
      </c>
      <c r="AW1190" t="s">
        <v>69</v>
      </c>
      <c r="AX1190" t="s">
        <v>556</v>
      </c>
      <c r="AY1190" t="s">
        <v>557</v>
      </c>
      <c r="BD1190" t="s">
        <v>558</v>
      </c>
      <c r="BE1190" t="s">
        <v>3616</v>
      </c>
      <c r="BF1190" t="s">
        <v>240</v>
      </c>
      <c r="BH1190" t="str">
        <f>IF(COUNTIF(工作表1!A:A, $C1190)&gt;0, "預購款", "非預購款")</f>
        <v>非預購款</v>
      </c>
    </row>
    <row r="1191" spans="1:60" x14ac:dyDescent="0.25">
      <c r="A1191" t="s">
        <v>3373</v>
      </c>
      <c r="B1191" t="s">
        <v>1875</v>
      </c>
      <c r="C1191" t="s">
        <v>3374</v>
      </c>
      <c r="D1191" t="s">
        <v>3375</v>
      </c>
      <c r="E1191" t="s">
        <v>3376</v>
      </c>
      <c r="F1191" t="s">
        <v>183</v>
      </c>
      <c r="G1191" t="s">
        <v>3375</v>
      </c>
      <c r="H1191" t="s">
        <v>119</v>
      </c>
      <c r="I1191" t="s">
        <v>2277</v>
      </c>
      <c r="J1191" t="s">
        <v>2278</v>
      </c>
      <c r="K1191" t="s">
        <v>69</v>
      </c>
      <c r="L1191" t="s">
        <v>3377</v>
      </c>
      <c r="M1191" t="s">
        <v>71</v>
      </c>
      <c r="N1191" t="s">
        <v>198</v>
      </c>
      <c r="O1191" t="s">
        <v>2893</v>
      </c>
      <c r="P1191" t="s">
        <v>2894</v>
      </c>
      <c r="R1191" t="s">
        <v>2518</v>
      </c>
      <c r="S1191" t="s">
        <v>2257</v>
      </c>
      <c r="T1191" t="s">
        <v>258</v>
      </c>
      <c r="U1191" t="s">
        <v>1876</v>
      </c>
      <c r="V1191" t="s">
        <v>2844</v>
      </c>
      <c r="W1191">
        <v>1580</v>
      </c>
      <c r="X1191">
        <v>64.989999999999995</v>
      </c>
      <c r="Y1191">
        <v>209</v>
      </c>
      <c r="Z1191">
        <v>1139000</v>
      </c>
      <c r="AA1191">
        <v>521400</v>
      </c>
      <c r="AB1191">
        <v>800</v>
      </c>
      <c r="AD1191" t="s">
        <v>238</v>
      </c>
      <c r="AE1191">
        <v>2</v>
      </c>
      <c r="AF1191">
        <v>0</v>
      </c>
      <c r="AI1191">
        <v>90</v>
      </c>
      <c r="AJ1191">
        <v>30</v>
      </c>
      <c r="AK1191">
        <v>120</v>
      </c>
      <c r="AL1191">
        <v>330</v>
      </c>
      <c r="AM1191">
        <v>0</v>
      </c>
      <c r="AN1191">
        <v>0</v>
      </c>
      <c r="AO1191">
        <v>0</v>
      </c>
      <c r="AP1191" t="s">
        <v>69</v>
      </c>
      <c r="AT1191" t="s">
        <v>86</v>
      </c>
      <c r="AU1191" t="s">
        <v>86</v>
      </c>
      <c r="AW1191" t="s">
        <v>69</v>
      </c>
      <c r="AX1191" t="s">
        <v>3372</v>
      </c>
      <c r="AY1191" t="s">
        <v>3378</v>
      </c>
      <c r="BD1191" t="s">
        <v>3380</v>
      </c>
      <c r="BE1191" t="s">
        <v>3617</v>
      </c>
      <c r="BH1191" t="str">
        <f>IF(COUNTIF(工作表1!A:A, $C1191)&gt;0, "預購款", "非預購款")</f>
        <v>非預購款</v>
      </c>
    </row>
    <row r="1192" spans="1:60" x14ac:dyDescent="0.25">
      <c r="A1192" t="s">
        <v>3373</v>
      </c>
      <c r="B1192" t="s">
        <v>1875</v>
      </c>
      <c r="C1192" t="s">
        <v>3374</v>
      </c>
      <c r="D1192" t="s">
        <v>3375</v>
      </c>
      <c r="E1192" t="s">
        <v>3376</v>
      </c>
      <c r="F1192" t="s">
        <v>183</v>
      </c>
      <c r="G1192" t="s">
        <v>3375</v>
      </c>
      <c r="H1192" t="s">
        <v>130</v>
      </c>
      <c r="I1192" t="s">
        <v>2277</v>
      </c>
      <c r="J1192" t="s">
        <v>2278</v>
      </c>
      <c r="K1192" t="s">
        <v>69</v>
      </c>
      <c r="L1192" t="s">
        <v>3377</v>
      </c>
      <c r="M1192" t="s">
        <v>71</v>
      </c>
      <c r="N1192" t="s">
        <v>198</v>
      </c>
      <c r="O1192" t="s">
        <v>2893</v>
      </c>
      <c r="P1192" t="s">
        <v>2894</v>
      </c>
      <c r="R1192" t="s">
        <v>2518</v>
      </c>
      <c r="S1192" t="s">
        <v>2257</v>
      </c>
      <c r="T1192" t="s">
        <v>258</v>
      </c>
      <c r="U1192" t="s">
        <v>1876</v>
      </c>
      <c r="V1192" t="s">
        <v>2844</v>
      </c>
      <c r="W1192">
        <v>1580</v>
      </c>
      <c r="X1192">
        <v>64.989999999999995</v>
      </c>
      <c r="Y1192">
        <v>209</v>
      </c>
      <c r="Z1192">
        <v>1139000</v>
      </c>
      <c r="AA1192">
        <v>521400</v>
      </c>
      <c r="AB1192">
        <v>800</v>
      </c>
      <c r="AD1192" t="s">
        <v>238</v>
      </c>
      <c r="AE1192">
        <v>2</v>
      </c>
      <c r="AF1192">
        <v>0</v>
      </c>
      <c r="AI1192">
        <v>60</v>
      </c>
      <c r="AJ1192">
        <v>30</v>
      </c>
      <c r="AK1192">
        <v>90</v>
      </c>
      <c r="AL1192">
        <v>330</v>
      </c>
      <c r="AM1192">
        <v>0</v>
      </c>
      <c r="AN1192">
        <v>0</v>
      </c>
      <c r="AO1192">
        <v>0</v>
      </c>
      <c r="AP1192" t="s">
        <v>69</v>
      </c>
      <c r="AT1192" t="s">
        <v>86</v>
      </c>
      <c r="AU1192" t="s">
        <v>86</v>
      </c>
      <c r="AW1192" t="s">
        <v>69</v>
      </c>
      <c r="AX1192" t="s">
        <v>3372</v>
      </c>
      <c r="AY1192" t="s">
        <v>3378</v>
      </c>
      <c r="BD1192" t="s">
        <v>3381</v>
      </c>
      <c r="BE1192" t="s">
        <v>3617</v>
      </c>
      <c r="BH1192" t="str">
        <f>IF(COUNTIF(工作表1!A:A, $C1192)&gt;0, "預購款", "非預購款")</f>
        <v>非預購款</v>
      </c>
    </row>
    <row r="1193" spans="1:60" x14ac:dyDescent="0.25">
      <c r="A1193" t="s">
        <v>3373</v>
      </c>
      <c r="B1193" t="s">
        <v>1875</v>
      </c>
      <c r="C1193" t="s">
        <v>3374</v>
      </c>
      <c r="D1193" t="s">
        <v>3375</v>
      </c>
      <c r="E1193" t="s">
        <v>3376</v>
      </c>
      <c r="F1193" t="s">
        <v>183</v>
      </c>
      <c r="G1193" t="s">
        <v>3375</v>
      </c>
      <c r="H1193" t="s">
        <v>132</v>
      </c>
      <c r="I1193" t="s">
        <v>2277</v>
      </c>
      <c r="J1193" t="s">
        <v>2278</v>
      </c>
      <c r="K1193" t="s">
        <v>69</v>
      </c>
      <c r="L1193" t="s">
        <v>3377</v>
      </c>
      <c r="M1193" t="s">
        <v>71</v>
      </c>
      <c r="N1193" t="s">
        <v>198</v>
      </c>
      <c r="O1193" t="s">
        <v>2893</v>
      </c>
      <c r="P1193" t="s">
        <v>2894</v>
      </c>
      <c r="R1193" t="s">
        <v>2518</v>
      </c>
      <c r="S1193" t="s">
        <v>2257</v>
      </c>
      <c r="T1193" t="s">
        <v>258</v>
      </c>
      <c r="U1193" t="s">
        <v>1876</v>
      </c>
      <c r="V1193" t="s">
        <v>2844</v>
      </c>
      <c r="W1193">
        <v>1580</v>
      </c>
      <c r="X1193">
        <v>64.989999999999995</v>
      </c>
      <c r="Y1193">
        <v>209</v>
      </c>
      <c r="Z1193">
        <v>1139000</v>
      </c>
      <c r="AA1193">
        <v>521400</v>
      </c>
      <c r="AB1193">
        <v>800</v>
      </c>
      <c r="AD1193" t="s">
        <v>238</v>
      </c>
      <c r="AE1193">
        <v>2</v>
      </c>
      <c r="AF1193">
        <v>0</v>
      </c>
      <c r="AI1193">
        <v>0</v>
      </c>
      <c r="AJ1193">
        <v>30</v>
      </c>
      <c r="AK1193">
        <v>30</v>
      </c>
      <c r="AL1193">
        <v>330</v>
      </c>
      <c r="AM1193">
        <v>0</v>
      </c>
      <c r="AN1193">
        <v>0</v>
      </c>
      <c r="AO1193">
        <v>0</v>
      </c>
      <c r="AP1193" t="s">
        <v>69</v>
      </c>
      <c r="AT1193" t="s">
        <v>86</v>
      </c>
      <c r="AU1193" t="s">
        <v>86</v>
      </c>
      <c r="AW1193" t="s">
        <v>69</v>
      </c>
      <c r="AX1193" t="s">
        <v>3372</v>
      </c>
      <c r="AY1193" t="s">
        <v>3378</v>
      </c>
      <c r="BD1193" t="s">
        <v>3382</v>
      </c>
      <c r="BE1193" t="s">
        <v>3617</v>
      </c>
      <c r="BH1193" t="str">
        <f>IF(COUNTIF(工作表1!A:A, $C1193)&gt;0, "預購款", "非預購款")</f>
        <v>非預購款</v>
      </c>
    </row>
    <row r="1194" spans="1:60" x14ac:dyDescent="0.25">
      <c r="A1194" t="s">
        <v>3359</v>
      </c>
      <c r="B1194" t="s">
        <v>3360</v>
      </c>
      <c r="C1194" t="s">
        <v>3361</v>
      </c>
      <c r="D1194" t="s">
        <v>3362</v>
      </c>
      <c r="E1194" t="s">
        <v>3363</v>
      </c>
      <c r="F1194" t="s">
        <v>183</v>
      </c>
      <c r="G1194" t="s">
        <v>3362</v>
      </c>
      <c r="H1194" t="s">
        <v>273</v>
      </c>
      <c r="I1194" t="s">
        <v>120</v>
      </c>
      <c r="J1194" t="s">
        <v>121</v>
      </c>
      <c r="K1194" t="s">
        <v>69</v>
      </c>
      <c r="L1194" t="s">
        <v>3364</v>
      </c>
      <c r="M1194" t="s">
        <v>71</v>
      </c>
      <c r="N1194" t="s">
        <v>198</v>
      </c>
      <c r="O1194" t="s">
        <v>2893</v>
      </c>
      <c r="P1194" t="s">
        <v>2894</v>
      </c>
      <c r="R1194" t="s">
        <v>2518</v>
      </c>
      <c r="S1194" t="s">
        <v>2257</v>
      </c>
      <c r="T1194" t="s">
        <v>258</v>
      </c>
      <c r="U1194" t="s">
        <v>1876</v>
      </c>
      <c r="V1194" t="s">
        <v>3365</v>
      </c>
      <c r="W1194">
        <v>990</v>
      </c>
      <c r="X1194">
        <v>39.99</v>
      </c>
      <c r="Y1194">
        <v>129</v>
      </c>
      <c r="Z1194">
        <v>709000</v>
      </c>
      <c r="AA1194">
        <v>237600</v>
      </c>
      <c r="AB1194">
        <v>500</v>
      </c>
      <c r="AD1194" t="s">
        <v>238</v>
      </c>
      <c r="AE1194">
        <v>1</v>
      </c>
      <c r="AF1194">
        <v>0</v>
      </c>
      <c r="AI1194">
        <v>0</v>
      </c>
      <c r="AJ1194">
        <v>20</v>
      </c>
      <c r="AK1194">
        <v>20</v>
      </c>
      <c r="AL1194">
        <v>240</v>
      </c>
      <c r="AM1194">
        <v>20</v>
      </c>
      <c r="AN1194">
        <v>0</v>
      </c>
      <c r="AO1194">
        <v>20</v>
      </c>
      <c r="AP1194" t="s">
        <v>80</v>
      </c>
      <c r="AQ1194" t="s">
        <v>190</v>
      </c>
      <c r="AS1194" t="s">
        <v>86</v>
      </c>
      <c r="AT1194" t="s">
        <v>86</v>
      </c>
      <c r="AU1194" t="s">
        <v>240</v>
      </c>
      <c r="AW1194" t="s">
        <v>69</v>
      </c>
      <c r="AX1194" t="s">
        <v>3366</v>
      </c>
      <c r="AY1194" t="s">
        <v>3367</v>
      </c>
      <c r="BD1194" t="s">
        <v>3368</v>
      </c>
      <c r="BE1194" t="s">
        <v>3618</v>
      </c>
      <c r="BH1194" t="str">
        <f>IF(COUNTIF(工作表1!A:A, $C1194)&gt;0, "預購款", "非預購款")</f>
        <v>非預購款</v>
      </c>
    </row>
    <row r="1195" spans="1:60" x14ac:dyDescent="0.25">
      <c r="A1195" t="s">
        <v>3359</v>
      </c>
      <c r="B1195" t="s">
        <v>3360</v>
      </c>
      <c r="C1195" t="s">
        <v>3361</v>
      </c>
      <c r="D1195" t="s">
        <v>3362</v>
      </c>
      <c r="E1195" t="s">
        <v>3363</v>
      </c>
      <c r="F1195" t="s">
        <v>183</v>
      </c>
      <c r="G1195" t="s">
        <v>3362</v>
      </c>
      <c r="H1195" t="s">
        <v>130</v>
      </c>
      <c r="I1195" t="s">
        <v>120</v>
      </c>
      <c r="J1195" t="s">
        <v>121</v>
      </c>
      <c r="K1195" t="s">
        <v>69</v>
      </c>
      <c r="L1195" t="s">
        <v>3364</v>
      </c>
      <c r="M1195" t="s">
        <v>71</v>
      </c>
      <c r="N1195" t="s">
        <v>198</v>
      </c>
      <c r="O1195" t="s">
        <v>2893</v>
      </c>
      <c r="P1195" t="s">
        <v>2894</v>
      </c>
      <c r="R1195" t="s">
        <v>2518</v>
      </c>
      <c r="S1195" t="s">
        <v>2257</v>
      </c>
      <c r="T1195" t="s">
        <v>258</v>
      </c>
      <c r="U1195" t="s">
        <v>1876</v>
      </c>
      <c r="V1195" t="s">
        <v>3365</v>
      </c>
      <c r="W1195">
        <v>990</v>
      </c>
      <c r="X1195">
        <v>39.99</v>
      </c>
      <c r="Y1195">
        <v>129</v>
      </c>
      <c r="Z1195">
        <v>709000</v>
      </c>
      <c r="AA1195">
        <v>237600</v>
      </c>
      <c r="AB1195">
        <v>500</v>
      </c>
      <c r="AD1195" t="s">
        <v>238</v>
      </c>
      <c r="AE1195">
        <v>1</v>
      </c>
      <c r="AF1195">
        <v>0</v>
      </c>
      <c r="AI1195">
        <v>40</v>
      </c>
      <c r="AJ1195">
        <v>40</v>
      </c>
      <c r="AK1195">
        <v>80</v>
      </c>
      <c r="AL1195">
        <v>240</v>
      </c>
      <c r="AM1195">
        <v>79</v>
      </c>
      <c r="AN1195">
        <v>0</v>
      </c>
      <c r="AO1195">
        <v>79</v>
      </c>
      <c r="AP1195" t="s">
        <v>80</v>
      </c>
      <c r="AQ1195" t="s">
        <v>190</v>
      </c>
      <c r="AS1195" t="s">
        <v>86</v>
      </c>
      <c r="AT1195" t="s">
        <v>86</v>
      </c>
      <c r="AU1195" t="s">
        <v>240</v>
      </c>
      <c r="AW1195" t="s">
        <v>69</v>
      </c>
      <c r="AX1195" t="s">
        <v>3366</v>
      </c>
      <c r="AY1195" t="s">
        <v>3367</v>
      </c>
      <c r="BD1195" t="s">
        <v>3619</v>
      </c>
      <c r="BE1195" t="s">
        <v>3618</v>
      </c>
      <c r="BH1195" t="str">
        <f>IF(COUNTIF(工作表1!A:A, $C1195)&gt;0, "預購款", "非預購款")</f>
        <v>非預購款</v>
      </c>
    </row>
    <row r="1196" spans="1:60" x14ac:dyDescent="0.25">
      <c r="A1196" t="s">
        <v>3359</v>
      </c>
      <c r="B1196" t="s">
        <v>3360</v>
      </c>
      <c r="C1196" t="s">
        <v>3361</v>
      </c>
      <c r="D1196" t="s">
        <v>3362</v>
      </c>
      <c r="E1196" t="s">
        <v>3363</v>
      </c>
      <c r="F1196" t="s">
        <v>183</v>
      </c>
      <c r="G1196" t="s">
        <v>3362</v>
      </c>
      <c r="H1196" t="s">
        <v>132</v>
      </c>
      <c r="I1196" t="s">
        <v>120</v>
      </c>
      <c r="J1196" t="s">
        <v>121</v>
      </c>
      <c r="K1196" t="s">
        <v>69</v>
      </c>
      <c r="L1196" t="s">
        <v>3364</v>
      </c>
      <c r="M1196" t="s">
        <v>71</v>
      </c>
      <c r="N1196" t="s">
        <v>198</v>
      </c>
      <c r="O1196" t="s">
        <v>2893</v>
      </c>
      <c r="P1196" t="s">
        <v>2894</v>
      </c>
      <c r="R1196" t="s">
        <v>2518</v>
      </c>
      <c r="S1196" t="s">
        <v>2257</v>
      </c>
      <c r="T1196" t="s">
        <v>258</v>
      </c>
      <c r="U1196" t="s">
        <v>1876</v>
      </c>
      <c r="V1196" t="s">
        <v>3365</v>
      </c>
      <c r="W1196">
        <v>990</v>
      </c>
      <c r="X1196">
        <v>39.99</v>
      </c>
      <c r="Y1196">
        <v>129</v>
      </c>
      <c r="Z1196">
        <v>709000</v>
      </c>
      <c r="AA1196">
        <v>237600</v>
      </c>
      <c r="AB1196">
        <v>500</v>
      </c>
      <c r="AD1196" t="s">
        <v>238</v>
      </c>
      <c r="AE1196">
        <v>1</v>
      </c>
      <c r="AF1196">
        <v>0</v>
      </c>
      <c r="AI1196">
        <v>40</v>
      </c>
      <c r="AJ1196">
        <v>40</v>
      </c>
      <c r="AK1196">
        <v>80</v>
      </c>
      <c r="AL1196">
        <v>240</v>
      </c>
      <c r="AM1196">
        <v>80</v>
      </c>
      <c r="AN1196">
        <v>0</v>
      </c>
      <c r="AO1196">
        <v>80</v>
      </c>
      <c r="AP1196" t="s">
        <v>80</v>
      </c>
      <c r="AQ1196" t="s">
        <v>190</v>
      </c>
      <c r="AS1196" t="s">
        <v>86</v>
      </c>
      <c r="AT1196" t="s">
        <v>86</v>
      </c>
      <c r="AU1196" t="s">
        <v>240</v>
      </c>
      <c r="AW1196" t="s">
        <v>69</v>
      </c>
      <c r="AX1196" t="s">
        <v>3366</v>
      </c>
      <c r="AY1196" t="s">
        <v>3367</v>
      </c>
      <c r="BD1196" t="s">
        <v>3369</v>
      </c>
      <c r="BE1196" t="s">
        <v>3618</v>
      </c>
      <c r="BH1196" t="str">
        <f>IF(COUNTIF(工作表1!A:A, $C1196)&gt;0, "預購款", "非預購款")</f>
        <v>非預購款</v>
      </c>
    </row>
    <row r="1197" spans="1:60" x14ac:dyDescent="0.25">
      <c r="A1197" t="s">
        <v>3359</v>
      </c>
      <c r="B1197" t="s">
        <v>3360</v>
      </c>
      <c r="C1197" t="s">
        <v>3361</v>
      </c>
      <c r="D1197" t="s">
        <v>3362</v>
      </c>
      <c r="E1197" t="s">
        <v>3363</v>
      </c>
      <c r="F1197" t="s">
        <v>183</v>
      </c>
      <c r="G1197" t="s">
        <v>3362</v>
      </c>
      <c r="H1197" t="s">
        <v>2860</v>
      </c>
      <c r="I1197" t="s">
        <v>120</v>
      </c>
      <c r="J1197" t="s">
        <v>121</v>
      </c>
      <c r="K1197" t="s">
        <v>69</v>
      </c>
      <c r="L1197" t="s">
        <v>3364</v>
      </c>
      <c r="M1197" t="s">
        <v>71</v>
      </c>
      <c r="N1197" t="s">
        <v>198</v>
      </c>
      <c r="O1197" t="s">
        <v>2893</v>
      </c>
      <c r="P1197" t="s">
        <v>2894</v>
      </c>
      <c r="R1197" t="s">
        <v>2518</v>
      </c>
      <c r="S1197" t="s">
        <v>2257</v>
      </c>
      <c r="T1197" t="s">
        <v>258</v>
      </c>
      <c r="U1197" t="s">
        <v>1876</v>
      </c>
      <c r="V1197" t="s">
        <v>3365</v>
      </c>
      <c r="W1197">
        <v>990</v>
      </c>
      <c r="X1197">
        <v>39.99</v>
      </c>
      <c r="Y1197">
        <v>129</v>
      </c>
      <c r="Z1197">
        <v>709000</v>
      </c>
      <c r="AA1197">
        <v>237600</v>
      </c>
      <c r="AB1197">
        <v>500</v>
      </c>
      <c r="AD1197" t="s">
        <v>238</v>
      </c>
      <c r="AE1197">
        <v>1</v>
      </c>
      <c r="AF1197">
        <v>0</v>
      </c>
      <c r="AI1197">
        <v>0</v>
      </c>
      <c r="AJ1197">
        <v>20</v>
      </c>
      <c r="AK1197">
        <v>20</v>
      </c>
      <c r="AL1197">
        <v>240</v>
      </c>
      <c r="AM1197">
        <v>20</v>
      </c>
      <c r="AN1197">
        <v>0</v>
      </c>
      <c r="AO1197">
        <v>20</v>
      </c>
      <c r="AP1197" t="s">
        <v>80</v>
      </c>
      <c r="AQ1197" t="s">
        <v>190</v>
      </c>
      <c r="AS1197" t="s">
        <v>86</v>
      </c>
      <c r="AT1197" t="s">
        <v>86</v>
      </c>
      <c r="AU1197" t="s">
        <v>240</v>
      </c>
      <c r="AW1197" t="s">
        <v>69</v>
      </c>
      <c r="AX1197" t="s">
        <v>3366</v>
      </c>
      <c r="AY1197" t="s">
        <v>3367</v>
      </c>
      <c r="BD1197" t="s">
        <v>3620</v>
      </c>
      <c r="BE1197" t="s">
        <v>3618</v>
      </c>
      <c r="BH1197" t="str">
        <f>IF(COUNTIF(工作表1!A:A, $C1197)&gt;0, "預購款", "非預購款")</f>
        <v>非預購款</v>
      </c>
    </row>
    <row r="1198" spans="1:60" x14ac:dyDescent="0.25">
      <c r="A1198" t="s">
        <v>1909</v>
      </c>
      <c r="B1198" t="s">
        <v>488</v>
      </c>
      <c r="C1198" t="s">
        <v>1910</v>
      </c>
      <c r="D1198" t="s">
        <v>1911</v>
      </c>
      <c r="E1198" t="s">
        <v>1912</v>
      </c>
      <c r="F1198" t="s">
        <v>1631</v>
      </c>
      <c r="G1198" t="s">
        <v>1913</v>
      </c>
      <c r="H1198" t="s">
        <v>119</v>
      </c>
      <c r="I1198" t="s">
        <v>67</v>
      </c>
      <c r="J1198" t="s">
        <v>68</v>
      </c>
      <c r="K1198" t="s">
        <v>69</v>
      </c>
      <c r="L1198" t="s">
        <v>1914</v>
      </c>
      <c r="M1198" t="s">
        <v>71</v>
      </c>
      <c r="N1198" t="s">
        <v>100</v>
      </c>
      <c r="O1198" t="s">
        <v>1900</v>
      </c>
      <c r="P1198" t="s">
        <v>1901</v>
      </c>
      <c r="R1198" t="s">
        <v>1902</v>
      </c>
      <c r="S1198" t="s">
        <v>1893</v>
      </c>
      <c r="T1198" t="s">
        <v>258</v>
      </c>
      <c r="U1198" t="s">
        <v>104</v>
      </c>
      <c r="V1198" t="s">
        <v>965</v>
      </c>
      <c r="W1198">
        <v>690</v>
      </c>
      <c r="X1198">
        <v>29.99</v>
      </c>
      <c r="Y1198">
        <v>89</v>
      </c>
      <c r="Z1198">
        <v>499000</v>
      </c>
      <c r="AA1198">
        <v>11730</v>
      </c>
      <c r="AB1198">
        <v>215</v>
      </c>
      <c r="AD1198" t="s">
        <v>238</v>
      </c>
      <c r="AE1198">
        <v>1</v>
      </c>
      <c r="AF1198">
        <v>0</v>
      </c>
      <c r="AI1198">
        <v>0</v>
      </c>
      <c r="AJ1198">
        <v>7</v>
      </c>
      <c r="AK1198">
        <v>7</v>
      </c>
      <c r="AL1198">
        <v>17</v>
      </c>
      <c r="AM1198">
        <v>7</v>
      </c>
      <c r="AN1198">
        <v>0</v>
      </c>
      <c r="AO1198">
        <v>7</v>
      </c>
      <c r="AP1198" t="s">
        <v>80</v>
      </c>
      <c r="AQ1198" t="s">
        <v>1151</v>
      </c>
      <c r="AR1198" t="s">
        <v>86</v>
      </c>
      <c r="AS1198" t="s">
        <v>86</v>
      </c>
      <c r="AT1198" t="s">
        <v>240</v>
      </c>
      <c r="AU1198" t="s">
        <v>86</v>
      </c>
      <c r="AV1198" t="s">
        <v>1915</v>
      </c>
      <c r="AW1198" t="s">
        <v>69</v>
      </c>
      <c r="AX1198" t="s">
        <v>737</v>
      </c>
      <c r="AY1198" t="s">
        <v>1916</v>
      </c>
      <c r="AZ1198" t="s">
        <v>243</v>
      </c>
      <c r="BA1198" t="s">
        <v>245</v>
      </c>
      <c r="BB1198" t="s">
        <v>244</v>
      </c>
      <c r="BC1198" t="s">
        <v>245</v>
      </c>
      <c r="BD1198" t="s">
        <v>1917</v>
      </c>
      <c r="BE1198" t="s">
        <v>3621</v>
      </c>
      <c r="BF1198" t="s">
        <v>240</v>
      </c>
      <c r="BG1198" t="s">
        <v>150</v>
      </c>
      <c r="BH1198" t="str">
        <f>IF(COUNTIF(工作表1!A:A, $C1198)&gt;0, "預購款", "非預購款")</f>
        <v>非預購款</v>
      </c>
    </row>
    <row r="1199" spans="1:60" x14ac:dyDescent="0.25">
      <c r="A1199" t="s">
        <v>1909</v>
      </c>
      <c r="B1199" t="s">
        <v>488</v>
      </c>
      <c r="C1199" t="s">
        <v>1910</v>
      </c>
      <c r="D1199" t="s">
        <v>1911</v>
      </c>
      <c r="E1199" t="s">
        <v>1912</v>
      </c>
      <c r="F1199" t="s">
        <v>1631</v>
      </c>
      <c r="G1199" t="s">
        <v>1913</v>
      </c>
      <c r="H1199" t="s">
        <v>130</v>
      </c>
      <c r="I1199" t="s">
        <v>67</v>
      </c>
      <c r="J1199" t="s">
        <v>68</v>
      </c>
      <c r="K1199" t="s">
        <v>69</v>
      </c>
      <c r="L1199" t="s">
        <v>1914</v>
      </c>
      <c r="M1199" t="s">
        <v>71</v>
      </c>
      <c r="N1199" t="s">
        <v>100</v>
      </c>
      <c r="O1199" t="s">
        <v>1900</v>
      </c>
      <c r="P1199" t="s">
        <v>1901</v>
      </c>
      <c r="R1199" t="s">
        <v>1902</v>
      </c>
      <c r="S1199" t="s">
        <v>1893</v>
      </c>
      <c r="T1199" t="s">
        <v>258</v>
      </c>
      <c r="U1199" t="s">
        <v>104</v>
      </c>
      <c r="V1199" t="s">
        <v>965</v>
      </c>
      <c r="W1199">
        <v>690</v>
      </c>
      <c r="X1199">
        <v>29.99</v>
      </c>
      <c r="Y1199">
        <v>89</v>
      </c>
      <c r="Z1199">
        <v>499000</v>
      </c>
      <c r="AA1199">
        <v>11730</v>
      </c>
      <c r="AB1199">
        <v>215</v>
      </c>
      <c r="AD1199" t="s">
        <v>238</v>
      </c>
      <c r="AE1199">
        <v>1</v>
      </c>
      <c r="AF1199">
        <v>0</v>
      </c>
      <c r="AI1199">
        <v>0</v>
      </c>
      <c r="AJ1199">
        <v>8</v>
      </c>
      <c r="AK1199">
        <v>8</v>
      </c>
      <c r="AL1199">
        <v>17</v>
      </c>
      <c r="AM1199">
        <v>8</v>
      </c>
      <c r="AN1199">
        <v>0</v>
      </c>
      <c r="AO1199">
        <v>8</v>
      </c>
      <c r="AP1199" t="s">
        <v>80</v>
      </c>
      <c r="AQ1199" t="s">
        <v>1151</v>
      </c>
      <c r="AR1199" t="s">
        <v>86</v>
      </c>
      <c r="AS1199" t="s">
        <v>86</v>
      </c>
      <c r="AT1199" t="s">
        <v>240</v>
      </c>
      <c r="AU1199" t="s">
        <v>86</v>
      </c>
      <c r="AV1199" t="s">
        <v>1915</v>
      </c>
      <c r="AW1199" t="s">
        <v>69</v>
      </c>
      <c r="AX1199" t="s">
        <v>737</v>
      </c>
      <c r="AY1199" t="s">
        <v>1916</v>
      </c>
      <c r="AZ1199" t="s">
        <v>243</v>
      </c>
      <c r="BA1199" t="s">
        <v>245</v>
      </c>
      <c r="BB1199" t="s">
        <v>244</v>
      </c>
      <c r="BC1199" t="s">
        <v>245</v>
      </c>
      <c r="BD1199" t="s">
        <v>1919</v>
      </c>
      <c r="BE1199" t="s">
        <v>3621</v>
      </c>
      <c r="BF1199" t="s">
        <v>240</v>
      </c>
      <c r="BG1199" t="s">
        <v>150</v>
      </c>
      <c r="BH1199" t="str">
        <f>IF(COUNTIF(工作表1!A:A, $C1199)&gt;0, "預購款", "非預購款")</f>
        <v>非預購款</v>
      </c>
    </row>
    <row r="1200" spans="1:60" x14ac:dyDescent="0.25">
      <c r="A1200" t="s">
        <v>1909</v>
      </c>
      <c r="B1200" t="s">
        <v>488</v>
      </c>
      <c r="C1200" t="s">
        <v>1910</v>
      </c>
      <c r="D1200" t="s">
        <v>1911</v>
      </c>
      <c r="E1200" t="s">
        <v>1912</v>
      </c>
      <c r="F1200" t="s">
        <v>1631</v>
      </c>
      <c r="G1200" t="s">
        <v>1913</v>
      </c>
      <c r="H1200" t="s">
        <v>132</v>
      </c>
      <c r="I1200" t="s">
        <v>67</v>
      </c>
      <c r="J1200" t="s">
        <v>68</v>
      </c>
      <c r="K1200" t="s">
        <v>69</v>
      </c>
      <c r="L1200" t="s">
        <v>1914</v>
      </c>
      <c r="M1200" t="s">
        <v>71</v>
      </c>
      <c r="N1200" t="s">
        <v>100</v>
      </c>
      <c r="O1200" t="s">
        <v>1900</v>
      </c>
      <c r="P1200" t="s">
        <v>1901</v>
      </c>
      <c r="R1200" t="s">
        <v>1902</v>
      </c>
      <c r="S1200" t="s">
        <v>1893</v>
      </c>
      <c r="T1200" t="s">
        <v>258</v>
      </c>
      <c r="U1200" t="s">
        <v>104</v>
      </c>
      <c r="V1200" t="s">
        <v>965</v>
      </c>
      <c r="W1200">
        <v>690</v>
      </c>
      <c r="X1200">
        <v>29.99</v>
      </c>
      <c r="Y1200">
        <v>89</v>
      </c>
      <c r="Z1200">
        <v>499000</v>
      </c>
      <c r="AA1200">
        <v>11730</v>
      </c>
      <c r="AB1200">
        <v>215</v>
      </c>
      <c r="AD1200" t="s">
        <v>238</v>
      </c>
      <c r="AE1200">
        <v>1</v>
      </c>
      <c r="AF1200">
        <v>0</v>
      </c>
      <c r="AI1200">
        <v>0</v>
      </c>
      <c r="AJ1200">
        <v>2</v>
      </c>
      <c r="AK1200">
        <v>2</v>
      </c>
      <c r="AL1200">
        <v>17</v>
      </c>
      <c r="AM1200">
        <v>2</v>
      </c>
      <c r="AN1200">
        <v>0</v>
      </c>
      <c r="AO1200">
        <v>2</v>
      </c>
      <c r="AP1200" t="s">
        <v>80</v>
      </c>
      <c r="AQ1200" t="s">
        <v>1151</v>
      </c>
      <c r="AR1200" t="s">
        <v>86</v>
      </c>
      <c r="AS1200" t="s">
        <v>86</v>
      </c>
      <c r="AT1200" t="s">
        <v>240</v>
      </c>
      <c r="AU1200" t="s">
        <v>86</v>
      </c>
      <c r="AV1200" t="s">
        <v>1915</v>
      </c>
      <c r="AW1200" t="s">
        <v>69</v>
      </c>
      <c r="AX1200" t="s">
        <v>737</v>
      </c>
      <c r="AY1200" t="s">
        <v>1916</v>
      </c>
      <c r="AZ1200" t="s">
        <v>243</v>
      </c>
      <c r="BA1200" t="s">
        <v>245</v>
      </c>
      <c r="BB1200" t="s">
        <v>244</v>
      </c>
      <c r="BC1200" t="s">
        <v>245</v>
      </c>
      <c r="BD1200" t="s">
        <v>1920</v>
      </c>
      <c r="BE1200" t="s">
        <v>3621</v>
      </c>
      <c r="BF1200" t="s">
        <v>240</v>
      </c>
      <c r="BG1200" t="s">
        <v>150</v>
      </c>
      <c r="BH1200" t="str">
        <f>IF(COUNTIF(工作表1!A:A, $C1200)&gt;0, "預購款", "非預購款")</f>
        <v>非預購款</v>
      </c>
    </row>
    <row r="1201" spans="1:60" x14ac:dyDescent="0.25">
      <c r="A1201" t="s">
        <v>2610</v>
      </c>
      <c r="B1201" t="s">
        <v>488</v>
      </c>
      <c r="C1201" t="s">
        <v>2611</v>
      </c>
      <c r="D1201" t="s">
        <v>2612</v>
      </c>
      <c r="E1201" t="s">
        <v>2613</v>
      </c>
      <c r="F1201" t="s">
        <v>181</v>
      </c>
      <c r="G1201" t="s">
        <v>2614</v>
      </c>
      <c r="H1201" t="s">
        <v>119</v>
      </c>
      <c r="I1201" t="s">
        <v>162</v>
      </c>
      <c r="J1201" t="s">
        <v>163</v>
      </c>
      <c r="K1201" t="s">
        <v>69</v>
      </c>
      <c r="L1201" t="s">
        <v>2615</v>
      </c>
      <c r="M1201" t="s">
        <v>71</v>
      </c>
      <c r="N1201" t="s">
        <v>100</v>
      </c>
      <c r="O1201" t="s">
        <v>2597</v>
      </c>
      <c r="P1201" t="s">
        <v>2598</v>
      </c>
      <c r="R1201" t="s">
        <v>2599</v>
      </c>
      <c r="S1201" t="s">
        <v>176</v>
      </c>
      <c r="T1201" t="s">
        <v>258</v>
      </c>
      <c r="U1201" t="s">
        <v>146</v>
      </c>
      <c r="V1201" t="s">
        <v>321</v>
      </c>
      <c r="W1201">
        <v>790</v>
      </c>
      <c r="X1201">
        <v>34.99</v>
      </c>
      <c r="Y1201">
        <v>99</v>
      </c>
      <c r="Z1201">
        <v>569000</v>
      </c>
      <c r="AA1201">
        <v>18170</v>
      </c>
      <c r="AB1201">
        <v>225</v>
      </c>
      <c r="AD1201" t="s">
        <v>238</v>
      </c>
      <c r="AE1201">
        <v>2</v>
      </c>
      <c r="AF1201">
        <v>0</v>
      </c>
      <c r="AI1201">
        <v>0</v>
      </c>
      <c r="AJ1201">
        <v>5</v>
      </c>
      <c r="AK1201">
        <v>5</v>
      </c>
      <c r="AL1201">
        <v>23</v>
      </c>
      <c r="AM1201">
        <v>5</v>
      </c>
      <c r="AN1201">
        <v>0</v>
      </c>
      <c r="AO1201">
        <v>5</v>
      </c>
      <c r="AP1201" t="s">
        <v>80</v>
      </c>
      <c r="AQ1201" t="s">
        <v>184</v>
      </c>
      <c r="AR1201" t="s">
        <v>240</v>
      </c>
      <c r="AS1201" t="s">
        <v>240</v>
      </c>
      <c r="AT1201" t="s">
        <v>240</v>
      </c>
      <c r="AU1201" t="s">
        <v>240</v>
      </c>
      <c r="AV1201" t="s">
        <v>2616</v>
      </c>
      <c r="AW1201" t="s">
        <v>69</v>
      </c>
      <c r="AX1201" t="s">
        <v>262</v>
      </c>
      <c r="AY1201" t="s">
        <v>2617</v>
      </c>
      <c r="AZ1201" t="s">
        <v>264</v>
      </c>
      <c r="BA1201" t="s">
        <v>245</v>
      </c>
      <c r="BB1201" t="s">
        <v>245</v>
      </c>
      <c r="BC1201" t="s">
        <v>245</v>
      </c>
      <c r="BD1201" t="s">
        <v>2618</v>
      </c>
      <c r="BE1201" t="s">
        <v>3622</v>
      </c>
      <c r="BF1201" t="s">
        <v>240</v>
      </c>
      <c r="BG1201" t="s">
        <v>110</v>
      </c>
      <c r="BH1201" t="str">
        <f>IF(COUNTIF(工作表1!A:A, $C1201)&gt;0, "預購款", "非預購款")</f>
        <v>非預購款</v>
      </c>
    </row>
    <row r="1202" spans="1:60" x14ac:dyDescent="0.25">
      <c r="A1202" t="s">
        <v>2610</v>
      </c>
      <c r="B1202" t="s">
        <v>488</v>
      </c>
      <c r="C1202" t="s">
        <v>2611</v>
      </c>
      <c r="D1202" t="s">
        <v>2612</v>
      </c>
      <c r="E1202" t="s">
        <v>2613</v>
      </c>
      <c r="F1202" t="s">
        <v>181</v>
      </c>
      <c r="G1202" t="s">
        <v>2614</v>
      </c>
      <c r="H1202" t="s">
        <v>130</v>
      </c>
      <c r="I1202" t="s">
        <v>162</v>
      </c>
      <c r="J1202" t="s">
        <v>163</v>
      </c>
      <c r="K1202" t="s">
        <v>69</v>
      </c>
      <c r="L1202" t="s">
        <v>2615</v>
      </c>
      <c r="M1202" t="s">
        <v>71</v>
      </c>
      <c r="N1202" t="s">
        <v>100</v>
      </c>
      <c r="O1202" t="s">
        <v>2597</v>
      </c>
      <c r="P1202" t="s">
        <v>2598</v>
      </c>
      <c r="R1202" t="s">
        <v>2599</v>
      </c>
      <c r="S1202" t="s">
        <v>176</v>
      </c>
      <c r="T1202" t="s">
        <v>258</v>
      </c>
      <c r="U1202" t="s">
        <v>146</v>
      </c>
      <c r="V1202" t="s">
        <v>321</v>
      </c>
      <c r="W1202">
        <v>790</v>
      </c>
      <c r="X1202">
        <v>34.99</v>
      </c>
      <c r="Y1202">
        <v>99</v>
      </c>
      <c r="Z1202">
        <v>569000</v>
      </c>
      <c r="AA1202">
        <v>18170</v>
      </c>
      <c r="AB1202">
        <v>225</v>
      </c>
      <c r="AD1202" t="s">
        <v>238</v>
      </c>
      <c r="AE1202">
        <v>2</v>
      </c>
      <c r="AF1202">
        <v>0</v>
      </c>
      <c r="AI1202">
        <v>0</v>
      </c>
      <c r="AJ1202">
        <v>9</v>
      </c>
      <c r="AK1202">
        <v>9</v>
      </c>
      <c r="AL1202">
        <v>23</v>
      </c>
      <c r="AM1202">
        <v>9</v>
      </c>
      <c r="AN1202">
        <v>0</v>
      </c>
      <c r="AO1202">
        <v>9</v>
      </c>
      <c r="AP1202" t="s">
        <v>80</v>
      </c>
      <c r="AQ1202" t="s">
        <v>184</v>
      </c>
      <c r="AR1202" t="s">
        <v>240</v>
      </c>
      <c r="AS1202" t="s">
        <v>240</v>
      </c>
      <c r="AT1202" t="s">
        <v>240</v>
      </c>
      <c r="AU1202" t="s">
        <v>240</v>
      </c>
      <c r="AV1202" t="s">
        <v>2616</v>
      </c>
      <c r="AW1202" t="s">
        <v>69</v>
      </c>
      <c r="AX1202" t="s">
        <v>262</v>
      </c>
      <c r="AY1202" t="s">
        <v>2617</v>
      </c>
      <c r="AZ1202" t="s">
        <v>264</v>
      </c>
      <c r="BA1202" t="s">
        <v>245</v>
      </c>
      <c r="BB1202" t="s">
        <v>245</v>
      </c>
      <c r="BC1202" t="s">
        <v>245</v>
      </c>
      <c r="BD1202" t="s">
        <v>2620</v>
      </c>
      <c r="BE1202" t="s">
        <v>3622</v>
      </c>
      <c r="BF1202" t="s">
        <v>240</v>
      </c>
      <c r="BG1202" t="s">
        <v>110</v>
      </c>
      <c r="BH1202" t="str">
        <f>IF(COUNTIF(工作表1!A:A, $C1202)&gt;0, "預購款", "非預購款")</f>
        <v>非預購款</v>
      </c>
    </row>
    <row r="1203" spans="1:60" x14ac:dyDescent="0.25">
      <c r="A1203" t="s">
        <v>2610</v>
      </c>
      <c r="B1203" t="s">
        <v>488</v>
      </c>
      <c r="C1203" t="s">
        <v>2611</v>
      </c>
      <c r="D1203" t="s">
        <v>2612</v>
      </c>
      <c r="E1203" t="s">
        <v>2613</v>
      </c>
      <c r="F1203" t="s">
        <v>181</v>
      </c>
      <c r="G1203" t="s">
        <v>2614</v>
      </c>
      <c r="H1203" t="s">
        <v>132</v>
      </c>
      <c r="I1203" t="s">
        <v>162</v>
      </c>
      <c r="J1203" t="s">
        <v>163</v>
      </c>
      <c r="K1203" t="s">
        <v>69</v>
      </c>
      <c r="L1203" t="s">
        <v>2615</v>
      </c>
      <c r="M1203" t="s">
        <v>71</v>
      </c>
      <c r="N1203" t="s">
        <v>100</v>
      </c>
      <c r="O1203" t="s">
        <v>2597</v>
      </c>
      <c r="P1203" t="s">
        <v>2598</v>
      </c>
      <c r="R1203" t="s">
        <v>2599</v>
      </c>
      <c r="S1203" t="s">
        <v>176</v>
      </c>
      <c r="T1203" t="s">
        <v>258</v>
      </c>
      <c r="U1203" t="s">
        <v>146</v>
      </c>
      <c r="V1203" t="s">
        <v>321</v>
      </c>
      <c r="W1203">
        <v>790</v>
      </c>
      <c r="X1203">
        <v>34.99</v>
      </c>
      <c r="Y1203">
        <v>99</v>
      </c>
      <c r="Z1203">
        <v>569000</v>
      </c>
      <c r="AA1203">
        <v>18170</v>
      </c>
      <c r="AB1203">
        <v>225</v>
      </c>
      <c r="AD1203" t="s">
        <v>238</v>
      </c>
      <c r="AE1203">
        <v>2</v>
      </c>
      <c r="AF1203">
        <v>0</v>
      </c>
      <c r="AI1203">
        <v>0</v>
      </c>
      <c r="AJ1203">
        <v>1</v>
      </c>
      <c r="AK1203">
        <v>1</v>
      </c>
      <c r="AL1203">
        <v>23</v>
      </c>
      <c r="AM1203">
        <v>1</v>
      </c>
      <c r="AN1203">
        <v>0</v>
      </c>
      <c r="AO1203">
        <v>1</v>
      </c>
      <c r="AP1203" t="s">
        <v>80</v>
      </c>
      <c r="AQ1203" t="s">
        <v>184</v>
      </c>
      <c r="AR1203" t="s">
        <v>240</v>
      </c>
      <c r="AS1203" t="s">
        <v>240</v>
      </c>
      <c r="AT1203" t="s">
        <v>240</v>
      </c>
      <c r="AU1203" t="s">
        <v>240</v>
      </c>
      <c r="AV1203" t="s">
        <v>2616</v>
      </c>
      <c r="AW1203" t="s">
        <v>69</v>
      </c>
      <c r="AX1203" t="s">
        <v>262</v>
      </c>
      <c r="AY1203" t="s">
        <v>2617</v>
      </c>
      <c r="AZ1203" t="s">
        <v>264</v>
      </c>
      <c r="BA1203" t="s">
        <v>245</v>
      </c>
      <c r="BB1203" t="s">
        <v>245</v>
      </c>
      <c r="BC1203" t="s">
        <v>245</v>
      </c>
      <c r="BD1203" t="s">
        <v>2621</v>
      </c>
      <c r="BE1203" t="s">
        <v>3622</v>
      </c>
      <c r="BF1203" t="s">
        <v>240</v>
      </c>
      <c r="BG1203" t="s">
        <v>110</v>
      </c>
      <c r="BH1203" t="str">
        <f>IF(COUNTIF(工作表1!A:A, $C1203)&gt;0, "預購款", "非預購款")</f>
        <v>非預購款</v>
      </c>
    </row>
    <row r="1204" spans="1:60" x14ac:dyDescent="0.25">
      <c r="A1204" t="s">
        <v>2610</v>
      </c>
      <c r="B1204" t="s">
        <v>488</v>
      </c>
      <c r="C1204" t="s">
        <v>2611</v>
      </c>
      <c r="D1204" t="s">
        <v>2612</v>
      </c>
      <c r="E1204" t="s">
        <v>2613</v>
      </c>
      <c r="F1204" t="s">
        <v>181</v>
      </c>
      <c r="G1204" t="s">
        <v>2614</v>
      </c>
      <c r="H1204" t="s">
        <v>130</v>
      </c>
      <c r="I1204" t="s">
        <v>88</v>
      </c>
      <c r="J1204" t="s">
        <v>89</v>
      </c>
      <c r="K1204" t="s">
        <v>69</v>
      </c>
      <c r="L1204" t="s">
        <v>2615</v>
      </c>
      <c r="M1204" t="s">
        <v>71</v>
      </c>
      <c r="N1204" t="s">
        <v>100</v>
      </c>
      <c r="O1204" t="s">
        <v>2597</v>
      </c>
      <c r="P1204" t="s">
        <v>2598</v>
      </c>
      <c r="R1204" t="s">
        <v>2599</v>
      </c>
      <c r="S1204" t="s">
        <v>176</v>
      </c>
      <c r="T1204" t="s">
        <v>258</v>
      </c>
      <c r="U1204" t="s">
        <v>146</v>
      </c>
      <c r="V1204" t="s">
        <v>321</v>
      </c>
      <c r="W1204">
        <v>790</v>
      </c>
      <c r="X1204">
        <v>34.99</v>
      </c>
      <c r="Y1204">
        <v>99</v>
      </c>
      <c r="Z1204">
        <v>569000</v>
      </c>
      <c r="AA1204">
        <v>18170</v>
      </c>
      <c r="AB1204">
        <v>225</v>
      </c>
      <c r="AD1204" t="s">
        <v>238</v>
      </c>
      <c r="AE1204">
        <v>2</v>
      </c>
      <c r="AF1204">
        <v>0</v>
      </c>
      <c r="AI1204">
        <v>0</v>
      </c>
      <c r="AJ1204">
        <v>4</v>
      </c>
      <c r="AK1204">
        <v>4</v>
      </c>
      <c r="AL1204">
        <v>23</v>
      </c>
      <c r="AM1204">
        <v>4</v>
      </c>
      <c r="AN1204">
        <v>0</v>
      </c>
      <c r="AO1204">
        <v>4</v>
      </c>
      <c r="AP1204" t="s">
        <v>80</v>
      </c>
      <c r="AQ1204" t="s">
        <v>184</v>
      </c>
      <c r="AR1204" t="s">
        <v>240</v>
      </c>
      <c r="AS1204" t="s">
        <v>240</v>
      </c>
      <c r="AT1204" t="s">
        <v>240</v>
      </c>
      <c r="AU1204" t="s">
        <v>240</v>
      </c>
      <c r="AV1204" t="s">
        <v>2616</v>
      </c>
      <c r="AW1204" t="s">
        <v>69</v>
      </c>
      <c r="AX1204" t="s">
        <v>262</v>
      </c>
      <c r="AY1204" t="s">
        <v>2617</v>
      </c>
      <c r="AZ1204" t="s">
        <v>264</v>
      </c>
      <c r="BA1204" t="s">
        <v>245</v>
      </c>
      <c r="BB1204" t="s">
        <v>245</v>
      </c>
      <c r="BC1204" t="s">
        <v>245</v>
      </c>
      <c r="BD1204" t="s">
        <v>2623</v>
      </c>
      <c r="BE1204" t="s">
        <v>3622</v>
      </c>
      <c r="BF1204" t="s">
        <v>240</v>
      </c>
      <c r="BG1204" t="s">
        <v>110</v>
      </c>
      <c r="BH1204" t="str">
        <f>IF(COUNTIF(工作表1!A:A, $C1204)&gt;0, "預購款", "非預購款")</f>
        <v>非預購款</v>
      </c>
    </row>
    <row r="1205" spans="1:60" x14ac:dyDescent="0.25">
      <c r="A1205" t="s">
        <v>2610</v>
      </c>
      <c r="B1205" t="s">
        <v>488</v>
      </c>
      <c r="C1205" t="s">
        <v>2611</v>
      </c>
      <c r="D1205" t="s">
        <v>2612</v>
      </c>
      <c r="E1205" t="s">
        <v>2613</v>
      </c>
      <c r="F1205" t="s">
        <v>181</v>
      </c>
      <c r="G1205" t="s">
        <v>2614</v>
      </c>
      <c r="H1205" t="s">
        <v>132</v>
      </c>
      <c r="I1205" t="s">
        <v>88</v>
      </c>
      <c r="J1205" t="s">
        <v>89</v>
      </c>
      <c r="K1205" t="s">
        <v>69</v>
      </c>
      <c r="L1205" t="s">
        <v>2615</v>
      </c>
      <c r="M1205" t="s">
        <v>71</v>
      </c>
      <c r="N1205" t="s">
        <v>100</v>
      </c>
      <c r="O1205" t="s">
        <v>2597</v>
      </c>
      <c r="P1205" t="s">
        <v>2598</v>
      </c>
      <c r="R1205" t="s">
        <v>2599</v>
      </c>
      <c r="S1205" t="s">
        <v>176</v>
      </c>
      <c r="T1205" t="s">
        <v>258</v>
      </c>
      <c r="U1205" t="s">
        <v>146</v>
      </c>
      <c r="V1205" t="s">
        <v>321</v>
      </c>
      <c r="W1205">
        <v>790</v>
      </c>
      <c r="X1205">
        <v>34.99</v>
      </c>
      <c r="Y1205">
        <v>99</v>
      </c>
      <c r="Z1205">
        <v>569000</v>
      </c>
      <c r="AA1205">
        <v>18170</v>
      </c>
      <c r="AB1205">
        <v>225</v>
      </c>
      <c r="AD1205" t="s">
        <v>238</v>
      </c>
      <c r="AE1205">
        <v>2</v>
      </c>
      <c r="AF1205">
        <v>0</v>
      </c>
      <c r="AI1205">
        <v>0</v>
      </c>
      <c r="AJ1205">
        <v>4</v>
      </c>
      <c r="AK1205">
        <v>4</v>
      </c>
      <c r="AL1205">
        <v>23</v>
      </c>
      <c r="AM1205">
        <v>4</v>
      </c>
      <c r="AN1205">
        <v>0</v>
      </c>
      <c r="AO1205">
        <v>4</v>
      </c>
      <c r="AP1205" t="s">
        <v>80</v>
      </c>
      <c r="AQ1205" t="s">
        <v>184</v>
      </c>
      <c r="AR1205" t="s">
        <v>240</v>
      </c>
      <c r="AS1205" t="s">
        <v>240</v>
      </c>
      <c r="AT1205" t="s">
        <v>240</v>
      </c>
      <c r="AU1205" t="s">
        <v>240</v>
      </c>
      <c r="AV1205" t="s">
        <v>2616</v>
      </c>
      <c r="AW1205" t="s">
        <v>69</v>
      </c>
      <c r="AX1205" t="s">
        <v>262</v>
      </c>
      <c r="AY1205" t="s">
        <v>2617</v>
      </c>
      <c r="AZ1205" t="s">
        <v>264</v>
      </c>
      <c r="BA1205" t="s">
        <v>245</v>
      </c>
      <c r="BB1205" t="s">
        <v>245</v>
      </c>
      <c r="BC1205" t="s">
        <v>245</v>
      </c>
      <c r="BD1205" t="s">
        <v>2624</v>
      </c>
      <c r="BE1205" t="s">
        <v>3622</v>
      </c>
      <c r="BF1205" t="s">
        <v>240</v>
      </c>
      <c r="BG1205" t="s">
        <v>110</v>
      </c>
      <c r="BH1205" t="str">
        <f>IF(COUNTIF(工作表1!A:A, $C1205)&gt;0, "預購款", "非預購款")</f>
        <v>非預購款</v>
      </c>
    </row>
    <row r="1206" spans="1:60" x14ac:dyDescent="0.25">
      <c r="A1206" t="s">
        <v>3633</v>
      </c>
      <c r="B1206" t="s">
        <v>226</v>
      </c>
      <c r="C1206" t="s">
        <v>3634</v>
      </c>
      <c r="D1206" t="s">
        <v>3635</v>
      </c>
      <c r="E1206" t="s">
        <v>3636</v>
      </c>
      <c r="F1206" t="s">
        <v>3627</v>
      </c>
      <c r="G1206" t="s">
        <v>3637</v>
      </c>
      <c r="H1206" t="s">
        <v>119</v>
      </c>
      <c r="I1206" t="s">
        <v>97</v>
      </c>
      <c r="J1206" t="s">
        <v>98</v>
      </c>
      <c r="K1206" t="s">
        <v>69</v>
      </c>
      <c r="L1206" t="s">
        <v>3638</v>
      </c>
      <c r="M1206" t="s">
        <v>71</v>
      </c>
      <c r="N1206" t="s">
        <v>198</v>
      </c>
      <c r="O1206" t="s">
        <v>1307</v>
      </c>
      <c r="P1206" t="s">
        <v>1308</v>
      </c>
      <c r="R1206" t="s">
        <v>1309</v>
      </c>
      <c r="S1206" t="s">
        <v>3630</v>
      </c>
      <c r="T1206" t="s">
        <v>258</v>
      </c>
      <c r="U1206" t="s">
        <v>104</v>
      </c>
      <c r="V1206" t="s">
        <v>3530</v>
      </c>
      <c r="W1206">
        <v>590</v>
      </c>
      <c r="X1206">
        <v>29.99</v>
      </c>
      <c r="Y1206">
        <v>75</v>
      </c>
      <c r="Z1206">
        <v>429000</v>
      </c>
      <c r="AA1206">
        <v>1008900</v>
      </c>
      <c r="AB1206">
        <v>140</v>
      </c>
      <c r="AD1206" t="s">
        <v>238</v>
      </c>
      <c r="AE1206">
        <v>1</v>
      </c>
      <c r="AF1206">
        <v>0</v>
      </c>
      <c r="AI1206">
        <v>220</v>
      </c>
      <c r="AJ1206">
        <v>690</v>
      </c>
      <c r="AK1206">
        <v>910</v>
      </c>
      <c r="AL1206">
        <v>1710</v>
      </c>
      <c r="AM1206">
        <v>0</v>
      </c>
      <c r="AN1206">
        <v>0</v>
      </c>
      <c r="AO1206">
        <v>0</v>
      </c>
      <c r="AP1206" t="s">
        <v>69</v>
      </c>
      <c r="AT1206" t="s">
        <v>86</v>
      </c>
      <c r="AU1206" t="s">
        <v>240</v>
      </c>
      <c r="AV1206" t="s">
        <v>569</v>
      </c>
      <c r="AW1206" t="s">
        <v>69</v>
      </c>
      <c r="AX1206" t="s">
        <v>583</v>
      </c>
      <c r="AY1206" t="s">
        <v>3639</v>
      </c>
      <c r="AZ1206" t="s">
        <v>245</v>
      </c>
      <c r="BA1206" t="s">
        <v>264</v>
      </c>
      <c r="BB1206" t="s">
        <v>244</v>
      </c>
      <c r="BC1206" t="s">
        <v>244</v>
      </c>
      <c r="BD1206" t="s">
        <v>3640</v>
      </c>
      <c r="BE1206" t="s">
        <v>3641</v>
      </c>
      <c r="BF1206" t="s">
        <v>658</v>
      </c>
      <c r="BG1206" t="s">
        <v>150</v>
      </c>
      <c r="BH1206" t="str">
        <f>IF(COUNTIF(工作表1!A:A, $C1206)&gt;0, "預購款", "非預購款")</f>
        <v>預購款</v>
      </c>
    </row>
    <row r="1207" spans="1:60" x14ac:dyDescent="0.25">
      <c r="A1207" t="s">
        <v>3633</v>
      </c>
      <c r="B1207" t="s">
        <v>226</v>
      </c>
      <c r="C1207" t="s">
        <v>3634</v>
      </c>
      <c r="D1207" t="s">
        <v>3635</v>
      </c>
      <c r="E1207" t="s">
        <v>3636</v>
      </c>
      <c r="F1207" t="s">
        <v>3627</v>
      </c>
      <c r="G1207" t="s">
        <v>3637</v>
      </c>
      <c r="H1207" t="s">
        <v>130</v>
      </c>
      <c r="I1207" t="s">
        <v>97</v>
      </c>
      <c r="J1207" t="s">
        <v>98</v>
      </c>
      <c r="K1207" t="s">
        <v>69</v>
      </c>
      <c r="L1207" t="s">
        <v>3638</v>
      </c>
      <c r="M1207" t="s">
        <v>71</v>
      </c>
      <c r="N1207" t="s">
        <v>198</v>
      </c>
      <c r="O1207" t="s">
        <v>1307</v>
      </c>
      <c r="P1207" t="s">
        <v>1308</v>
      </c>
      <c r="R1207" t="s">
        <v>1309</v>
      </c>
      <c r="S1207" t="s">
        <v>3630</v>
      </c>
      <c r="T1207" t="s">
        <v>258</v>
      </c>
      <c r="U1207" t="s">
        <v>104</v>
      </c>
      <c r="V1207" t="s">
        <v>3530</v>
      </c>
      <c r="W1207">
        <v>590</v>
      </c>
      <c r="X1207">
        <v>29.99</v>
      </c>
      <c r="Y1207">
        <v>75</v>
      </c>
      <c r="Z1207">
        <v>429000</v>
      </c>
      <c r="AA1207">
        <v>1008900</v>
      </c>
      <c r="AB1207">
        <v>140</v>
      </c>
      <c r="AD1207" t="s">
        <v>238</v>
      </c>
      <c r="AE1207">
        <v>1</v>
      </c>
      <c r="AF1207">
        <v>0</v>
      </c>
      <c r="AI1207">
        <v>190</v>
      </c>
      <c r="AJ1207">
        <v>360</v>
      </c>
      <c r="AK1207">
        <v>550</v>
      </c>
      <c r="AL1207">
        <v>1710</v>
      </c>
      <c r="AM1207">
        <v>0</v>
      </c>
      <c r="AN1207">
        <v>0</v>
      </c>
      <c r="AO1207">
        <v>0</v>
      </c>
      <c r="AP1207" t="s">
        <v>69</v>
      </c>
      <c r="AT1207" t="s">
        <v>86</v>
      </c>
      <c r="AU1207" t="s">
        <v>240</v>
      </c>
      <c r="AV1207" t="s">
        <v>569</v>
      </c>
      <c r="AW1207" t="s">
        <v>69</v>
      </c>
      <c r="AX1207" t="s">
        <v>583</v>
      </c>
      <c r="AY1207" t="s">
        <v>3639</v>
      </c>
      <c r="AZ1207" t="s">
        <v>245</v>
      </c>
      <c r="BA1207" t="s">
        <v>264</v>
      </c>
      <c r="BB1207" t="s">
        <v>244</v>
      </c>
      <c r="BC1207" t="s">
        <v>244</v>
      </c>
      <c r="BD1207" t="s">
        <v>3642</v>
      </c>
      <c r="BE1207" t="s">
        <v>3641</v>
      </c>
      <c r="BF1207" t="s">
        <v>658</v>
      </c>
      <c r="BG1207" t="s">
        <v>150</v>
      </c>
      <c r="BH1207" t="str">
        <f>IF(COUNTIF(工作表1!A:A, $C1207)&gt;0, "預購款", "非預購款")</f>
        <v>預購款</v>
      </c>
    </row>
    <row r="1208" spans="1:60" x14ac:dyDescent="0.25">
      <c r="A1208" t="s">
        <v>3633</v>
      </c>
      <c r="B1208" t="s">
        <v>226</v>
      </c>
      <c r="C1208" t="s">
        <v>3634</v>
      </c>
      <c r="D1208" t="s">
        <v>3635</v>
      </c>
      <c r="E1208" t="s">
        <v>3636</v>
      </c>
      <c r="F1208" t="s">
        <v>3627</v>
      </c>
      <c r="G1208" t="s">
        <v>3637</v>
      </c>
      <c r="H1208" t="s">
        <v>132</v>
      </c>
      <c r="I1208" t="s">
        <v>97</v>
      </c>
      <c r="J1208" t="s">
        <v>98</v>
      </c>
      <c r="K1208" t="s">
        <v>69</v>
      </c>
      <c r="L1208" t="s">
        <v>3638</v>
      </c>
      <c r="M1208" t="s">
        <v>71</v>
      </c>
      <c r="N1208" t="s">
        <v>198</v>
      </c>
      <c r="O1208" t="s">
        <v>1307</v>
      </c>
      <c r="P1208" t="s">
        <v>1308</v>
      </c>
      <c r="R1208" t="s">
        <v>1309</v>
      </c>
      <c r="S1208" t="s">
        <v>3630</v>
      </c>
      <c r="T1208" t="s">
        <v>258</v>
      </c>
      <c r="U1208" t="s">
        <v>104</v>
      </c>
      <c r="V1208" t="s">
        <v>3530</v>
      </c>
      <c r="W1208">
        <v>590</v>
      </c>
      <c r="X1208">
        <v>29.99</v>
      </c>
      <c r="Y1208">
        <v>75</v>
      </c>
      <c r="Z1208">
        <v>429000</v>
      </c>
      <c r="AA1208">
        <v>1008900</v>
      </c>
      <c r="AB1208">
        <v>140</v>
      </c>
      <c r="AD1208" t="s">
        <v>238</v>
      </c>
      <c r="AE1208">
        <v>1</v>
      </c>
      <c r="AF1208">
        <v>0</v>
      </c>
      <c r="AI1208">
        <v>80</v>
      </c>
      <c r="AJ1208">
        <v>170</v>
      </c>
      <c r="AK1208">
        <v>250</v>
      </c>
      <c r="AL1208">
        <v>1710</v>
      </c>
      <c r="AM1208">
        <v>0</v>
      </c>
      <c r="AN1208">
        <v>0</v>
      </c>
      <c r="AO1208">
        <v>0</v>
      </c>
      <c r="AP1208" t="s">
        <v>69</v>
      </c>
      <c r="AT1208" t="s">
        <v>86</v>
      </c>
      <c r="AU1208" t="s">
        <v>240</v>
      </c>
      <c r="AV1208" t="s">
        <v>569</v>
      </c>
      <c r="AW1208" t="s">
        <v>69</v>
      </c>
      <c r="AX1208" t="s">
        <v>583</v>
      </c>
      <c r="AY1208" t="s">
        <v>3639</v>
      </c>
      <c r="AZ1208" t="s">
        <v>245</v>
      </c>
      <c r="BA1208" t="s">
        <v>264</v>
      </c>
      <c r="BB1208" t="s">
        <v>244</v>
      </c>
      <c r="BC1208" t="s">
        <v>244</v>
      </c>
      <c r="BD1208" t="s">
        <v>3643</v>
      </c>
      <c r="BE1208" t="s">
        <v>3641</v>
      </c>
      <c r="BF1208" t="s">
        <v>658</v>
      </c>
      <c r="BG1208" t="s">
        <v>150</v>
      </c>
      <c r="BH1208" t="str">
        <f>IF(COUNTIF(工作表1!A:A, $C1208)&gt;0, "預購款", "非預購款")</f>
        <v>預購款</v>
      </c>
    </row>
    <row r="1209" spans="1:60" x14ac:dyDescent="0.25">
      <c r="A1209" t="s">
        <v>3644</v>
      </c>
      <c r="B1209" t="s">
        <v>226</v>
      </c>
      <c r="C1209" t="s">
        <v>3645</v>
      </c>
      <c r="D1209" t="s">
        <v>3646</v>
      </c>
      <c r="E1209" t="s">
        <v>3647</v>
      </c>
      <c r="F1209" t="s">
        <v>3627</v>
      </c>
      <c r="G1209" t="s">
        <v>3648</v>
      </c>
      <c r="H1209" t="s">
        <v>273</v>
      </c>
      <c r="I1209" t="s">
        <v>97</v>
      </c>
      <c r="J1209" t="s">
        <v>98</v>
      </c>
      <c r="K1209" t="s">
        <v>69</v>
      </c>
      <c r="L1209" t="s">
        <v>3638</v>
      </c>
      <c r="M1209" t="s">
        <v>71</v>
      </c>
      <c r="N1209" t="s">
        <v>198</v>
      </c>
      <c r="O1209" t="s">
        <v>1307</v>
      </c>
      <c r="P1209" t="s">
        <v>1308</v>
      </c>
      <c r="R1209" t="s">
        <v>1309</v>
      </c>
      <c r="S1209" t="s">
        <v>3630</v>
      </c>
      <c r="T1209" t="s">
        <v>274</v>
      </c>
      <c r="U1209" t="s">
        <v>104</v>
      </c>
      <c r="V1209" t="s">
        <v>3530</v>
      </c>
      <c r="W1209">
        <v>690</v>
      </c>
      <c r="X1209">
        <v>29.99</v>
      </c>
      <c r="Y1209">
        <v>89</v>
      </c>
      <c r="Z1209">
        <v>499000</v>
      </c>
      <c r="AA1209">
        <v>106950</v>
      </c>
      <c r="AB1209">
        <v>160</v>
      </c>
      <c r="AD1209" t="s">
        <v>238</v>
      </c>
      <c r="AE1209">
        <v>1</v>
      </c>
      <c r="AF1209">
        <v>0</v>
      </c>
      <c r="AI1209">
        <v>30</v>
      </c>
      <c r="AJ1209">
        <v>55</v>
      </c>
      <c r="AK1209">
        <v>85</v>
      </c>
      <c r="AL1209">
        <v>155</v>
      </c>
      <c r="AM1209">
        <v>0</v>
      </c>
      <c r="AN1209">
        <v>0</v>
      </c>
      <c r="AO1209">
        <v>0</v>
      </c>
      <c r="AP1209" t="s">
        <v>69</v>
      </c>
      <c r="AT1209" t="s">
        <v>86</v>
      </c>
      <c r="AU1209" t="s">
        <v>86</v>
      </c>
      <c r="AV1209" t="s">
        <v>3649</v>
      </c>
      <c r="AW1209" t="s">
        <v>69</v>
      </c>
      <c r="AX1209" t="s">
        <v>668</v>
      </c>
      <c r="AY1209" t="s">
        <v>3650</v>
      </c>
      <c r="AZ1209" t="s">
        <v>245</v>
      </c>
      <c r="BA1209" t="s">
        <v>264</v>
      </c>
      <c r="BB1209" t="s">
        <v>244</v>
      </c>
      <c r="BC1209" t="s">
        <v>244</v>
      </c>
      <c r="BD1209" t="s">
        <v>3651</v>
      </c>
      <c r="BE1209" t="s">
        <v>3652</v>
      </c>
      <c r="BF1209" t="s">
        <v>672</v>
      </c>
      <c r="BG1209" t="s">
        <v>150</v>
      </c>
      <c r="BH1209" t="str">
        <f>IF(COUNTIF(工作表1!A:A, $C1209)&gt;0, "預購款", "非預購款")</f>
        <v>預購款</v>
      </c>
    </row>
    <row r="1210" spans="1:60" x14ac:dyDescent="0.25">
      <c r="A1210" t="s">
        <v>3644</v>
      </c>
      <c r="B1210" t="s">
        <v>226</v>
      </c>
      <c r="C1210" t="s">
        <v>3645</v>
      </c>
      <c r="D1210" t="s">
        <v>3646</v>
      </c>
      <c r="E1210" t="s">
        <v>3647</v>
      </c>
      <c r="F1210" t="s">
        <v>3627</v>
      </c>
      <c r="G1210" t="s">
        <v>3648</v>
      </c>
      <c r="H1210" t="s">
        <v>501</v>
      </c>
      <c r="I1210" t="s">
        <v>97</v>
      </c>
      <c r="J1210" t="s">
        <v>98</v>
      </c>
      <c r="K1210" t="s">
        <v>69</v>
      </c>
      <c r="L1210" t="s">
        <v>3638</v>
      </c>
      <c r="M1210" t="s">
        <v>71</v>
      </c>
      <c r="N1210" t="s">
        <v>198</v>
      </c>
      <c r="O1210" t="s">
        <v>1307</v>
      </c>
      <c r="P1210" t="s">
        <v>1308</v>
      </c>
      <c r="R1210" t="s">
        <v>1309</v>
      </c>
      <c r="S1210" t="s">
        <v>3630</v>
      </c>
      <c r="T1210" t="s">
        <v>274</v>
      </c>
      <c r="U1210" t="s">
        <v>104</v>
      </c>
      <c r="V1210" t="s">
        <v>3530</v>
      </c>
      <c r="W1210">
        <v>690</v>
      </c>
      <c r="X1210">
        <v>29.99</v>
      </c>
      <c r="Y1210">
        <v>89</v>
      </c>
      <c r="Z1210">
        <v>499000</v>
      </c>
      <c r="AA1210">
        <v>106950</v>
      </c>
      <c r="AB1210">
        <v>160</v>
      </c>
      <c r="AD1210" t="s">
        <v>238</v>
      </c>
      <c r="AE1210">
        <v>1</v>
      </c>
      <c r="AF1210">
        <v>0</v>
      </c>
      <c r="AI1210">
        <v>10</v>
      </c>
      <c r="AJ1210">
        <v>15</v>
      </c>
      <c r="AK1210">
        <v>25</v>
      </c>
      <c r="AL1210">
        <v>155</v>
      </c>
      <c r="AM1210">
        <v>0</v>
      </c>
      <c r="AN1210">
        <v>0</v>
      </c>
      <c r="AO1210">
        <v>0</v>
      </c>
      <c r="AP1210" t="s">
        <v>69</v>
      </c>
      <c r="AT1210" t="s">
        <v>86</v>
      </c>
      <c r="AU1210" t="s">
        <v>86</v>
      </c>
      <c r="AV1210" t="s">
        <v>3649</v>
      </c>
      <c r="AW1210" t="s">
        <v>69</v>
      </c>
      <c r="AX1210" t="s">
        <v>668</v>
      </c>
      <c r="AY1210" t="s">
        <v>3650</v>
      </c>
      <c r="AZ1210" t="s">
        <v>245</v>
      </c>
      <c r="BA1210" t="s">
        <v>264</v>
      </c>
      <c r="BB1210" t="s">
        <v>244</v>
      </c>
      <c r="BC1210" t="s">
        <v>244</v>
      </c>
      <c r="BD1210" t="s">
        <v>3653</v>
      </c>
      <c r="BE1210" t="s">
        <v>3652</v>
      </c>
      <c r="BF1210" t="s">
        <v>672</v>
      </c>
      <c r="BG1210" t="s">
        <v>150</v>
      </c>
      <c r="BH1210" t="str">
        <f>IF(COUNTIF(工作表1!A:A, $C1210)&gt;0, "預購款", "非預購款")</f>
        <v>預購款</v>
      </c>
    </row>
    <row r="1211" spans="1:60" x14ac:dyDescent="0.25">
      <c r="A1211" t="s">
        <v>3644</v>
      </c>
      <c r="B1211" t="s">
        <v>226</v>
      </c>
      <c r="C1211" t="s">
        <v>3645</v>
      </c>
      <c r="D1211" t="s">
        <v>3646</v>
      </c>
      <c r="E1211" t="s">
        <v>3647</v>
      </c>
      <c r="F1211" t="s">
        <v>3627</v>
      </c>
      <c r="G1211" t="s">
        <v>3648</v>
      </c>
      <c r="H1211" t="s">
        <v>280</v>
      </c>
      <c r="I1211" t="s">
        <v>97</v>
      </c>
      <c r="J1211" t="s">
        <v>98</v>
      </c>
      <c r="K1211" t="s">
        <v>69</v>
      </c>
      <c r="L1211" t="s">
        <v>3638</v>
      </c>
      <c r="M1211" t="s">
        <v>71</v>
      </c>
      <c r="N1211" t="s">
        <v>198</v>
      </c>
      <c r="O1211" t="s">
        <v>1307</v>
      </c>
      <c r="P1211" t="s">
        <v>1308</v>
      </c>
      <c r="R1211" t="s">
        <v>1309</v>
      </c>
      <c r="S1211" t="s">
        <v>3630</v>
      </c>
      <c r="T1211" t="s">
        <v>274</v>
      </c>
      <c r="U1211" t="s">
        <v>104</v>
      </c>
      <c r="V1211" t="s">
        <v>3530</v>
      </c>
      <c r="W1211">
        <v>690</v>
      </c>
      <c r="X1211">
        <v>29.99</v>
      </c>
      <c r="Y1211">
        <v>89</v>
      </c>
      <c r="Z1211">
        <v>499000</v>
      </c>
      <c r="AA1211">
        <v>106950</v>
      </c>
      <c r="AB1211">
        <v>160</v>
      </c>
      <c r="AD1211" t="s">
        <v>238</v>
      </c>
      <c r="AE1211">
        <v>1</v>
      </c>
      <c r="AF1211">
        <v>0</v>
      </c>
      <c r="AI1211">
        <v>25</v>
      </c>
      <c r="AJ1211">
        <v>20</v>
      </c>
      <c r="AK1211">
        <v>45</v>
      </c>
      <c r="AL1211">
        <v>155</v>
      </c>
      <c r="AM1211">
        <v>0</v>
      </c>
      <c r="AN1211">
        <v>0</v>
      </c>
      <c r="AO1211">
        <v>0</v>
      </c>
      <c r="AP1211" t="s">
        <v>69</v>
      </c>
      <c r="AT1211" t="s">
        <v>86</v>
      </c>
      <c r="AU1211" t="s">
        <v>86</v>
      </c>
      <c r="AV1211" t="s">
        <v>3649</v>
      </c>
      <c r="AW1211" t="s">
        <v>69</v>
      </c>
      <c r="AX1211" t="s">
        <v>668</v>
      </c>
      <c r="AY1211" t="s">
        <v>3650</v>
      </c>
      <c r="AZ1211" t="s">
        <v>245</v>
      </c>
      <c r="BA1211" t="s">
        <v>264</v>
      </c>
      <c r="BB1211" t="s">
        <v>244</v>
      </c>
      <c r="BC1211" t="s">
        <v>244</v>
      </c>
      <c r="BD1211" t="s">
        <v>3654</v>
      </c>
      <c r="BE1211" t="s">
        <v>3652</v>
      </c>
      <c r="BF1211" t="s">
        <v>672</v>
      </c>
      <c r="BG1211" t="s">
        <v>150</v>
      </c>
      <c r="BH1211" t="str">
        <f>IF(COUNTIF(工作表1!A:A, $C1211)&gt;0, "預購款", "非預購款")</f>
        <v>預購款</v>
      </c>
    </row>
    <row r="1212" spans="1:60" x14ac:dyDescent="0.25">
      <c r="A1212" t="s">
        <v>3666</v>
      </c>
      <c r="B1212" t="s">
        <v>226</v>
      </c>
      <c r="C1212" t="s">
        <v>3667</v>
      </c>
      <c r="D1212" t="s">
        <v>3668</v>
      </c>
      <c r="E1212" t="s">
        <v>3669</v>
      </c>
      <c r="F1212" t="s">
        <v>3627</v>
      </c>
      <c r="G1212" t="s">
        <v>3670</v>
      </c>
      <c r="H1212" t="s">
        <v>66</v>
      </c>
      <c r="I1212" t="s">
        <v>120</v>
      </c>
      <c r="J1212" t="s">
        <v>121</v>
      </c>
      <c r="K1212" t="s">
        <v>69</v>
      </c>
      <c r="L1212" t="s">
        <v>3671</v>
      </c>
      <c r="M1212" t="s">
        <v>71</v>
      </c>
      <c r="N1212" t="s">
        <v>198</v>
      </c>
      <c r="O1212" t="s">
        <v>1307</v>
      </c>
      <c r="P1212" t="s">
        <v>1308</v>
      </c>
      <c r="R1212" t="s">
        <v>1309</v>
      </c>
      <c r="S1212" t="s">
        <v>3630</v>
      </c>
      <c r="T1212" t="s">
        <v>258</v>
      </c>
      <c r="U1212" t="s">
        <v>104</v>
      </c>
      <c r="V1212" t="s">
        <v>1620</v>
      </c>
      <c r="W1212">
        <v>790</v>
      </c>
      <c r="X1212">
        <v>34.99</v>
      </c>
      <c r="Y1212">
        <v>99</v>
      </c>
      <c r="Z1212">
        <v>569000</v>
      </c>
      <c r="AA1212">
        <v>474000</v>
      </c>
      <c r="AB1212">
        <v>285</v>
      </c>
      <c r="AD1212" t="s">
        <v>238</v>
      </c>
      <c r="AE1212">
        <v>2</v>
      </c>
      <c r="AF1212">
        <v>0</v>
      </c>
      <c r="AI1212">
        <v>250</v>
      </c>
      <c r="AJ1212">
        <v>200</v>
      </c>
      <c r="AK1212">
        <v>450</v>
      </c>
      <c r="AL1212">
        <v>600</v>
      </c>
      <c r="AM1212">
        <v>0</v>
      </c>
      <c r="AN1212">
        <v>0</v>
      </c>
      <c r="AO1212">
        <v>0</v>
      </c>
      <c r="AP1212" t="s">
        <v>69</v>
      </c>
      <c r="AT1212" t="s">
        <v>240</v>
      </c>
      <c r="AU1212" t="s">
        <v>240</v>
      </c>
      <c r="AV1212" t="s">
        <v>3661</v>
      </c>
      <c r="AW1212" t="s">
        <v>69</v>
      </c>
      <c r="AX1212" t="s">
        <v>583</v>
      </c>
      <c r="AY1212" t="s">
        <v>631</v>
      </c>
      <c r="AZ1212" t="s">
        <v>245</v>
      </c>
      <c r="BA1212" t="s">
        <v>310</v>
      </c>
      <c r="BB1212" t="s">
        <v>244</v>
      </c>
      <c r="BC1212" t="s">
        <v>244</v>
      </c>
      <c r="BD1212" t="s">
        <v>3672</v>
      </c>
      <c r="BE1212" t="s">
        <v>3673</v>
      </c>
      <c r="BF1212" t="s">
        <v>240</v>
      </c>
      <c r="BG1212" t="s">
        <v>150</v>
      </c>
      <c r="BH1212" t="str">
        <f>IF(COUNTIF(工作表1!A:A, $C1212)&gt;0, "預購款", "非預購款")</f>
        <v>預購款</v>
      </c>
    </row>
    <row r="1213" spans="1:60" x14ac:dyDescent="0.25">
      <c r="A1213" t="s">
        <v>3666</v>
      </c>
      <c r="B1213" t="s">
        <v>226</v>
      </c>
      <c r="C1213" t="s">
        <v>3667</v>
      </c>
      <c r="D1213" t="s">
        <v>3668</v>
      </c>
      <c r="E1213" t="s">
        <v>3669</v>
      </c>
      <c r="F1213" t="s">
        <v>3627</v>
      </c>
      <c r="G1213" t="s">
        <v>3670</v>
      </c>
      <c r="H1213" t="s">
        <v>66</v>
      </c>
      <c r="I1213" t="s">
        <v>97</v>
      </c>
      <c r="J1213" t="s">
        <v>98</v>
      </c>
      <c r="K1213" t="s">
        <v>69</v>
      </c>
      <c r="L1213" t="s">
        <v>3671</v>
      </c>
      <c r="M1213" t="s">
        <v>71</v>
      </c>
      <c r="N1213" t="s">
        <v>198</v>
      </c>
      <c r="O1213" t="s">
        <v>1307</v>
      </c>
      <c r="P1213" t="s">
        <v>1308</v>
      </c>
      <c r="R1213" t="s">
        <v>1309</v>
      </c>
      <c r="S1213" t="s">
        <v>3630</v>
      </c>
      <c r="T1213" t="s">
        <v>258</v>
      </c>
      <c r="U1213" t="s">
        <v>104</v>
      </c>
      <c r="V1213" t="s">
        <v>1620</v>
      </c>
      <c r="W1213">
        <v>790</v>
      </c>
      <c r="X1213">
        <v>34.99</v>
      </c>
      <c r="Y1213">
        <v>99</v>
      </c>
      <c r="Z1213">
        <v>569000</v>
      </c>
      <c r="AA1213">
        <v>474000</v>
      </c>
      <c r="AB1213">
        <v>285</v>
      </c>
      <c r="AD1213" t="s">
        <v>238</v>
      </c>
      <c r="AE1213">
        <v>2</v>
      </c>
      <c r="AF1213">
        <v>0</v>
      </c>
      <c r="AI1213">
        <v>50</v>
      </c>
      <c r="AJ1213">
        <v>100</v>
      </c>
      <c r="AK1213">
        <v>150</v>
      </c>
      <c r="AL1213">
        <v>600</v>
      </c>
      <c r="AM1213">
        <v>0</v>
      </c>
      <c r="AN1213">
        <v>0</v>
      </c>
      <c r="AO1213">
        <v>0</v>
      </c>
      <c r="AP1213" t="s">
        <v>69</v>
      </c>
      <c r="AT1213" t="s">
        <v>240</v>
      </c>
      <c r="AU1213" t="s">
        <v>240</v>
      </c>
      <c r="AV1213" t="s">
        <v>3661</v>
      </c>
      <c r="AW1213" t="s">
        <v>69</v>
      </c>
      <c r="AX1213" t="s">
        <v>583</v>
      </c>
      <c r="AY1213" t="s">
        <v>631</v>
      </c>
      <c r="AZ1213" t="s">
        <v>245</v>
      </c>
      <c r="BA1213" t="s">
        <v>310</v>
      </c>
      <c r="BB1213" t="s">
        <v>244</v>
      </c>
      <c r="BC1213" t="s">
        <v>244</v>
      </c>
      <c r="BD1213" t="s">
        <v>3674</v>
      </c>
      <c r="BE1213" t="s">
        <v>3673</v>
      </c>
      <c r="BF1213" t="s">
        <v>240</v>
      </c>
      <c r="BG1213" t="s">
        <v>150</v>
      </c>
      <c r="BH1213" t="str">
        <f>IF(COUNTIF(工作表1!A:A, $C1213)&gt;0, "預購款", "非預購款")</f>
        <v>預購款</v>
      </c>
    </row>
    <row r="1214" spans="1:60" x14ac:dyDescent="0.25">
      <c r="A1214" t="s">
        <v>3682</v>
      </c>
      <c r="B1214" t="s">
        <v>283</v>
      </c>
      <c r="C1214" t="s">
        <v>3683</v>
      </c>
      <c r="D1214" t="s">
        <v>3684</v>
      </c>
      <c r="E1214" t="s">
        <v>3685</v>
      </c>
      <c r="F1214" t="s">
        <v>3627</v>
      </c>
      <c r="G1214" t="s">
        <v>3686</v>
      </c>
      <c r="H1214" t="s">
        <v>119</v>
      </c>
      <c r="I1214" t="s">
        <v>97</v>
      </c>
      <c r="J1214" t="s">
        <v>98</v>
      </c>
      <c r="K1214" t="s">
        <v>69</v>
      </c>
      <c r="L1214" t="s">
        <v>3687</v>
      </c>
      <c r="M1214" t="s">
        <v>71</v>
      </c>
      <c r="N1214" t="s">
        <v>198</v>
      </c>
      <c r="O1214" t="s">
        <v>1307</v>
      </c>
      <c r="P1214" t="s">
        <v>1308</v>
      </c>
      <c r="R1214" t="s">
        <v>1309</v>
      </c>
      <c r="S1214" t="s">
        <v>3630</v>
      </c>
      <c r="T1214" t="s">
        <v>258</v>
      </c>
      <c r="U1214" t="s">
        <v>150</v>
      </c>
      <c r="V1214" t="s">
        <v>166</v>
      </c>
      <c r="W1214">
        <v>790</v>
      </c>
      <c r="X1214">
        <v>34.99</v>
      </c>
      <c r="Y1214">
        <v>99</v>
      </c>
      <c r="Z1214">
        <v>569000</v>
      </c>
      <c r="AA1214">
        <v>398950</v>
      </c>
      <c r="AB1214">
        <v>180</v>
      </c>
      <c r="AD1214" t="s">
        <v>238</v>
      </c>
      <c r="AE1214">
        <v>1</v>
      </c>
      <c r="AF1214">
        <v>0</v>
      </c>
      <c r="AI1214">
        <v>60</v>
      </c>
      <c r="AJ1214">
        <v>180</v>
      </c>
      <c r="AK1214">
        <v>240</v>
      </c>
      <c r="AL1214">
        <v>505</v>
      </c>
      <c r="AM1214">
        <v>0</v>
      </c>
      <c r="AN1214">
        <v>0</v>
      </c>
      <c r="AO1214">
        <v>0</v>
      </c>
      <c r="AP1214" t="s">
        <v>69</v>
      </c>
      <c r="AT1214" t="s">
        <v>240</v>
      </c>
      <c r="AU1214" t="s">
        <v>240</v>
      </c>
      <c r="AV1214" t="s">
        <v>569</v>
      </c>
      <c r="AW1214" t="s">
        <v>69</v>
      </c>
      <c r="AX1214" t="s">
        <v>583</v>
      </c>
      <c r="AY1214" t="s">
        <v>3688</v>
      </c>
      <c r="AZ1214" t="s">
        <v>243</v>
      </c>
      <c r="BA1214" t="s">
        <v>245</v>
      </c>
      <c r="BB1214" t="s">
        <v>244</v>
      </c>
      <c r="BC1214" t="s">
        <v>264</v>
      </c>
      <c r="BD1214" t="s">
        <v>3689</v>
      </c>
      <c r="BE1214" t="s">
        <v>3690</v>
      </c>
      <c r="BF1214" t="s">
        <v>240</v>
      </c>
      <c r="BG1214" t="s">
        <v>87</v>
      </c>
      <c r="BH1214" t="str">
        <f>IF(COUNTIF(工作表1!A:A, $C1214)&gt;0, "預購款", "非預購款")</f>
        <v>預購款</v>
      </c>
    </row>
    <row r="1215" spans="1:60" x14ac:dyDescent="0.25">
      <c r="A1215" t="s">
        <v>3682</v>
      </c>
      <c r="B1215" t="s">
        <v>283</v>
      </c>
      <c r="C1215" t="s">
        <v>3683</v>
      </c>
      <c r="D1215" t="s">
        <v>3684</v>
      </c>
      <c r="E1215" t="s">
        <v>3685</v>
      </c>
      <c r="F1215" t="s">
        <v>3627</v>
      </c>
      <c r="G1215" t="s">
        <v>3686</v>
      </c>
      <c r="H1215" t="s">
        <v>130</v>
      </c>
      <c r="I1215" t="s">
        <v>97</v>
      </c>
      <c r="J1215" t="s">
        <v>98</v>
      </c>
      <c r="K1215" t="s">
        <v>69</v>
      </c>
      <c r="L1215" t="s">
        <v>3687</v>
      </c>
      <c r="M1215" t="s">
        <v>71</v>
      </c>
      <c r="N1215" t="s">
        <v>198</v>
      </c>
      <c r="O1215" t="s">
        <v>1307</v>
      </c>
      <c r="P1215" t="s">
        <v>1308</v>
      </c>
      <c r="R1215" t="s">
        <v>1309</v>
      </c>
      <c r="S1215" t="s">
        <v>3630</v>
      </c>
      <c r="T1215" t="s">
        <v>258</v>
      </c>
      <c r="U1215" t="s">
        <v>150</v>
      </c>
      <c r="V1215" t="s">
        <v>166</v>
      </c>
      <c r="W1215">
        <v>790</v>
      </c>
      <c r="X1215">
        <v>34.99</v>
      </c>
      <c r="Y1215">
        <v>99</v>
      </c>
      <c r="Z1215">
        <v>569000</v>
      </c>
      <c r="AA1215">
        <v>398950</v>
      </c>
      <c r="AB1215">
        <v>180</v>
      </c>
      <c r="AD1215" t="s">
        <v>238</v>
      </c>
      <c r="AE1215">
        <v>1</v>
      </c>
      <c r="AF1215">
        <v>0</v>
      </c>
      <c r="AI1215">
        <v>70</v>
      </c>
      <c r="AJ1215">
        <v>100</v>
      </c>
      <c r="AK1215">
        <v>170</v>
      </c>
      <c r="AL1215">
        <v>505</v>
      </c>
      <c r="AM1215">
        <v>0</v>
      </c>
      <c r="AN1215">
        <v>0</v>
      </c>
      <c r="AO1215">
        <v>0</v>
      </c>
      <c r="AP1215" t="s">
        <v>69</v>
      </c>
      <c r="AT1215" t="s">
        <v>240</v>
      </c>
      <c r="AU1215" t="s">
        <v>240</v>
      </c>
      <c r="AV1215" t="s">
        <v>569</v>
      </c>
      <c r="AW1215" t="s">
        <v>69</v>
      </c>
      <c r="AX1215" t="s">
        <v>583</v>
      </c>
      <c r="AY1215" t="s">
        <v>3688</v>
      </c>
      <c r="AZ1215" t="s">
        <v>243</v>
      </c>
      <c r="BA1215" t="s">
        <v>245</v>
      </c>
      <c r="BB1215" t="s">
        <v>244</v>
      </c>
      <c r="BC1215" t="s">
        <v>264</v>
      </c>
      <c r="BD1215" t="s">
        <v>3691</v>
      </c>
      <c r="BE1215" t="s">
        <v>3690</v>
      </c>
      <c r="BF1215" t="s">
        <v>240</v>
      </c>
      <c r="BG1215" t="s">
        <v>87</v>
      </c>
      <c r="BH1215" t="str">
        <f>IF(COUNTIF(工作表1!A:A, $C1215)&gt;0, "預購款", "非預購款")</f>
        <v>預購款</v>
      </c>
    </row>
    <row r="1216" spans="1:60" x14ac:dyDescent="0.25">
      <c r="A1216" t="s">
        <v>3682</v>
      </c>
      <c r="B1216" t="s">
        <v>283</v>
      </c>
      <c r="C1216" t="s">
        <v>3683</v>
      </c>
      <c r="D1216" t="s">
        <v>3684</v>
      </c>
      <c r="E1216" t="s">
        <v>3685</v>
      </c>
      <c r="F1216" t="s">
        <v>3627</v>
      </c>
      <c r="G1216" t="s">
        <v>3686</v>
      </c>
      <c r="H1216" t="s">
        <v>132</v>
      </c>
      <c r="I1216" t="s">
        <v>97</v>
      </c>
      <c r="J1216" t="s">
        <v>98</v>
      </c>
      <c r="K1216" t="s">
        <v>69</v>
      </c>
      <c r="L1216" t="s">
        <v>3687</v>
      </c>
      <c r="M1216" t="s">
        <v>71</v>
      </c>
      <c r="N1216" t="s">
        <v>198</v>
      </c>
      <c r="O1216" t="s">
        <v>1307</v>
      </c>
      <c r="P1216" t="s">
        <v>1308</v>
      </c>
      <c r="R1216" t="s">
        <v>1309</v>
      </c>
      <c r="S1216" t="s">
        <v>3630</v>
      </c>
      <c r="T1216" t="s">
        <v>258</v>
      </c>
      <c r="U1216" t="s">
        <v>150</v>
      </c>
      <c r="V1216" t="s">
        <v>166</v>
      </c>
      <c r="W1216">
        <v>790</v>
      </c>
      <c r="X1216">
        <v>34.99</v>
      </c>
      <c r="Y1216">
        <v>99</v>
      </c>
      <c r="Z1216">
        <v>569000</v>
      </c>
      <c r="AA1216">
        <v>398950</v>
      </c>
      <c r="AB1216">
        <v>180</v>
      </c>
      <c r="AD1216" t="s">
        <v>238</v>
      </c>
      <c r="AE1216">
        <v>1</v>
      </c>
      <c r="AF1216">
        <v>0</v>
      </c>
      <c r="AI1216">
        <v>50</v>
      </c>
      <c r="AJ1216">
        <v>45</v>
      </c>
      <c r="AK1216">
        <v>95</v>
      </c>
      <c r="AL1216">
        <v>505</v>
      </c>
      <c r="AM1216">
        <v>0</v>
      </c>
      <c r="AN1216">
        <v>0</v>
      </c>
      <c r="AO1216">
        <v>0</v>
      </c>
      <c r="AP1216" t="s">
        <v>69</v>
      </c>
      <c r="AT1216" t="s">
        <v>240</v>
      </c>
      <c r="AU1216" t="s">
        <v>240</v>
      </c>
      <c r="AV1216" t="s">
        <v>569</v>
      </c>
      <c r="AW1216" t="s">
        <v>69</v>
      </c>
      <c r="AX1216" t="s">
        <v>583</v>
      </c>
      <c r="AY1216" t="s">
        <v>3688</v>
      </c>
      <c r="AZ1216" t="s">
        <v>243</v>
      </c>
      <c r="BA1216" t="s">
        <v>245</v>
      </c>
      <c r="BB1216" t="s">
        <v>244</v>
      </c>
      <c r="BC1216" t="s">
        <v>264</v>
      </c>
      <c r="BD1216" t="s">
        <v>3692</v>
      </c>
      <c r="BE1216" t="s">
        <v>3690</v>
      </c>
      <c r="BF1216" t="s">
        <v>240</v>
      </c>
      <c r="BG1216" t="s">
        <v>87</v>
      </c>
      <c r="BH1216" t="str">
        <f>IF(COUNTIF(工作表1!A:A, $C1216)&gt;0, "預購款", "非預購款")</f>
        <v>預購款</v>
      </c>
    </row>
    <row r="1217" spans="1:60" x14ac:dyDescent="0.25">
      <c r="A1217" t="s">
        <v>3694</v>
      </c>
      <c r="B1217" t="s">
        <v>315</v>
      </c>
      <c r="C1217" t="s">
        <v>3695</v>
      </c>
      <c r="D1217" t="s">
        <v>3696</v>
      </c>
      <c r="E1217" t="s">
        <v>3697</v>
      </c>
      <c r="F1217" t="s">
        <v>3627</v>
      </c>
      <c r="G1217" t="s">
        <v>3698</v>
      </c>
      <c r="H1217" t="s">
        <v>119</v>
      </c>
      <c r="I1217" t="s">
        <v>88</v>
      </c>
      <c r="J1217" t="s">
        <v>89</v>
      </c>
      <c r="K1217" t="s">
        <v>69</v>
      </c>
      <c r="L1217" t="s">
        <v>3699</v>
      </c>
      <c r="M1217" t="s">
        <v>71</v>
      </c>
      <c r="N1217" t="s">
        <v>198</v>
      </c>
      <c r="O1217" t="s">
        <v>1307</v>
      </c>
      <c r="P1217" t="s">
        <v>1308</v>
      </c>
      <c r="R1217" t="s">
        <v>1309</v>
      </c>
      <c r="S1217" t="s">
        <v>3630</v>
      </c>
      <c r="T1217" t="s">
        <v>258</v>
      </c>
      <c r="U1217" t="s">
        <v>146</v>
      </c>
      <c r="V1217" t="s">
        <v>321</v>
      </c>
      <c r="W1217">
        <v>990</v>
      </c>
      <c r="X1217">
        <v>39.99</v>
      </c>
      <c r="Y1217">
        <v>129</v>
      </c>
      <c r="Z1217">
        <v>709000</v>
      </c>
      <c r="AA1217">
        <v>920700</v>
      </c>
      <c r="AB1217">
        <v>320</v>
      </c>
      <c r="AD1217" t="s">
        <v>238</v>
      </c>
      <c r="AE1217">
        <v>1</v>
      </c>
      <c r="AF1217">
        <v>0</v>
      </c>
      <c r="AI1217">
        <v>110</v>
      </c>
      <c r="AJ1217">
        <v>220</v>
      </c>
      <c r="AK1217">
        <v>330</v>
      </c>
      <c r="AL1217">
        <v>930</v>
      </c>
      <c r="AM1217">
        <v>0</v>
      </c>
      <c r="AN1217">
        <v>0</v>
      </c>
      <c r="AO1217">
        <v>0</v>
      </c>
      <c r="AP1217" t="s">
        <v>69</v>
      </c>
      <c r="AT1217" t="s">
        <v>86</v>
      </c>
      <c r="AU1217" t="s">
        <v>86</v>
      </c>
      <c r="AV1217" t="s">
        <v>569</v>
      </c>
      <c r="AW1217" t="s">
        <v>69</v>
      </c>
      <c r="AX1217" t="s">
        <v>583</v>
      </c>
      <c r="AY1217" t="s">
        <v>3700</v>
      </c>
      <c r="AZ1217" t="s">
        <v>264</v>
      </c>
      <c r="BA1217" t="s">
        <v>245</v>
      </c>
      <c r="BB1217" t="s">
        <v>245</v>
      </c>
      <c r="BC1217" t="s">
        <v>244</v>
      </c>
      <c r="BD1217" t="s">
        <v>3701</v>
      </c>
      <c r="BE1217" t="s">
        <v>3702</v>
      </c>
      <c r="BF1217" t="s">
        <v>240</v>
      </c>
      <c r="BG1217" t="s">
        <v>110</v>
      </c>
      <c r="BH1217" t="str">
        <f>IF(COUNTIF(工作表1!A:A, $C1217)&gt;0, "預購款", "非預購款")</f>
        <v>預購款</v>
      </c>
    </row>
    <row r="1218" spans="1:60" x14ac:dyDescent="0.25">
      <c r="A1218" t="s">
        <v>3694</v>
      </c>
      <c r="B1218" t="s">
        <v>315</v>
      </c>
      <c r="C1218" t="s">
        <v>3695</v>
      </c>
      <c r="D1218" t="s">
        <v>3696</v>
      </c>
      <c r="E1218" t="s">
        <v>3697</v>
      </c>
      <c r="F1218" t="s">
        <v>3627</v>
      </c>
      <c r="G1218" t="s">
        <v>3698</v>
      </c>
      <c r="H1218" t="s">
        <v>130</v>
      </c>
      <c r="I1218" t="s">
        <v>88</v>
      </c>
      <c r="J1218" t="s">
        <v>89</v>
      </c>
      <c r="K1218" t="s">
        <v>69</v>
      </c>
      <c r="L1218" t="s">
        <v>3699</v>
      </c>
      <c r="M1218" t="s">
        <v>71</v>
      </c>
      <c r="N1218" t="s">
        <v>198</v>
      </c>
      <c r="O1218" t="s">
        <v>1307</v>
      </c>
      <c r="P1218" t="s">
        <v>1308</v>
      </c>
      <c r="R1218" t="s">
        <v>1309</v>
      </c>
      <c r="S1218" t="s">
        <v>3630</v>
      </c>
      <c r="T1218" t="s">
        <v>258</v>
      </c>
      <c r="U1218" t="s">
        <v>146</v>
      </c>
      <c r="V1218" t="s">
        <v>321</v>
      </c>
      <c r="W1218">
        <v>990</v>
      </c>
      <c r="X1218">
        <v>39.99</v>
      </c>
      <c r="Y1218">
        <v>129</v>
      </c>
      <c r="Z1218">
        <v>709000</v>
      </c>
      <c r="AA1218">
        <v>920700</v>
      </c>
      <c r="AB1218">
        <v>320</v>
      </c>
      <c r="AD1218" t="s">
        <v>238</v>
      </c>
      <c r="AE1218">
        <v>1</v>
      </c>
      <c r="AF1218">
        <v>0</v>
      </c>
      <c r="AI1218">
        <v>100</v>
      </c>
      <c r="AJ1218">
        <v>250</v>
      </c>
      <c r="AK1218">
        <v>350</v>
      </c>
      <c r="AL1218">
        <v>930</v>
      </c>
      <c r="AM1218">
        <v>0</v>
      </c>
      <c r="AN1218">
        <v>0</v>
      </c>
      <c r="AO1218">
        <v>0</v>
      </c>
      <c r="AP1218" t="s">
        <v>69</v>
      </c>
      <c r="AT1218" t="s">
        <v>86</v>
      </c>
      <c r="AU1218" t="s">
        <v>86</v>
      </c>
      <c r="AV1218" t="s">
        <v>569</v>
      </c>
      <c r="AW1218" t="s">
        <v>69</v>
      </c>
      <c r="AX1218" t="s">
        <v>583</v>
      </c>
      <c r="AY1218" t="s">
        <v>3700</v>
      </c>
      <c r="AZ1218" t="s">
        <v>264</v>
      </c>
      <c r="BA1218" t="s">
        <v>245</v>
      </c>
      <c r="BB1218" t="s">
        <v>245</v>
      </c>
      <c r="BC1218" t="s">
        <v>244</v>
      </c>
      <c r="BD1218" t="s">
        <v>3703</v>
      </c>
      <c r="BE1218" t="s">
        <v>3702</v>
      </c>
      <c r="BF1218" t="s">
        <v>240</v>
      </c>
      <c r="BG1218" t="s">
        <v>110</v>
      </c>
      <c r="BH1218" t="str">
        <f>IF(COUNTIF(工作表1!A:A, $C1218)&gt;0, "預購款", "非預購款")</f>
        <v>預購款</v>
      </c>
    </row>
    <row r="1219" spans="1:60" x14ac:dyDescent="0.25">
      <c r="A1219" t="s">
        <v>3694</v>
      </c>
      <c r="B1219" t="s">
        <v>315</v>
      </c>
      <c r="C1219" t="s">
        <v>3695</v>
      </c>
      <c r="D1219" t="s">
        <v>3696</v>
      </c>
      <c r="E1219" t="s">
        <v>3697</v>
      </c>
      <c r="F1219" t="s">
        <v>3627</v>
      </c>
      <c r="G1219" t="s">
        <v>3698</v>
      </c>
      <c r="H1219" t="s">
        <v>132</v>
      </c>
      <c r="I1219" t="s">
        <v>88</v>
      </c>
      <c r="J1219" t="s">
        <v>89</v>
      </c>
      <c r="K1219" t="s">
        <v>69</v>
      </c>
      <c r="L1219" t="s">
        <v>3699</v>
      </c>
      <c r="M1219" t="s">
        <v>71</v>
      </c>
      <c r="N1219" t="s">
        <v>198</v>
      </c>
      <c r="O1219" t="s">
        <v>1307</v>
      </c>
      <c r="P1219" t="s">
        <v>1308</v>
      </c>
      <c r="R1219" t="s">
        <v>1309</v>
      </c>
      <c r="S1219" t="s">
        <v>3630</v>
      </c>
      <c r="T1219" t="s">
        <v>258</v>
      </c>
      <c r="U1219" t="s">
        <v>146</v>
      </c>
      <c r="V1219" t="s">
        <v>321</v>
      </c>
      <c r="W1219">
        <v>990</v>
      </c>
      <c r="X1219">
        <v>39.99</v>
      </c>
      <c r="Y1219">
        <v>129</v>
      </c>
      <c r="Z1219">
        <v>709000</v>
      </c>
      <c r="AA1219">
        <v>920700</v>
      </c>
      <c r="AB1219">
        <v>320</v>
      </c>
      <c r="AD1219" t="s">
        <v>238</v>
      </c>
      <c r="AE1219">
        <v>1</v>
      </c>
      <c r="AF1219">
        <v>0</v>
      </c>
      <c r="AI1219">
        <v>90</v>
      </c>
      <c r="AJ1219">
        <v>160</v>
      </c>
      <c r="AK1219">
        <v>250</v>
      </c>
      <c r="AL1219">
        <v>930</v>
      </c>
      <c r="AM1219">
        <v>0</v>
      </c>
      <c r="AN1219">
        <v>0</v>
      </c>
      <c r="AO1219">
        <v>0</v>
      </c>
      <c r="AP1219" t="s">
        <v>69</v>
      </c>
      <c r="AT1219" t="s">
        <v>86</v>
      </c>
      <c r="AU1219" t="s">
        <v>86</v>
      </c>
      <c r="AV1219" t="s">
        <v>569</v>
      </c>
      <c r="AW1219" t="s">
        <v>69</v>
      </c>
      <c r="AX1219" t="s">
        <v>583</v>
      </c>
      <c r="AY1219" t="s">
        <v>3700</v>
      </c>
      <c r="AZ1219" t="s">
        <v>264</v>
      </c>
      <c r="BA1219" t="s">
        <v>245</v>
      </c>
      <c r="BB1219" t="s">
        <v>245</v>
      </c>
      <c r="BC1219" t="s">
        <v>244</v>
      </c>
      <c r="BD1219" t="s">
        <v>3704</v>
      </c>
      <c r="BE1219" t="s">
        <v>3702</v>
      </c>
      <c r="BF1219" t="s">
        <v>240</v>
      </c>
      <c r="BG1219" t="s">
        <v>110</v>
      </c>
      <c r="BH1219" t="str">
        <f>IF(COUNTIF(工作表1!A:A, $C1219)&gt;0, "預購款", "非預購款")</f>
        <v>預購款</v>
      </c>
    </row>
    <row r="1220" spans="1:60" x14ac:dyDescent="0.25">
      <c r="A1220" t="s">
        <v>3705</v>
      </c>
      <c r="B1220" t="s">
        <v>315</v>
      </c>
      <c r="C1220" t="s">
        <v>3706</v>
      </c>
      <c r="D1220" t="s">
        <v>3707</v>
      </c>
      <c r="E1220" t="s">
        <v>3708</v>
      </c>
      <c r="F1220" t="s">
        <v>3627</v>
      </c>
      <c r="G1220" t="s">
        <v>3709</v>
      </c>
      <c r="H1220" t="s">
        <v>273</v>
      </c>
      <c r="I1220" t="s">
        <v>88</v>
      </c>
      <c r="J1220" t="s">
        <v>89</v>
      </c>
      <c r="K1220" t="s">
        <v>69</v>
      </c>
      <c r="L1220" t="s">
        <v>3699</v>
      </c>
      <c r="M1220" t="s">
        <v>71</v>
      </c>
      <c r="N1220" t="s">
        <v>198</v>
      </c>
      <c r="O1220" t="s">
        <v>1307</v>
      </c>
      <c r="P1220" t="s">
        <v>1308</v>
      </c>
      <c r="R1220" t="s">
        <v>1309</v>
      </c>
      <c r="S1220" t="s">
        <v>3630</v>
      </c>
      <c r="T1220" t="s">
        <v>274</v>
      </c>
      <c r="U1220" t="s">
        <v>146</v>
      </c>
      <c r="V1220" t="s">
        <v>321</v>
      </c>
      <c r="W1220">
        <v>1080</v>
      </c>
      <c r="X1220">
        <v>44.99</v>
      </c>
      <c r="Y1220">
        <v>139</v>
      </c>
      <c r="Z1220">
        <v>779000</v>
      </c>
      <c r="AA1220">
        <v>372600</v>
      </c>
      <c r="AB1220">
        <v>380</v>
      </c>
      <c r="AD1220" t="s">
        <v>238</v>
      </c>
      <c r="AE1220">
        <v>1</v>
      </c>
      <c r="AF1220">
        <v>0</v>
      </c>
      <c r="AI1220">
        <v>55</v>
      </c>
      <c r="AJ1220">
        <v>100</v>
      </c>
      <c r="AK1220">
        <v>155</v>
      </c>
      <c r="AL1220">
        <v>345</v>
      </c>
      <c r="AM1220">
        <v>0</v>
      </c>
      <c r="AN1220">
        <v>0</v>
      </c>
      <c r="AO1220">
        <v>0</v>
      </c>
      <c r="AP1220" t="s">
        <v>69</v>
      </c>
      <c r="AT1220" t="s">
        <v>86</v>
      </c>
      <c r="AU1220" t="s">
        <v>86</v>
      </c>
      <c r="AV1220" t="s">
        <v>3710</v>
      </c>
      <c r="AW1220" t="s">
        <v>69</v>
      </c>
      <c r="AX1220" t="s">
        <v>3711</v>
      </c>
      <c r="AY1220" t="s">
        <v>3712</v>
      </c>
      <c r="AZ1220" t="s">
        <v>264</v>
      </c>
      <c r="BA1220" t="s">
        <v>245</v>
      </c>
      <c r="BB1220" t="s">
        <v>245</v>
      </c>
      <c r="BC1220" t="s">
        <v>244</v>
      </c>
      <c r="BD1220" t="s">
        <v>3713</v>
      </c>
      <c r="BE1220" t="s">
        <v>3714</v>
      </c>
      <c r="BF1220" t="s">
        <v>279</v>
      </c>
      <c r="BG1220" t="s">
        <v>110</v>
      </c>
      <c r="BH1220" t="str">
        <f>IF(COUNTIF(工作表1!A:A, $C1220)&gt;0, "預購款", "非預購款")</f>
        <v>預購款</v>
      </c>
    </row>
    <row r="1221" spans="1:60" x14ac:dyDescent="0.25">
      <c r="A1221" t="s">
        <v>3705</v>
      </c>
      <c r="B1221" t="s">
        <v>315</v>
      </c>
      <c r="C1221" t="s">
        <v>3706</v>
      </c>
      <c r="D1221" t="s">
        <v>3707</v>
      </c>
      <c r="E1221" t="s">
        <v>3708</v>
      </c>
      <c r="F1221" t="s">
        <v>3627</v>
      </c>
      <c r="G1221" t="s">
        <v>3709</v>
      </c>
      <c r="H1221" t="s">
        <v>501</v>
      </c>
      <c r="I1221" t="s">
        <v>88</v>
      </c>
      <c r="J1221" t="s">
        <v>89</v>
      </c>
      <c r="K1221" t="s">
        <v>69</v>
      </c>
      <c r="L1221" t="s">
        <v>3699</v>
      </c>
      <c r="M1221" t="s">
        <v>71</v>
      </c>
      <c r="N1221" t="s">
        <v>198</v>
      </c>
      <c r="O1221" t="s">
        <v>1307</v>
      </c>
      <c r="P1221" t="s">
        <v>1308</v>
      </c>
      <c r="R1221" t="s">
        <v>1309</v>
      </c>
      <c r="S1221" t="s">
        <v>3630</v>
      </c>
      <c r="T1221" t="s">
        <v>274</v>
      </c>
      <c r="U1221" t="s">
        <v>146</v>
      </c>
      <c r="V1221" t="s">
        <v>321</v>
      </c>
      <c r="W1221">
        <v>1080</v>
      </c>
      <c r="X1221">
        <v>44.99</v>
      </c>
      <c r="Y1221">
        <v>139</v>
      </c>
      <c r="Z1221">
        <v>779000</v>
      </c>
      <c r="AA1221">
        <v>372600</v>
      </c>
      <c r="AB1221">
        <v>380</v>
      </c>
      <c r="AD1221" t="s">
        <v>238</v>
      </c>
      <c r="AE1221">
        <v>1</v>
      </c>
      <c r="AF1221">
        <v>0</v>
      </c>
      <c r="AI1221">
        <v>30</v>
      </c>
      <c r="AJ1221">
        <v>30</v>
      </c>
      <c r="AK1221">
        <v>60</v>
      </c>
      <c r="AL1221">
        <v>345</v>
      </c>
      <c r="AM1221">
        <v>0</v>
      </c>
      <c r="AN1221">
        <v>0</v>
      </c>
      <c r="AO1221">
        <v>0</v>
      </c>
      <c r="AP1221" t="s">
        <v>69</v>
      </c>
      <c r="AT1221" t="s">
        <v>86</v>
      </c>
      <c r="AU1221" t="s">
        <v>86</v>
      </c>
      <c r="AV1221" t="s">
        <v>3710</v>
      </c>
      <c r="AW1221" t="s">
        <v>69</v>
      </c>
      <c r="AX1221" t="s">
        <v>3711</v>
      </c>
      <c r="AY1221" t="s">
        <v>3712</v>
      </c>
      <c r="AZ1221" t="s">
        <v>264</v>
      </c>
      <c r="BA1221" t="s">
        <v>245</v>
      </c>
      <c r="BB1221" t="s">
        <v>245</v>
      </c>
      <c r="BC1221" t="s">
        <v>244</v>
      </c>
      <c r="BD1221" t="s">
        <v>3715</v>
      </c>
      <c r="BE1221" t="s">
        <v>3714</v>
      </c>
      <c r="BF1221" t="s">
        <v>279</v>
      </c>
      <c r="BG1221" t="s">
        <v>110</v>
      </c>
      <c r="BH1221" t="str">
        <f>IF(COUNTIF(工作表1!A:A, $C1221)&gt;0, "預購款", "非預購款")</f>
        <v>預購款</v>
      </c>
    </row>
    <row r="1222" spans="1:60" x14ac:dyDescent="0.25">
      <c r="A1222" t="s">
        <v>3705</v>
      </c>
      <c r="B1222" t="s">
        <v>315</v>
      </c>
      <c r="C1222" t="s">
        <v>3706</v>
      </c>
      <c r="D1222" t="s">
        <v>3707</v>
      </c>
      <c r="E1222" t="s">
        <v>3708</v>
      </c>
      <c r="F1222" t="s">
        <v>3627</v>
      </c>
      <c r="G1222" t="s">
        <v>3709</v>
      </c>
      <c r="H1222" t="s">
        <v>280</v>
      </c>
      <c r="I1222" t="s">
        <v>88</v>
      </c>
      <c r="J1222" t="s">
        <v>89</v>
      </c>
      <c r="K1222" t="s">
        <v>69</v>
      </c>
      <c r="L1222" t="s">
        <v>3699</v>
      </c>
      <c r="M1222" t="s">
        <v>71</v>
      </c>
      <c r="N1222" t="s">
        <v>198</v>
      </c>
      <c r="O1222" t="s">
        <v>1307</v>
      </c>
      <c r="P1222" t="s">
        <v>1308</v>
      </c>
      <c r="R1222" t="s">
        <v>1309</v>
      </c>
      <c r="S1222" t="s">
        <v>3630</v>
      </c>
      <c r="T1222" t="s">
        <v>274</v>
      </c>
      <c r="U1222" t="s">
        <v>146</v>
      </c>
      <c r="V1222" t="s">
        <v>321</v>
      </c>
      <c r="W1222">
        <v>1080</v>
      </c>
      <c r="X1222">
        <v>44.99</v>
      </c>
      <c r="Y1222">
        <v>139</v>
      </c>
      <c r="Z1222">
        <v>779000</v>
      </c>
      <c r="AA1222">
        <v>372600</v>
      </c>
      <c r="AB1222">
        <v>380</v>
      </c>
      <c r="AD1222" t="s">
        <v>238</v>
      </c>
      <c r="AE1222">
        <v>1</v>
      </c>
      <c r="AF1222">
        <v>0</v>
      </c>
      <c r="AI1222">
        <v>30</v>
      </c>
      <c r="AJ1222">
        <v>100</v>
      </c>
      <c r="AK1222">
        <v>130</v>
      </c>
      <c r="AL1222">
        <v>345</v>
      </c>
      <c r="AM1222">
        <v>0</v>
      </c>
      <c r="AN1222">
        <v>0</v>
      </c>
      <c r="AO1222">
        <v>0</v>
      </c>
      <c r="AP1222" t="s">
        <v>69</v>
      </c>
      <c r="AT1222" t="s">
        <v>86</v>
      </c>
      <c r="AU1222" t="s">
        <v>86</v>
      </c>
      <c r="AV1222" t="s">
        <v>3710</v>
      </c>
      <c r="AW1222" t="s">
        <v>69</v>
      </c>
      <c r="AX1222" t="s">
        <v>3711</v>
      </c>
      <c r="AY1222" t="s">
        <v>3712</v>
      </c>
      <c r="AZ1222" t="s">
        <v>264</v>
      </c>
      <c r="BA1222" t="s">
        <v>245</v>
      </c>
      <c r="BB1222" t="s">
        <v>245</v>
      </c>
      <c r="BC1222" t="s">
        <v>244</v>
      </c>
      <c r="BD1222" t="s">
        <v>3716</v>
      </c>
      <c r="BE1222" t="s">
        <v>3714</v>
      </c>
      <c r="BF1222" t="s">
        <v>279</v>
      </c>
      <c r="BG1222" t="s">
        <v>110</v>
      </c>
      <c r="BH1222" t="str">
        <f>IF(COUNTIF(工作表1!A:A, $C1222)&gt;0, "預購款", "非預購款")</f>
        <v>預購款</v>
      </c>
    </row>
    <row r="1223" spans="1:60" x14ac:dyDescent="0.25">
      <c r="A1223" t="s">
        <v>1301</v>
      </c>
      <c r="B1223" t="s">
        <v>315</v>
      </c>
      <c r="C1223" t="s">
        <v>1302</v>
      </c>
      <c r="D1223" t="s">
        <v>1303</v>
      </c>
      <c r="E1223" t="s">
        <v>1304</v>
      </c>
      <c r="F1223" t="s">
        <v>3627</v>
      </c>
      <c r="G1223" t="s">
        <v>1305</v>
      </c>
      <c r="H1223" t="s">
        <v>66</v>
      </c>
      <c r="I1223" t="s">
        <v>111</v>
      </c>
      <c r="J1223" t="s">
        <v>112</v>
      </c>
      <c r="K1223" t="s">
        <v>69</v>
      </c>
      <c r="L1223" t="s">
        <v>1306</v>
      </c>
      <c r="M1223" t="s">
        <v>71</v>
      </c>
      <c r="N1223" t="s">
        <v>100</v>
      </c>
      <c r="O1223" t="s">
        <v>1307</v>
      </c>
      <c r="P1223" t="s">
        <v>1308</v>
      </c>
      <c r="R1223" t="s">
        <v>1309</v>
      </c>
      <c r="S1223" t="s">
        <v>3630</v>
      </c>
      <c r="T1223" t="s">
        <v>258</v>
      </c>
      <c r="U1223" t="s">
        <v>527</v>
      </c>
      <c r="V1223" t="s">
        <v>1311</v>
      </c>
      <c r="W1223">
        <v>990</v>
      </c>
      <c r="X1223">
        <v>39.99</v>
      </c>
      <c r="Y1223">
        <v>129</v>
      </c>
      <c r="Z1223">
        <v>709000</v>
      </c>
      <c r="AA1223">
        <v>1188000</v>
      </c>
      <c r="AB1223">
        <v>520</v>
      </c>
      <c r="AD1223" t="s">
        <v>238</v>
      </c>
      <c r="AE1223">
        <v>2</v>
      </c>
      <c r="AF1223">
        <v>0</v>
      </c>
      <c r="AI1223">
        <v>250</v>
      </c>
      <c r="AJ1223">
        <v>400</v>
      </c>
      <c r="AK1223">
        <v>650</v>
      </c>
      <c r="AL1223">
        <v>1200</v>
      </c>
      <c r="AM1223">
        <v>0</v>
      </c>
      <c r="AN1223">
        <v>0</v>
      </c>
      <c r="AO1223">
        <v>0</v>
      </c>
      <c r="AP1223" t="s">
        <v>69</v>
      </c>
      <c r="AT1223" t="s">
        <v>86</v>
      </c>
      <c r="AU1223" t="s">
        <v>264</v>
      </c>
      <c r="AV1223" t="s">
        <v>1312</v>
      </c>
      <c r="AW1223" t="s">
        <v>69</v>
      </c>
      <c r="AX1223" t="s">
        <v>675</v>
      </c>
      <c r="AY1223" t="s">
        <v>1313</v>
      </c>
      <c r="BD1223" t="s">
        <v>1314</v>
      </c>
      <c r="BE1223" t="s">
        <v>3717</v>
      </c>
      <c r="BF1223" t="s">
        <v>240</v>
      </c>
      <c r="BG1223" t="s">
        <v>110</v>
      </c>
      <c r="BH1223" t="str">
        <f>IF(COUNTIF(工作表1!A:A, $C1223)&gt;0, "預購款", "非預購款")</f>
        <v>預購款</v>
      </c>
    </row>
    <row r="1224" spans="1:60" x14ac:dyDescent="0.25">
      <c r="A1224" t="s">
        <v>1301</v>
      </c>
      <c r="B1224" t="s">
        <v>315</v>
      </c>
      <c r="C1224" t="s">
        <v>1302</v>
      </c>
      <c r="D1224" t="s">
        <v>1303</v>
      </c>
      <c r="E1224" t="s">
        <v>1304</v>
      </c>
      <c r="F1224" t="s">
        <v>3627</v>
      </c>
      <c r="G1224" t="s">
        <v>1305</v>
      </c>
      <c r="H1224" t="s">
        <v>66</v>
      </c>
      <c r="I1224" t="s">
        <v>214</v>
      </c>
      <c r="J1224" t="s">
        <v>215</v>
      </c>
      <c r="K1224" t="s">
        <v>69</v>
      </c>
      <c r="L1224" t="s">
        <v>1306</v>
      </c>
      <c r="M1224" t="s">
        <v>71</v>
      </c>
      <c r="N1224" t="s">
        <v>100</v>
      </c>
      <c r="O1224" t="s">
        <v>1307</v>
      </c>
      <c r="P1224" t="s">
        <v>1308</v>
      </c>
      <c r="R1224" t="s">
        <v>1309</v>
      </c>
      <c r="S1224" t="s">
        <v>3630</v>
      </c>
      <c r="T1224" t="s">
        <v>258</v>
      </c>
      <c r="U1224" t="s">
        <v>527</v>
      </c>
      <c r="V1224" t="s">
        <v>1311</v>
      </c>
      <c r="W1224">
        <v>990</v>
      </c>
      <c r="X1224">
        <v>39.99</v>
      </c>
      <c r="Y1224">
        <v>129</v>
      </c>
      <c r="Z1224">
        <v>709000</v>
      </c>
      <c r="AA1224">
        <v>1188000</v>
      </c>
      <c r="AB1224">
        <v>520</v>
      </c>
      <c r="AD1224" t="s">
        <v>238</v>
      </c>
      <c r="AE1224">
        <v>2</v>
      </c>
      <c r="AF1224">
        <v>0</v>
      </c>
      <c r="AI1224">
        <v>250</v>
      </c>
      <c r="AJ1224">
        <v>300</v>
      </c>
      <c r="AK1224">
        <v>550</v>
      </c>
      <c r="AL1224">
        <v>1200</v>
      </c>
      <c r="AM1224">
        <v>0</v>
      </c>
      <c r="AN1224">
        <v>0</v>
      </c>
      <c r="AO1224">
        <v>0</v>
      </c>
      <c r="AP1224" t="s">
        <v>69</v>
      </c>
      <c r="AT1224" t="s">
        <v>86</v>
      </c>
      <c r="AU1224" t="s">
        <v>240</v>
      </c>
      <c r="AV1224" t="s">
        <v>1312</v>
      </c>
      <c r="AW1224" t="s">
        <v>69</v>
      </c>
      <c r="AX1224" t="s">
        <v>675</v>
      </c>
      <c r="AY1224" t="s">
        <v>1313</v>
      </c>
      <c r="BD1224" t="s">
        <v>1316</v>
      </c>
      <c r="BE1224" t="s">
        <v>3717</v>
      </c>
      <c r="BF1224" t="s">
        <v>240</v>
      </c>
      <c r="BG1224" t="s">
        <v>110</v>
      </c>
      <c r="BH1224" t="str">
        <f>IF(COUNTIF(工作表1!A:A, $C1224)&gt;0, "預購款", "非預購款")</f>
        <v>預購款</v>
      </c>
    </row>
    <row r="1225" spans="1:60" x14ac:dyDescent="0.25">
      <c r="A1225" t="s">
        <v>3718</v>
      </c>
      <c r="B1225" t="s">
        <v>315</v>
      </c>
      <c r="C1225" t="s">
        <v>3719</v>
      </c>
      <c r="D1225" t="s">
        <v>3720</v>
      </c>
      <c r="E1225" t="s">
        <v>3721</v>
      </c>
      <c r="F1225" t="s">
        <v>3627</v>
      </c>
      <c r="G1225" t="s">
        <v>3722</v>
      </c>
      <c r="H1225" t="s">
        <v>66</v>
      </c>
      <c r="I1225" t="s">
        <v>67</v>
      </c>
      <c r="J1225" t="s">
        <v>68</v>
      </c>
      <c r="K1225" t="s">
        <v>69</v>
      </c>
      <c r="L1225" t="s">
        <v>3723</v>
      </c>
      <c r="M1225" t="s">
        <v>71</v>
      </c>
      <c r="N1225" t="s">
        <v>198</v>
      </c>
      <c r="O1225" t="s">
        <v>1307</v>
      </c>
      <c r="P1225" t="s">
        <v>1308</v>
      </c>
      <c r="R1225" t="s">
        <v>1309</v>
      </c>
      <c r="S1225" t="s">
        <v>3630</v>
      </c>
      <c r="T1225" t="s">
        <v>258</v>
      </c>
      <c r="U1225" t="s">
        <v>527</v>
      </c>
      <c r="V1225" t="s">
        <v>1311</v>
      </c>
      <c r="W1225">
        <v>790</v>
      </c>
      <c r="X1225">
        <v>34.99</v>
      </c>
      <c r="Y1225">
        <v>99</v>
      </c>
      <c r="Z1225">
        <v>569000</v>
      </c>
      <c r="AA1225">
        <v>948000</v>
      </c>
      <c r="AB1225">
        <v>355</v>
      </c>
      <c r="AD1225" t="s">
        <v>238</v>
      </c>
      <c r="AE1225">
        <v>2</v>
      </c>
      <c r="AF1225">
        <v>0</v>
      </c>
      <c r="AI1225">
        <v>200</v>
      </c>
      <c r="AJ1225">
        <v>100</v>
      </c>
      <c r="AK1225">
        <v>300</v>
      </c>
      <c r="AL1225">
        <v>1200</v>
      </c>
      <c r="AM1225">
        <v>0</v>
      </c>
      <c r="AN1225">
        <v>0</v>
      </c>
      <c r="AO1225">
        <v>0</v>
      </c>
      <c r="AP1225" t="s">
        <v>69</v>
      </c>
      <c r="AT1225" t="s">
        <v>86</v>
      </c>
      <c r="AU1225" t="s">
        <v>86</v>
      </c>
      <c r="AV1225" t="s">
        <v>569</v>
      </c>
      <c r="AW1225" t="s">
        <v>69</v>
      </c>
      <c r="AX1225" t="s">
        <v>583</v>
      </c>
      <c r="AY1225" t="s">
        <v>3724</v>
      </c>
      <c r="AZ1225" t="s">
        <v>245</v>
      </c>
      <c r="BA1225" t="s">
        <v>245</v>
      </c>
      <c r="BB1225" t="s">
        <v>245</v>
      </c>
      <c r="BC1225" t="s">
        <v>245</v>
      </c>
      <c r="BD1225" t="s">
        <v>3725</v>
      </c>
      <c r="BE1225" t="s">
        <v>3726</v>
      </c>
      <c r="BF1225" t="s">
        <v>240</v>
      </c>
      <c r="BG1225" t="s">
        <v>87</v>
      </c>
      <c r="BH1225" t="str">
        <f>IF(COUNTIF(工作表1!A:A, $C1225)&gt;0, "預購款", "非預購款")</f>
        <v>預購款</v>
      </c>
    </row>
    <row r="1226" spans="1:60" x14ac:dyDescent="0.25">
      <c r="A1226" t="s">
        <v>3718</v>
      </c>
      <c r="B1226" t="s">
        <v>315</v>
      </c>
      <c r="C1226" t="s">
        <v>3719</v>
      </c>
      <c r="D1226" t="s">
        <v>3720</v>
      </c>
      <c r="E1226" t="s">
        <v>3721</v>
      </c>
      <c r="F1226" t="s">
        <v>3627</v>
      </c>
      <c r="G1226" t="s">
        <v>3722</v>
      </c>
      <c r="H1226" t="s">
        <v>66</v>
      </c>
      <c r="I1226" t="s">
        <v>214</v>
      </c>
      <c r="J1226" t="s">
        <v>215</v>
      </c>
      <c r="K1226" t="s">
        <v>69</v>
      </c>
      <c r="L1226" t="s">
        <v>3723</v>
      </c>
      <c r="M1226" t="s">
        <v>71</v>
      </c>
      <c r="N1226" t="s">
        <v>198</v>
      </c>
      <c r="O1226" t="s">
        <v>1307</v>
      </c>
      <c r="P1226" t="s">
        <v>1308</v>
      </c>
      <c r="R1226" t="s">
        <v>1309</v>
      </c>
      <c r="S1226" t="s">
        <v>3630</v>
      </c>
      <c r="T1226" t="s">
        <v>258</v>
      </c>
      <c r="U1226" t="s">
        <v>527</v>
      </c>
      <c r="V1226" t="s">
        <v>1311</v>
      </c>
      <c r="W1226">
        <v>790</v>
      </c>
      <c r="X1226">
        <v>34.99</v>
      </c>
      <c r="Y1226">
        <v>99</v>
      </c>
      <c r="Z1226">
        <v>569000</v>
      </c>
      <c r="AA1226">
        <v>948000</v>
      </c>
      <c r="AB1226">
        <v>355</v>
      </c>
      <c r="AD1226" t="s">
        <v>238</v>
      </c>
      <c r="AE1226">
        <v>2</v>
      </c>
      <c r="AF1226">
        <v>0</v>
      </c>
      <c r="AI1226">
        <v>600</v>
      </c>
      <c r="AJ1226">
        <v>300</v>
      </c>
      <c r="AK1226">
        <v>900</v>
      </c>
      <c r="AL1226">
        <v>1200</v>
      </c>
      <c r="AM1226">
        <v>0</v>
      </c>
      <c r="AN1226">
        <v>0</v>
      </c>
      <c r="AO1226">
        <v>0</v>
      </c>
      <c r="AP1226" t="s">
        <v>69</v>
      </c>
      <c r="AT1226" t="s">
        <v>86</v>
      </c>
      <c r="AU1226" t="s">
        <v>86</v>
      </c>
      <c r="AV1226" t="s">
        <v>569</v>
      </c>
      <c r="AW1226" t="s">
        <v>69</v>
      </c>
      <c r="AX1226" t="s">
        <v>583</v>
      </c>
      <c r="AY1226" t="s">
        <v>3724</v>
      </c>
      <c r="AZ1226" t="s">
        <v>245</v>
      </c>
      <c r="BA1226" t="s">
        <v>245</v>
      </c>
      <c r="BB1226" t="s">
        <v>245</v>
      </c>
      <c r="BC1226" t="s">
        <v>245</v>
      </c>
      <c r="BD1226" t="s">
        <v>3727</v>
      </c>
      <c r="BE1226" t="s">
        <v>3726</v>
      </c>
      <c r="BF1226" t="s">
        <v>240</v>
      </c>
      <c r="BG1226" t="s">
        <v>87</v>
      </c>
      <c r="BH1226" t="str">
        <f>IF(COUNTIF(工作表1!A:A, $C1226)&gt;0, "預購款", "非預購款")</f>
        <v>預購款</v>
      </c>
    </row>
    <row r="1227" spans="1:60" x14ac:dyDescent="0.25">
      <c r="A1227" t="s">
        <v>1332</v>
      </c>
      <c r="B1227" t="s">
        <v>535</v>
      </c>
      <c r="C1227" t="s">
        <v>1333</v>
      </c>
      <c r="D1227" t="s">
        <v>1334</v>
      </c>
      <c r="E1227" t="s">
        <v>1335</v>
      </c>
      <c r="F1227" t="s">
        <v>3627</v>
      </c>
      <c r="G1227" t="s">
        <v>1336</v>
      </c>
      <c r="H1227" t="s">
        <v>66</v>
      </c>
      <c r="I1227" t="s">
        <v>1228</v>
      </c>
      <c r="J1227" t="s">
        <v>1229</v>
      </c>
      <c r="K1227" t="s">
        <v>69</v>
      </c>
      <c r="L1227" t="s">
        <v>1337</v>
      </c>
      <c r="M1227" t="s">
        <v>71</v>
      </c>
      <c r="N1227" t="s">
        <v>198</v>
      </c>
      <c r="O1227" t="s">
        <v>1307</v>
      </c>
      <c r="P1227" t="s">
        <v>1308</v>
      </c>
      <c r="R1227" t="s">
        <v>1309</v>
      </c>
      <c r="S1227" t="s">
        <v>3630</v>
      </c>
      <c r="T1227" t="s">
        <v>258</v>
      </c>
      <c r="U1227" t="s">
        <v>527</v>
      </c>
      <c r="V1227" t="s">
        <v>554</v>
      </c>
      <c r="W1227">
        <v>690</v>
      </c>
      <c r="X1227">
        <v>29.99</v>
      </c>
      <c r="Y1227">
        <v>89</v>
      </c>
      <c r="Z1227">
        <v>499000</v>
      </c>
      <c r="AA1227">
        <v>483000</v>
      </c>
      <c r="AB1227">
        <v>90</v>
      </c>
      <c r="AD1227" t="s">
        <v>238</v>
      </c>
      <c r="AE1227">
        <v>1</v>
      </c>
      <c r="AF1227">
        <v>0</v>
      </c>
      <c r="AI1227">
        <v>200</v>
      </c>
      <c r="AJ1227">
        <v>500</v>
      </c>
      <c r="AK1227">
        <v>700</v>
      </c>
      <c r="AL1227">
        <v>700</v>
      </c>
      <c r="AM1227">
        <v>0</v>
      </c>
      <c r="AN1227">
        <v>0</v>
      </c>
      <c r="AO1227">
        <v>0</v>
      </c>
      <c r="AP1227" t="s">
        <v>69</v>
      </c>
      <c r="AT1227" t="s">
        <v>264</v>
      </c>
      <c r="AU1227" t="s">
        <v>264</v>
      </c>
      <c r="AV1227" t="s">
        <v>1338</v>
      </c>
      <c r="AW1227" t="s">
        <v>69</v>
      </c>
      <c r="AX1227" t="s">
        <v>1339</v>
      </c>
      <c r="AY1227" t="s">
        <v>1340</v>
      </c>
      <c r="BD1227" t="s">
        <v>1341</v>
      </c>
      <c r="BE1227" t="s">
        <v>3728</v>
      </c>
      <c r="BF1227" t="s">
        <v>240</v>
      </c>
      <c r="BH1227" t="str">
        <f>IF(COUNTIF(工作表1!A:A, $C1227)&gt;0, "預購款", "非預購款")</f>
        <v>預購款</v>
      </c>
    </row>
    <row r="1228" spans="1:60" x14ac:dyDescent="0.25">
      <c r="A1228" t="s">
        <v>1354</v>
      </c>
      <c r="B1228" t="s">
        <v>535</v>
      </c>
      <c r="C1228" t="s">
        <v>1355</v>
      </c>
      <c r="D1228" t="s">
        <v>1356</v>
      </c>
      <c r="E1228" t="s">
        <v>1357</v>
      </c>
      <c r="F1228" t="s">
        <v>3627</v>
      </c>
      <c r="G1228" t="s">
        <v>1358</v>
      </c>
      <c r="H1228" t="s">
        <v>66</v>
      </c>
      <c r="I1228" t="s">
        <v>1359</v>
      </c>
      <c r="J1228" t="s">
        <v>1360</v>
      </c>
      <c r="K1228" t="s">
        <v>69</v>
      </c>
      <c r="L1228" t="s">
        <v>1361</v>
      </c>
      <c r="M1228" t="s">
        <v>71</v>
      </c>
      <c r="N1228" t="s">
        <v>198</v>
      </c>
      <c r="O1228" t="s">
        <v>1307</v>
      </c>
      <c r="P1228" t="s">
        <v>1308</v>
      </c>
      <c r="R1228" t="s">
        <v>1309</v>
      </c>
      <c r="S1228" t="s">
        <v>3630</v>
      </c>
      <c r="T1228" t="s">
        <v>258</v>
      </c>
      <c r="U1228" t="s">
        <v>527</v>
      </c>
      <c r="V1228" t="s">
        <v>554</v>
      </c>
      <c r="W1228">
        <v>790</v>
      </c>
      <c r="X1228">
        <v>34.99</v>
      </c>
      <c r="Y1228">
        <v>99</v>
      </c>
      <c r="Z1228">
        <v>569000</v>
      </c>
      <c r="AA1228">
        <v>395000</v>
      </c>
      <c r="AB1228">
        <v>130</v>
      </c>
      <c r="AD1228" t="s">
        <v>238</v>
      </c>
      <c r="AE1228">
        <v>1</v>
      </c>
      <c r="AF1228">
        <v>0</v>
      </c>
      <c r="AI1228">
        <v>200</v>
      </c>
      <c r="AJ1228">
        <v>300</v>
      </c>
      <c r="AK1228">
        <v>500</v>
      </c>
      <c r="AL1228">
        <v>500</v>
      </c>
      <c r="AM1228">
        <v>0</v>
      </c>
      <c r="AN1228">
        <v>0</v>
      </c>
      <c r="AO1228">
        <v>0</v>
      </c>
      <c r="AP1228" t="s">
        <v>69</v>
      </c>
      <c r="AT1228" t="s">
        <v>240</v>
      </c>
      <c r="AU1228" t="s">
        <v>264</v>
      </c>
      <c r="AV1228" t="s">
        <v>1362</v>
      </c>
      <c r="AW1228" t="s">
        <v>69</v>
      </c>
      <c r="AX1228" t="s">
        <v>1363</v>
      </c>
      <c r="AY1228" t="s">
        <v>1364</v>
      </c>
      <c r="BD1228" t="s">
        <v>1365</v>
      </c>
      <c r="BE1228" t="s">
        <v>3729</v>
      </c>
      <c r="BF1228" t="s">
        <v>240</v>
      </c>
      <c r="BH1228" t="str">
        <f>IF(COUNTIF(工作表1!A:A, $C1228)&gt;0, "預購款", "非預購款")</f>
        <v>預購款</v>
      </c>
    </row>
    <row r="1229" spans="1:60" x14ac:dyDescent="0.25">
      <c r="A1229" t="s">
        <v>3730</v>
      </c>
      <c r="B1229" t="s">
        <v>3731</v>
      </c>
      <c r="C1229" t="s">
        <v>3732</v>
      </c>
      <c r="D1229" t="s">
        <v>3733</v>
      </c>
      <c r="E1229" t="s">
        <v>3734</v>
      </c>
      <c r="F1229" t="s">
        <v>3627</v>
      </c>
      <c r="G1229" t="s">
        <v>3735</v>
      </c>
      <c r="H1229" t="s">
        <v>66</v>
      </c>
      <c r="I1229" t="s">
        <v>97</v>
      </c>
      <c r="J1229" t="s">
        <v>98</v>
      </c>
      <c r="K1229" t="s">
        <v>69</v>
      </c>
      <c r="L1229" t="s">
        <v>3736</v>
      </c>
      <c r="M1229" t="s">
        <v>71</v>
      </c>
      <c r="N1229" t="s">
        <v>198</v>
      </c>
      <c r="O1229" t="s">
        <v>1307</v>
      </c>
      <c r="P1229" t="s">
        <v>1308</v>
      </c>
      <c r="R1229" t="s">
        <v>1309</v>
      </c>
      <c r="S1229" t="s">
        <v>3630</v>
      </c>
      <c r="T1229" t="s">
        <v>258</v>
      </c>
      <c r="U1229" t="s">
        <v>150</v>
      </c>
      <c r="V1229" t="s">
        <v>3737</v>
      </c>
      <c r="W1229">
        <v>890</v>
      </c>
      <c r="X1229">
        <v>39.99</v>
      </c>
      <c r="Y1229">
        <v>115</v>
      </c>
      <c r="Z1229">
        <v>639000</v>
      </c>
      <c r="AA1229">
        <v>1023500</v>
      </c>
      <c r="AB1229">
        <v>330</v>
      </c>
      <c r="AD1229" t="s">
        <v>238</v>
      </c>
      <c r="AE1229">
        <v>2</v>
      </c>
      <c r="AF1229">
        <v>0</v>
      </c>
      <c r="AI1229">
        <v>250</v>
      </c>
      <c r="AJ1229">
        <v>450</v>
      </c>
      <c r="AK1229">
        <v>700</v>
      </c>
      <c r="AL1229">
        <v>1150</v>
      </c>
      <c r="AM1229">
        <v>0</v>
      </c>
      <c r="AN1229">
        <v>0</v>
      </c>
      <c r="AO1229">
        <v>0</v>
      </c>
      <c r="AP1229" t="s">
        <v>69</v>
      </c>
      <c r="AT1229" t="s">
        <v>86</v>
      </c>
      <c r="AU1229" t="s">
        <v>261</v>
      </c>
      <c r="AV1229" t="s">
        <v>569</v>
      </c>
      <c r="AW1229" t="s">
        <v>69</v>
      </c>
      <c r="AX1229" t="s">
        <v>583</v>
      </c>
      <c r="AY1229" t="s">
        <v>676</v>
      </c>
      <c r="AZ1229" t="s">
        <v>243</v>
      </c>
      <c r="BA1229" t="s">
        <v>243</v>
      </c>
      <c r="BB1229" t="s">
        <v>243</v>
      </c>
      <c r="BC1229" t="s">
        <v>264</v>
      </c>
      <c r="BD1229" t="s">
        <v>3738</v>
      </c>
      <c r="BE1229" t="s">
        <v>3739</v>
      </c>
      <c r="BF1229" t="s">
        <v>240</v>
      </c>
      <c r="BG1229" t="s">
        <v>87</v>
      </c>
      <c r="BH1229" t="str">
        <f>IF(COUNTIF(工作表1!A:A, $C1229)&gt;0, "預購款", "非預購款")</f>
        <v>預購款</v>
      </c>
    </row>
    <row r="1230" spans="1:60" x14ac:dyDescent="0.25">
      <c r="A1230" t="s">
        <v>3730</v>
      </c>
      <c r="B1230" t="s">
        <v>3731</v>
      </c>
      <c r="C1230" t="s">
        <v>3732</v>
      </c>
      <c r="D1230" t="s">
        <v>3733</v>
      </c>
      <c r="E1230" t="s">
        <v>3734</v>
      </c>
      <c r="F1230" t="s">
        <v>3627</v>
      </c>
      <c r="G1230" t="s">
        <v>3735</v>
      </c>
      <c r="H1230" t="s">
        <v>66</v>
      </c>
      <c r="I1230" t="s">
        <v>422</v>
      </c>
      <c r="J1230" t="s">
        <v>423</v>
      </c>
      <c r="K1230" t="s">
        <v>69</v>
      </c>
      <c r="L1230" t="s">
        <v>3736</v>
      </c>
      <c r="M1230" t="s">
        <v>71</v>
      </c>
      <c r="N1230" t="s">
        <v>198</v>
      </c>
      <c r="O1230" t="s">
        <v>1307</v>
      </c>
      <c r="P1230" t="s">
        <v>1308</v>
      </c>
      <c r="R1230" t="s">
        <v>1309</v>
      </c>
      <c r="S1230" t="s">
        <v>3630</v>
      </c>
      <c r="T1230" t="s">
        <v>258</v>
      </c>
      <c r="U1230" t="s">
        <v>150</v>
      </c>
      <c r="V1230" t="s">
        <v>3737</v>
      </c>
      <c r="W1230">
        <v>890</v>
      </c>
      <c r="X1230">
        <v>39.99</v>
      </c>
      <c r="Y1230">
        <v>115</v>
      </c>
      <c r="Z1230">
        <v>639000</v>
      </c>
      <c r="AA1230">
        <v>1023500</v>
      </c>
      <c r="AB1230">
        <v>330</v>
      </c>
      <c r="AD1230" t="s">
        <v>238</v>
      </c>
      <c r="AE1230">
        <v>2</v>
      </c>
      <c r="AF1230">
        <v>0</v>
      </c>
      <c r="AI1230">
        <v>250</v>
      </c>
      <c r="AJ1230">
        <v>200</v>
      </c>
      <c r="AK1230">
        <v>450</v>
      </c>
      <c r="AL1230">
        <v>1150</v>
      </c>
      <c r="AM1230">
        <v>0</v>
      </c>
      <c r="AN1230">
        <v>0</v>
      </c>
      <c r="AO1230">
        <v>0</v>
      </c>
      <c r="AP1230" t="s">
        <v>69</v>
      </c>
      <c r="AT1230" t="s">
        <v>86</v>
      </c>
      <c r="AU1230" t="s">
        <v>261</v>
      </c>
      <c r="AV1230" t="s">
        <v>569</v>
      </c>
      <c r="AW1230" t="s">
        <v>69</v>
      </c>
      <c r="AX1230" t="s">
        <v>583</v>
      </c>
      <c r="AY1230" t="s">
        <v>676</v>
      </c>
      <c r="AZ1230" t="s">
        <v>243</v>
      </c>
      <c r="BA1230" t="s">
        <v>243</v>
      </c>
      <c r="BB1230" t="s">
        <v>243</v>
      </c>
      <c r="BC1230" t="s">
        <v>264</v>
      </c>
      <c r="BD1230" t="s">
        <v>3740</v>
      </c>
      <c r="BE1230" t="s">
        <v>3739</v>
      </c>
      <c r="BF1230" t="s">
        <v>240</v>
      </c>
      <c r="BG1230" t="s">
        <v>87</v>
      </c>
      <c r="BH1230" t="str">
        <f>IF(COUNTIF(工作表1!A:A, $C1230)&gt;0, "預購款", "非預購款")</f>
        <v>預購款</v>
      </c>
    </row>
    <row r="1231" spans="1:60" x14ac:dyDescent="0.25">
      <c r="A1231" t="s">
        <v>3741</v>
      </c>
      <c r="B1231" t="s">
        <v>3731</v>
      </c>
      <c r="C1231" t="s">
        <v>3742</v>
      </c>
      <c r="D1231" t="s">
        <v>3743</v>
      </c>
      <c r="E1231" t="s">
        <v>3744</v>
      </c>
      <c r="F1231" t="s">
        <v>3627</v>
      </c>
      <c r="G1231" t="s">
        <v>3745</v>
      </c>
      <c r="H1231" t="s">
        <v>273</v>
      </c>
      <c r="I1231" t="s">
        <v>97</v>
      </c>
      <c r="J1231" t="s">
        <v>98</v>
      </c>
      <c r="K1231" t="s">
        <v>69</v>
      </c>
      <c r="L1231" t="s">
        <v>3736</v>
      </c>
      <c r="M1231" t="s">
        <v>71</v>
      </c>
      <c r="N1231" t="s">
        <v>198</v>
      </c>
      <c r="O1231" t="s">
        <v>1307</v>
      </c>
      <c r="P1231" t="s">
        <v>1308</v>
      </c>
      <c r="R1231" t="s">
        <v>1309</v>
      </c>
      <c r="S1231" t="s">
        <v>3630</v>
      </c>
      <c r="T1231" t="s">
        <v>274</v>
      </c>
      <c r="U1231" t="s">
        <v>150</v>
      </c>
      <c r="V1231" t="s">
        <v>3737</v>
      </c>
      <c r="W1231">
        <v>990</v>
      </c>
      <c r="X1231">
        <v>39.99</v>
      </c>
      <c r="Y1231">
        <v>129</v>
      </c>
      <c r="Z1231">
        <v>709000</v>
      </c>
      <c r="AA1231">
        <v>396000</v>
      </c>
      <c r="AB1231">
        <v>300</v>
      </c>
      <c r="AD1231" t="s">
        <v>238</v>
      </c>
      <c r="AE1231">
        <v>2</v>
      </c>
      <c r="AF1231">
        <v>0</v>
      </c>
      <c r="AI1231">
        <v>90</v>
      </c>
      <c r="AJ1231">
        <v>50</v>
      </c>
      <c r="AK1231">
        <v>140</v>
      </c>
      <c r="AL1231">
        <v>400</v>
      </c>
      <c r="AM1231">
        <v>0</v>
      </c>
      <c r="AN1231">
        <v>0</v>
      </c>
      <c r="AO1231">
        <v>0</v>
      </c>
      <c r="AP1231" t="s">
        <v>69</v>
      </c>
      <c r="AT1231" t="s">
        <v>261</v>
      </c>
      <c r="AU1231" t="s">
        <v>261</v>
      </c>
      <c r="AV1231" t="s">
        <v>3746</v>
      </c>
      <c r="AW1231" t="s">
        <v>69</v>
      </c>
      <c r="AX1231" t="s">
        <v>611</v>
      </c>
      <c r="AY1231" t="s">
        <v>1126</v>
      </c>
      <c r="AZ1231" t="s">
        <v>243</v>
      </c>
      <c r="BA1231" t="s">
        <v>243</v>
      </c>
      <c r="BB1231" t="s">
        <v>243</v>
      </c>
      <c r="BC1231" t="s">
        <v>264</v>
      </c>
      <c r="BD1231" t="s">
        <v>3747</v>
      </c>
      <c r="BE1231" t="s">
        <v>3748</v>
      </c>
      <c r="BF1231" t="s">
        <v>279</v>
      </c>
      <c r="BG1231" t="s">
        <v>87</v>
      </c>
      <c r="BH1231" t="str">
        <f>IF(COUNTIF(工作表1!A:A, $C1231)&gt;0, "預購款", "非預購款")</f>
        <v>預購款</v>
      </c>
    </row>
    <row r="1232" spans="1:60" x14ac:dyDescent="0.25">
      <c r="A1232" t="s">
        <v>3741</v>
      </c>
      <c r="B1232" t="s">
        <v>3731</v>
      </c>
      <c r="C1232" t="s">
        <v>3742</v>
      </c>
      <c r="D1232" t="s">
        <v>3743</v>
      </c>
      <c r="E1232" t="s">
        <v>3744</v>
      </c>
      <c r="F1232" t="s">
        <v>3627</v>
      </c>
      <c r="G1232" t="s">
        <v>3745</v>
      </c>
      <c r="H1232" t="s">
        <v>280</v>
      </c>
      <c r="I1232" t="s">
        <v>97</v>
      </c>
      <c r="J1232" t="s">
        <v>98</v>
      </c>
      <c r="K1232" t="s">
        <v>69</v>
      </c>
      <c r="L1232" t="s">
        <v>3736</v>
      </c>
      <c r="M1232" t="s">
        <v>71</v>
      </c>
      <c r="N1232" t="s">
        <v>198</v>
      </c>
      <c r="O1232" t="s">
        <v>1307</v>
      </c>
      <c r="P1232" t="s">
        <v>1308</v>
      </c>
      <c r="R1232" t="s">
        <v>1309</v>
      </c>
      <c r="S1232" t="s">
        <v>3630</v>
      </c>
      <c r="T1232" t="s">
        <v>274</v>
      </c>
      <c r="U1232" t="s">
        <v>150</v>
      </c>
      <c r="V1232" t="s">
        <v>3737</v>
      </c>
      <c r="W1232">
        <v>990</v>
      </c>
      <c r="X1232">
        <v>39.99</v>
      </c>
      <c r="Y1232">
        <v>129</v>
      </c>
      <c r="Z1232">
        <v>709000</v>
      </c>
      <c r="AA1232">
        <v>396000</v>
      </c>
      <c r="AB1232">
        <v>300</v>
      </c>
      <c r="AD1232" t="s">
        <v>238</v>
      </c>
      <c r="AE1232">
        <v>2</v>
      </c>
      <c r="AF1232">
        <v>0</v>
      </c>
      <c r="AI1232">
        <v>30</v>
      </c>
      <c r="AJ1232">
        <v>50</v>
      </c>
      <c r="AK1232">
        <v>80</v>
      </c>
      <c r="AL1232">
        <v>400</v>
      </c>
      <c r="AM1232">
        <v>0</v>
      </c>
      <c r="AN1232">
        <v>0</v>
      </c>
      <c r="AO1232">
        <v>0</v>
      </c>
      <c r="AP1232" t="s">
        <v>69</v>
      </c>
      <c r="AT1232" t="s">
        <v>261</v>
      </c>
      <c r="AU1232" t="s">
        <v>261</v>
      </c>
      <c r="AV1232" t="s">
        <v>3746</v>
      </c>
      <c r="AW1232" t="s">
        <v>69</v>
      </c>
      <c r="AX1232" t="s">
        <v>611</v>
      </c>
      <c r="AY1232" t="s">
        <v>1126</v>
      </c>
      <c r="AZ1232" t="s">
        <v>243</v>
      </c>
      <c r="BA1232" t="s">
        <v>243</v>
      </c>
      <c r="BB1232" t="s">
        <v>243</v>
      </c>
      <c r="BC1232" t="s">
        <v>264</v>
      </c>
      <c r="BD1232" t="s">
        <v>3749</v>
      </c>
      <c r="BE1232" t="s">
        <v>3748</v>
      </c>
      <c r="BF1232" t="s">
        <v>279</v>
      </c>
      <c r="BG1232" t="s">
        <v>87</v>
      </c>
      <c r="BH1232" t="str">
        <f>IF(COUNTIF(工作表1!A:A, $C1232)&gt;0, "預購款", "非預購款")</f>
        <v>預購款</v>
      </c>
    </row>
    <row r="1233" spans="1:60" x14ac:dyDescent="0.25">
      <c r="A1233" t="s">
        <v>3741</v>
      </c>
      <c r="B1233" t="s">
        <v>3731</v>
      </c>
      <c r="C1233" t="s">
        <v>3742</v>
      </c>
      <c r="D1233" t="s">
        <v>3743</v>
      </c>
      <c r="E1233" t="s">
        <v>3744</v>
      </c>
      <c r="F1233" t="s">
        <v>3627</v>
      </c>
      <c r="G1233" t="s">
        <v>3745</v>
      </c>
      <c r="H1233" t="s">
        <v>273</v>
      </c>
      <c r="I1233" t="s">
        <v>422</v>
      </c>
      <c r="J1233" t="s">
        <v>423</v>
      </c>
      <c r="K1233" t="s">
        <v>69</v>
      </c>
      <c r="L1233" t="s">
        <v>3736</v>
      </c>
      <c r="M1233" t="s">
        <v>71</v>
      </c>
      <c r="N1233" t="s">
        <v>198</v>
      </c>
      <c r="O1233" t="s">
        <v>1307</v>
      </c>
      <c r="P1233" t="s">
        <v>1308</v>
      </c>
      <c r="R1233" t="s">
        <v>1309</v>
      </c>
      <c r="S1233" t="s">
        <v>3630</v>
      </c>
      <c r="T1233" t="s">
        <v>274</v>
      </c>
      <c r="U1233" t="s">
        <v>150</v>
      </c>
      <c r="V1233" t="s">
        <v>3737</v>
      </c>
      <c r="W1233">
        <v>990</v>
      </c>
      <c r="X1233">
        <v>39.99</v>
      </c>
      <c r="Y1233">
        <v>129</v>
      </c>
      <c r="Z1233">
        <v>709000</v>
      </c>
      <c r="AA1233">
        <v>396000</v>
      </c>
      <c r="AB1233">
        <v>300</v>
      </c>
      <c r="AD1233" t="s">
        <v>238</v>
      </c>
      <c r="AE1233">
        <v>2</v>
      </c>
      <c r="AF1233">
        <v>0</v>
      </c>
      <c r="AI1233">
        <v>60</v>
      </c>
      <c r="AJ1233">
        <v>30</v>
      </c>
      <c r="AK1233">
        <v>90</v>
      </c>
      <c r="AL1233">
        <v>400</v>
      </c>
      <c r="AM1233">
        <v>0</v>
      </c>
      <c r="AN1233">
        <v>0</v>
      </c>
      <c r="AO1233">
        <v>0</v>
      </c>
      <c r="AP1233" t="s">
        <v>69</v>
      </c>
      <c r="AT1233" t="s">
        <v>261</v>
      </c>
      <c r="AU1233" t="s">
        <v>261</v>
      </c>
      <c r="AV1233" t="s">
        <v>3746</v>
      </c>
      <c r="AW1233" t="s">
        <v>69</v>
      </c>
      <c r="AX1233" t="s">
        <v>611</v>
      </c>
      <c r="AY1233" t="s">
        <v>1126</v>
      </c>
      <c r="AZ1233" t="s">
        <v>243</v>
      </c>
      <c r="BA1233" t="s">
        <v>243</v>
      </c>
      <c r="BB1233" t="s">
        <v>243</v>
      </c>
      <c r="BC1233" t="s">
        <v>264</v>
      </c>
      <c r="BD1233" t="s">
        <v>3750</v>
      </c>
      <c r="BE1233" t="s">
        <v>3748</v>
      </c>
      <c r="BF1233" t="s">
        <v>279</v>
      </c>
      <c r="BG1233" t="s">
        <v>87</v>
      </c>
      <c r="BH1233" t="str">
        <f>IF(COUNTIF(工作表1!A:A, $C1233)&gt;0, "預購款", "非預購款")</f>
        <v>預購款</v>
      </c>
    </row>
    <row r="1234" spans="1:60" x14ac:dyDescent="0.25">
      <c r="A1234" t="s">
        <v>3741</v>
      </c>
      <c r="B1234" t="s">
        <v>3731</v>
      </c>
      <c r="C1234" t="s">
        <v>3742</v>
      </c>
      <c r="D1234" t="s">
        <v>3743</v>
      </c>
      <c r="E1234" t="s">
        <v>3744</v>
      </c>
      <c r="F1234" t="s">
        <v>3627</v>
      </c>
      <c r="G1234" t="s">
        <v>3745</v>
      </c>
      <c r="H1234" t="s">
        <v>280</v>
      </c>
      <c r="I1234" t="s">
        <v>422</v>
      </c>
      <c r="J1234" t="s">
        <v>423</v>
      </c>
      <c r="K1234" t="s">
        <v>69</v>
      </c>
      <c r="L1234" t="s">
        <v>3736</v>
      </c>
      <c r="M1234" t="s">
        <v>71</v>
      </c>
      <c r="N1234" t="s">
        <v>198</v>
      </c>
      <c r="O1234" t="s">
        <v>1307</v>
      </c>
      <c r="P1234" t="s">
        <v>1308</v>
      </c>
      <c r="R1234" t="s">
        <v>1309</v>
      </c>
      <c r="S1234" t="s">
        <v>3630</v>
      </c>
      <c r="T1234" t="s">
        <v>274</v>
      </c>
      <c r="U1234" t="s">
        <v>150</v>
      </c>
      <c r="V1234" t="s">
        <v>3737</v>
      </c>
      <c r="W1234">
        <v>990</v>
      </c>
      <c r="X1234">
        <v>39.99</v>
      </c>
      <c r="Y1234">
        <v>129</v>
      </c>
      <c r="Z1234">
        <v>709000</v>
      </c>
      <c r="AA1234">
        <v>396000</v>
      </c>
      <c r="AB1234">
        <v>300</v>
      </c>
      <c r="AD1234" t="s">
        <v>238</v>
      </c>
      <c r="AE1234">
        <v>2</v>
      </c>
      <c r="AF1234">
        <v>0</v>
      </c>
      <c r="AI1234">
        <v>60</v>
      </c>
      <c r="AJ1234">
        <v>30</v>
      </c>
      <c r="AK1234">
        <v>90</v>
      </c>
      <c r="AL1234">
        <v>400</v>
      </c>
      <c r="AM1234">
        <v>0</v>
      </c>
      <c r="AN1234">
        <v>0</v>
      </c>
      <c r="AO1234">
        <v>0</v>
      </c>
      <c r="AP1234" t="s">
        <v>69</v>
      </c>
      <c r="AT1234" t="s">
        <v>261</v>
      </c>
      <c r="AU1234" t="s">
        <v>261</v>
      </c>
      <c r="AV1234" t="s">
        <v>3746</v>
      </c>
      <c r="AW1234" t="s">
        <v>69</v>
      </c>
      <c r="AX1234" t="s">
        <v>611</v>
      </c>
      <c r="AY1234" t="s">
        <v>1126</v>
      </c>
      <c r="AZ1234" t="s">
        <v>243</v>
      </c>
      <c r="BA1234" t="s">
        <v>243</v>
      </c>
      <c r="BB1234" t="s">
        <v>243</v>
      </c>
      <c r="BC1234" t="s">
        <v>264</v>
      </c>
      <c r="BD1234" t="s">
        <v>3751</v>
      </c>
      <c r="BE1234" t="s">
        <v>3748</v>
      </c>
      <c r="BF1234" t="s">
        <v>279</v>
      </c>
      <c r="BG1234" t="s">
        <v>87</v>
      </c>
      <c r="BH1234" t="str">
        <f>IF(COUNTIF(工作表1!A:A, $C1234)&gt;0, "預購款", "非預購款")</f>
        <v>預購款</v>
      </c>
    </row>
    <row r="1235" spans="1:60" x14ac:dyDescent="0.25">
      <c r="A1235" t="s">
        <v>3140</v>
      </c>
      <c r="B1235" t="s">
        <v>488</v>
      </c>
      <c r="C1235" t="s">
        <v>3141</v>
      </c>
      <c r="D1235" t="s">
        <v>3142</v>
      </c>
      <c r="E1235" t="s">
        <v>3143</v>
      </c>
      <c r="F1235" t="s">
        <v>176</v>
      </c>
      <c r="G1235" t="s">
        <v>3144</v>
      </c>
      <c r="H1235" t="s">
        <v>119</v>
      </c>
      <c r="I1235" t="s">
        <v>171</v>
      </c>
      <c r="J1235" t="s">
        <v>172</v>
      </c>
      <c r="K1235" t="s">
        <v>69</v>
      </c>
      <c r="L1235" t="s">
        <v>3145</v>
      </c>
      <c r="M1235" t="s">
        <v>71</v>
      </c>
      <c r="N1235" t="s">
        <v>198</v>
      </c>
      <c r="O1235" t="s">
        <v>3146</v>
      </c>
      <c r="P1235" t="s">
        <v>3147</v>
      </c>
      <c r="R1235" t="s">
        <v>3148</v>
      </c>
      <c r="S1235" t="s">
        <v>183</v>
      </c>
      <c r="T1235" t="s">
        <v>76</v>
      </c>
      <c r="U1235" t="s">
        <v>104</v>
      </c>
      <c r="V1235" t="s">
        <v>593</v>
      </c>
      <c r="W1235">
        <v>390</v>
      </c>
      <c r="X1235">
        <v>16.989999999999998</v>
      </c>
      <c r="Y1235">
        <v>49</v>
      </c>
      <c r="Z1235">
        <v>279000</v>
      </c>
      <c r="AA1235">
        <v>37050</v>
      </c>
      <c r="AB1235">
        <v>140</v>
      </c>
      <c r="AD1235" t="s">
        <v>238</v>
      </c>
      <c r="AE1235">
        <v>1</v>
      </c>
      <c r="AF1235">
        <v>0</v>
      </c>
      <c r="AI1235">
        <v>0</v>
      </c>
      <c r="AJ1235">
        <v>40</v>
      </c>
      <c r="AK1235">
        <v>40</v>
      </c>
      <c r="AL1235">
        <v>95</v>
      </c>
      <c r="AM1235">
        <v>50</v>
      </c>
      <c r="AN1235">
        <v>0</v>
      </c>
      <c r="AO1235">
        <v>50</v>
      </c>
      <c r="AP1235" t="s">
        <v>80</v>
      </c>
      <c r="AQ1235" t="s">
        <v>190</v>
      </c>
      <c r="AR1235" t="s">
        <v>86</v>
      </c>
      <c r="AS1235" t="s">
        <v>86</v>
      </c>
      <c r="AT1235" t="s">
        <v>86</v>
      </c>
      <c r="AU1235" t="s">
        <v>86</v>
      </c>
      <c r="AV1235" t="s">
        <v>81</v>
      </c>
      <c r="AW1235" t="s">
        <v>69</v>
      </c>
      <c r="AX1235" t="s">
        <v>126</v>
      </c>
      <c r="AY1235" t="s">
        <v>3149</v>
      </c>
      <c r="AZ1235" t="s">
        <v>245</v>
      </c>
      <c r="BA1235" t="s">
        <v>244</v>
      </c>
      <c r="BB1235" t="s">
        <v>244</v>
      </c>
      <c r="BC1235" t="s">
        <v>244</v>
      </c>
      <c r="BD1235" t="s">
        <v>3154</v>
      </c>
      <c r="BE1235" t="s">
        <v>3752</v>
      </c>
      <c r="BF1235" t="s">
        <v>86</v>
      </c>
      <c r="BG1235" t="s">
        <v>150</v>
      </c>
      <c r="BH1235" t="str">
        <f>IF(COUNTIF(工作表1!A:A, $C1235)&gt;0, "預購款", "非預購款")</f>
        <v>非預購款</v>
      </c>
    </row>
    <row r="1236" spans="1:60" x14ac:dyDescent="0.25">
      <c r="A1236" t="s">
        <v>3140</v>
      </c>
      <c r="B1236" t="s">
        <v>488</v>
      </c>
      <c r="C1236" t="s">
        <v>3141</v>
      </c>
      <c r="D1236" t="s">
        <v>3142</v>
      </c>
      <c r="E1236" t="s">
        <v>3143</v>
      </c>
      <c r="F1236" t="s">
        <v>176</v>
      </c>
      <c r="G1236" t="s">
        <v>3144</v>
      </c>
      <c r="H1236" t="s">
        <v>130</v>
      </c>
      <c r="I1236" t="s">
        <v>171</v>
      </c>
      <c r="J1236" t="s">
        <v>172</v>
      </c>
      <c r="K1236" t="s">
        <v>69</v>
      </c>
      <c r="L1236" t="s">
        <v>3145</v>
      </c>
      <c r="M1236" t="s">
        <v>71</v>
      </c>
      <c r="N1236" t="s">
        <v>198</v>
      </c>
      <c r="O1236" t="s">
        <v>3146</v>
      </c>
      <c r="P1236" t="s">
        <v>3147</v>
      </c>
      <c r="R1236" t="s">
        <v>3148</v>
      </c>
      <c r="S1236" t="s">
        <v>183</v>
      </c>
      <c r="T1236" t="s">
        <v>76</v>
      </c>
      <c r="U1236" t="s">
        <v>104</v>
      </c>
      <c r="V1236" t="s">
        <v>593</v>
      </c>
      <c r="W1236">
        <v>390</v>
      </c>
      <c r="X1236">
        <v>16.989999999999998</v>
      </c>
      <c r="Y1236">
        <v>49</v>
      </c>
      <c r="Z1236">
        <v>279000</v>
      </c>
      <c r="AA1236">
        <v>37050</v>
      </c>
      <c r="AB1236">
        <v>140</v>
      </c>
      <c r="AD1236" t="s">
        <v>238</v>
      </c>
      <c r="AE1236">
        <v>1</v>
      </c>
      <c r="AF1236">
        <v>0</v>
      </c>
      <c r="AI1236">
        <v>0</v>
      </c>
      <c r="AJ1236">
        <v>50</v>
      </c>
      <c r="AK1236">
        <v>50</v>
      </c>
      <c r="AL1236">
        <v>95</v>
      </c>
      <c r="AM1236">
        <v>55</v>
      </c>
      <c r="AN1236">
        <v>0</v>
      </c>
      <c r="AO1236">
        <v>55</v>
      </c>
      <c r="AP1236" t="s">
        <v>80</v>
      </c>
      <c r="AQ1236" t="s">
        <v>190</v>
      </c>
      <c r="AR1236" t="s">
        <v>86</v>
      </c>
      <c r="AS1236" t="s">
        <v>86</v>
      </c>
      <c r="AT1236" t="s">
        <v>86</v>
      </c>
      <c r="AU1236" t="s">
        <v>86</v>
      </c>
      <c r="AV1236" t="s">
        <v>81</v>
      </c>
      <c r="AW1236" t="s">
        <v>69</v>
      </c>
      <c r="AX1236" t="s">
        <v>126</v>
      </c>
      <c r="AY1236" t="s">
        <v>3149</v>
      </c>
      <c r="AZ1236" t="s">
        <v>245</v>
      </c>
      <c r="BA1236" t="s">
        <v>244</v>
      </c>
      <c r="BB1236" t="s">
        <v>244</v>
      </c>
      <c r="BC1236" t="s">
        <v>244</v>
      </c>
      <c r="BD1236" t="s">
        <v>3155</v>
      </c>
      <c r="BE1236" t="s">
        <v>3752</v>
      </c>
      <c r="BF1236" t="s">
        <v>86</v>
      </c>
      <c r="BG1236" t="s">
        <v>150</v>
      </c>
      <c r="BH1236" t="str">
        <f>IF(COUNTIF(工作表1!A:A, $C1236)&gt;0, "預購款", "非預購款")</f>
        <v>非預購款</v>
      </c>
    </row>
    <row r="1237" spans="1:60" x14ac:dyDescent="0.25">
      <c r="A1237" t="s">
        <v>3140</v>
      </c>
      <c r="B1237" t="s">
        <v>488</v>
      </c>
      <c r="C1237" t="s">
        <v>3141</v>
      </c>
      <c r="D1237" t="s">
        <v>3142</v>
      </c>
      <c r="E1237" t="s">
        <v>3143</v>
      </c>
      <c r="F1237" t="s">
        <v>176</v>
      </c>
      <c r="G1237" t="s">
        <v>3144</v>
      </c>
      <c r="H1237" t="s">
        <v>132</v>
      </c>
      <c r="I1237" t="s">
        <v>171</v>
      </c>
      <c r="J1237" t="s">
        <v>172</v>
      </c>
      <c r="K1237" t="s">
        <v>69</v>
      </c>
      <c r="L1237" t="s">
        <v>3145</v>
      </c>
      <c r="M1237" t="s">
        <v>71</v>
      </c>
      <c r="N1237" t="s">
        <v>198</v>
      </c>
      <c r="O1237" t="s">
        <v>3146</v>
      </c>
      <c r="P1237" t="s">
        <v>3147</v>
      </c>
      <c r="R1237" t="s">
        <v>3148</v>
      </c>
      <c r="S1237" t="s">
        <v>183</v>
      </c>
      <c r="T1237" t="s">
        <v>76</v>
      </c>
      <c r="U1237" t="s">
        <v>104</v>
      </c>
      <c r="V1237" t="s">
        <v>593</v>
      </c>
      <c r="W1237">
        <v>390</v>
      </c>
      <c r="X1237">
        <v>16.989999999999998</v>
      </c>
      <c r="Y1237">
        <v>49</v>
      </c>
      <c r="Z1237">
        <v>279000</v>
      </c>
      <c r="AA1237">
        <v>37050</v>
      </c>
      <c r="AB1237">
        <v>140</v>
      </c>
      <c r="AD1237" t="s">
        <v>238</v>
      </c>
      <c r="AE1237">
        <v>1</v>
      </c>
      <c r="AF1237">
        <v>0</v>
      </c>
      <c r="AI1237">
        <v>0</v>
      </c>
      <c r="AJ1237">
        <v>5</v>
      </c>
      <c r="AK1237">
        <v>5</v>
      </c>
      <c r="AL1237">
        <v>95</v>
      </c>
      <c r="AM1237">
        <v>6</v>
      </c>
      <c r="AN1237">
        <v>0</v>
      </c>
      <c r="AO1237">
        <v>6</v>
      </c>
      <c r="AP1237" t="s">
        <v>80</v>
      </c>
      <c r="AQ1237" t="s">
        <v>190</v>
      </c>
      <c r="AR1237" t="s">
        <v>86</v>
      </c>
      <c r="AS1237" t="s">
        <v>86</v>
      </c>
      <c r="AT1237" t="s">
        <v>86</v>
      </c>
      <c r="AU1237" t="s">
        <v>86</v>
      </c>
      <c r="AV1237" t="s">
        <v>81</v>
      </c>
      <c r="AW1237" t="s">
        <v>69</v>
      </c>
      <c r="AX1237" t="s">
        <v>126</v>
      </c>
      <c r="AY1237" t="s">
        <v>3149</v>
      </c>
      <c r="AZ1237" t="s">
        <v>245</v>
      </c>
      <c r="BA1237" t="s">
        <v>244</v>
      </c>
      <c r="BB1237" t="s">
        <v>244</v>
      </c>
      <c r="BC1237" t="s">
        <v>244</v>
      </c>
      <c r="BD1237" t="s">
        <v>3156</v>
      </c>
      <c r="BE1237" t="s">
        <v>3752</v>
      </c>
      <c r="BF1237" t="s">
        <v>86</v>
      </c>
      <c r="BG1237" t="s">
        <v>150</v>
      </c>
      <c r="BH1237" t="str">
        <f>IF(COUNTIF(工作表1!A:A, $C1237)&gt;0, "預購款", "非預購款")</f>
        <v>非預購款</v>
      </c>
    </row>
    <row r="1238" spans="1:60" x14ac:dyDescent="0.25">
      <c r="A1238" t="s">
        <v>739</v>
      </c>
      <c r="B1238" t="s">
        <v>488</v>
      </c>
      <c r="C1238" t="s">
        <v>740</v>
      </c>
      <c r="D1238" t="s">
        <v>741</v>
      </c>
      <c r="E1238" t="s">
        <v>742</v>
      </c>
      <c r="F1238" t="s">
        <v>184</v>
      </c>
      <c r="G1238" t="s">
        <v>743</v>
      </c>
      <c r="H1238" t="s">
        <v>119</v>
      </c>
      <c r="I1238" t="s">
        <v>120</v>
      </c>
      <c r="J1238" t="s">
        <v>121</v>
      </c>
      <c r="K1238" t="s">
        <v>69</v>
      </c>
      <c r="L1238" t="s">
        <v>744</v>
      </c>
      <c r="M1238" t="s">
        <v>71</v>
      </c>
      <c r="N1238" t="s">
        <v>100</v>
      </c>
      <c r="O1238" t="s">
        <v>101</v>
      </c>
      <c r="P1238" t="s">
        <v>102</v>
      </c>
      <c r="R1238" t="s">
        <v>734</v>
      </c>
      <c r="S1238" t="s">
        <v>222</v>
      </c>
      <c r="T1238" t="s">
        <v>76</v>
      </c>
      <c r="U1238" t="s">
        <v>104</v>
      </c>
      <c r="V1238" t="s">
        <v>292</v>
      </c>
      <c r="W1238">
        <v>390</v>
      </c>
      <c r="X1238">
        <v>16.989999999999998</v>
      </c>
      <c r="Y1238">
        <v>49</v>
      </c>
      <c r="Z1238">
        <v>279000</v>
      </c>
      <c r="AA1238">
        <v>138450</v>
      </c>
      <c r="AB1238">
        <v>150</v>
      </c>
      <c r="AD1238" t="s">
        <v>238</v>
      </c>
      <c r="AE1238">
        <v>2</v>
      </c>
      <c r="AF1238">
        <v>0</v>
      </c>
      <c r="AI1238">
        <v>0</v>
      </c>
      <c r="AJ1238">
        <v>80</v>
      </c>
      <c r="AK1238">
        <v>80</v>
      </c>
      <c r="AL1238">
        <v>355</v>
      </c>
      <c r="AM1238">
        <v>90</v>
      </c>
      <c r="AN1238">
        <v>0</v>
      </c>
      <c r="AO1238">
        <v>90</v>
      </c>
      <c r="AP1238" t="s">
        <v>80</v>
      </c>
      <c r="AQ1238" t="s">
        <v>190</v>
      </c>
      <c r="AS1238" t="s">
        <v>240</v>
      </c>
      <c r="AT1238" t="s">
        <v>86</v>
      </c>
      <c r="AU1238" t="s">
        <v>86</v>
      </c>
      <c r="AV1238" t="s">
        <v>745</v>
      </c>
      <c r="AW1238" t="s">
        <v>69</v>
      </c>
      <c r="AX1238" t="s">
        <v>746</v>
      </c>
      <c r="AY1238" t="s">
        <v>747</v>
      </c>
      <c r="AZ1238" t="s">
        <v>243</v>
      </c>
      <c r="BA1238" t="s">
        <v>244</v>
      </c>
      <c r="BB1238" t="s">
        <v>264</v>
      </c>
      <c r="BC1238" t="s">
        <v>244</v>
      </c>
      <c r="BD1238" t="s">
        <v>748</v>
      </c>
      <c r="BE1238" t="s">
        <v>3753</v>
      </c>
      <c r="BF1238" t="s">
        <v>86</v>
      </c>
      <c r="BG1238" t="s">
        <v>150</v>
      </c>
      <c r="BH1238" t="str">
        <f>IF(COUNTIF(工作表1!A:A, $C1238)&gt;0, "預購款", "非預購款")</f>
        <v>非預購款</v>
      </c>
    </row>
    <row r="1239" spans="1:60" x14ac:dyDescent="0.25">
      <c r="A1239" t="s">
        <v>739</v>
      </c>
      <c r="B1239" t="s">
        <v>488</v>
      </c>
      <c r="C1239" t="s">
        <v>740</v>
      </c>
      <c r="D1239" t="s">
        <v>741</v>
      </c>
      <c r="E1239" t="s">
        <v>742</v>
      </c>
      <c r="F1239" t="s">
        <v>184</v>
      </c>
      <c r="G1239" t="s">
        <v>743</v>
      </c>
      <c r="H1239" t="s">
        <v>130</v>
      </c>
      <c r="I1239" t="s">
        <v>120</v>
      </c>
      <c r="J1239" t="s">
        <v>121</v>
      </c>
      <c r="K1239" t="s">
        <v>69</v>
      </c>
      <c r="L1239" t="s">
        <v>744</v>
      </c>
      <c r="M1239" t="s">
        <v>71</v>
      </c>
      <c r="N1239" t="s">
        <v>100</v>
      </c>
      <c r="O1239" t="s">
        <v>101</v>
      </c>
      <c r="P1239" t="s">
        <v>102</v>
      </c>
      <c r="R1239" t="s">
        <v>734</v>
      </c>
      <c r="S1239" t="s">
        <v>222</v>
      </c>
      <c r="T1239" t="s">
        <v>76</v>
      </c>
      <c r="U1239" t="s">
        <v>104</v>
      </c>
      <c r="V1239" t="s">
        <v>292</v>
      </c>
      <c r="W1239">
        <v>390</v>
      </c>
      <c r="X1239">
        <v>16.989999999999998</v>
      </c>
      <c r="Y1239">
        <v>49</v>
      </c>
      <c r="Z1239">
        <v>279000</v>
      </c>
      <c r="AA1239">
        <v>138450</v>
      </c>
      <c r="AB1239">
        <v>150</v>
      </c>
      <c r="AD1239" t="s">
        <v>238</v>
      </c>
      <c r="AE1239">
        <v>2</v>
      </c>
      <c r="AF1239">
        <v>0</v>
      </c>
      <c r="AI1239">
        <v>0</v>
      </c>
      <c r="AJ1239">
        <v>80</v>
      </c>
      <c r="AK1239">
        <v>80</v>
      </c>
      <c r="AL1239">
        <v>355</v>
      </c>
      <c r="AM1239">
        <v>90</v>
      </c>
      <c r="AN1239">
        <v>0</v>
      </c>
      <c r="AO1239">
        <v>90</v>
      </c>
      <c r="AP1239" t="s">
        <v>80</v>
      </c>
      <c r="AQ1239" t="s">
        <v>190</v>
      </c>
      <c r="AS1239" t="s">
        <v>240</v>
      </c>
      <c r="AT1239" t="s">
        <v>86</v>
      </c>
      <c r="AU1239" t="s">
        <v>86</v>
      </c>
      <c r="AV1239" t="s">
        <v>745</v>
      </c>
      <c r="AW1239" t="s">
        <v>69</v>
      </c>
      <c r="AX1239" t="s">
        <v>746</v>
      </c>
      <c r="AY1239" t="s">
        <v>747</v>
      </c>
      <c r="AZ1239" t="s">
        <v>243</v>
      </c>
      <c r="BA1239" t="s">
        <v>244</v>
      </c>
      <c r="BB1239" t="s">
        <v>264</v>
      </c>
      <c r="BC1239" t="s">
        <v>244</v>
      </c>
      <c r="BD1239" t="s">
        <v>750</v>
      </c>
      <c r="BE1239" t="s">
        <v>3753</v>
      </c>
      <c r="BF1239" t="s">
        <v>86</v>
      </c>
      <c r="BG1239" t="s">
        <v>150</v>
      </c>
      <c r="BH1239" t="str">
        <f>IF(COUNTIF(工作表1!A:A, $C1239)&gt;0, "預購款", "非預購款")</f>
        <v>非預購款</v>
      </c>
    </row>
    <row r="1240" spans="1:60" x14ac:dyDescent="0.25">
      <c r="A1240" t="s">
        <v>739</v>
      </c>
      <c r="B1240" t="s">
        <v>488</v>
      </c>
      <c r="C1240" t="s">
        <v>740</v>
      </c>
      <c r="D1240" t="s">
        <v>741</v>
      </c>
      <c r="E1240" t="s">
        <v>742</v>
      </c>
      <c r="F1240" t="s">
        <v>184</v>
      </c>
      <c r="G1240" t="s">
        <v>743</v>
      </c>
      <c r="H1240" t="s">
        <v>132</v>
      </c>
      <c r="I1240" t="s">
        <v>120</v>
      </c>
      <c r="J1240" t="s">
        <v>121</v>
      </c>
      <c r="K1240" t="s">
        <v>69</v>
      </c>
      <c r="L1240" t="s">
        <v>744</v>
      </c>
      <c r="M1240" t="s">
        <v>71</v>
      </c>
      <c r="N1240" t="s">
        <v>100</v>
      </c>
      <c r="O1240" t="s">
        <v>101</v>
      </c>
      <c r="P1240" t="s">
        <v>102</v>
      </c>
      <c r="R1240" t="s">
        <v>734</v>
      </c>
      <c r="S1240" t="s">
        <v>222</v>
      </c>
      <c r="T1240" t="s">
        <v>76</v>
      </c>
      <c r="U1240" t="s">
        <v>104</v>
      </c>
      <c r="V1240" t="s">
        <v>292</v>
      </c>
      <c r="W1240">
        <v>390</v>
      </c>
      <c r="X1240">
        <v>16.989999999999998</v>
      </c>
      <c r="Y1240">
        <v>49</v>
      </c>
      <c r="Z1240">
        <v>279000</v>
      </c>
      <c r="AA1240">
        <v>138450</v>
      </c>
      <c r="AB1240">
        <v>150</v>
      </c>
      <c r="AD1240" t="s">
        <v>238</v>
      </c>
      <c r="AE1240">
        <v>2</v>
      </c>
      <c r="AF1240">
        <v>0</v>
      </c>
      <c r="AI1240">
        <v>0</v>
      </c>
      <c r="AJ1240">
        <v>25</v>
      </c>
      <c r="AK1240">
        <v>25</v>
      </c>
      <c r="AL1240">
        <v>355</v>
      </c>
      <c r="AM1240">
        <v>29</v>
      </c>
      <c r="AN1240">
        <v>0</v>
      </c>
      <c r="AO1240">
        <v>29</v>
      </c>
      <c r="AP1240" t="s">
        <v>80</v>
      </c>
      <c r="AQ1240" t="s">
        <v>190</v>
      </c>
      <c r="AS1240" t="s">
        <v>240</v>
      </c>
      <c r="AT1240" t="s">
        <v>86</v>
      </c>
      <c r="AU1240" t="s">
        <v>86</v>
      </c>
      <c r="AV1240" t="s">
        <v>745</v>
      </c>
      <c r="AW1240" t="s">
        <v>69</v>
      </c>
      <c r="AX1240" t="s">
        <v>746</v>
      </c>
      <c r="AY1240" t="s">
        <v>747</v>
      </c>
      <c r="AZ1240" t="s">
        <v>243</v>
      </c>
      <c r="BA1240" t="s">
        <v>244</v>
      </c>
      <c r="BB1240" t="s">
        <v>264</v>
      </c>
      <c r="BC1240" t="s">
        <v>244</v>
      </c>
      <c r="BD1240" t="s">
        <v>751</v>
      </c>
      <c r="BE1240" t="s">
        <v>3753</v>
      </c>
      <c r="BF1240" t="s">
        <v>86</v>
      </c>
      <c r="BG1240" t="s">
        <v>150</v>
      </c>
      <c r="BH1240" t="str">
        <f>IF(COUNTIF(工作表1!A:A, $C1240)&gt;0, "預購款", "非預購款")</f>
        <v>非預購款</v>
      </c>
    </row>
    <row r="1241" spans="1:60" x14ac:dyDescent="0.25">
      <c r="A1241" t="s">
        <v>739</v>
      </c>
      <c r="B1241" t="s">
        <v>488</v>
      </c>
      <c r="C1241" t="s">
        <v>740</v>
      </c>
      <c r="D1241" t="s">
        <v>741</v>
      </c>
      <c r="E1241" t="s">
        <v>742</v>
      </c>
      <c r="F1241" t="s">
        <v>184</v>
      </c>
      <c r="G1241" t="s">
        <v>743</v>
      </c>
      <c r="H1241" t="s">
        <v>119</v>
      </c>
      <c r="I1241" t="s">
        <v>214</v>
      </c>
      <c r="J1241" t="s">
        <v>215</v>
      </c>
      <c r="K1241" t="s">
        <v>69</v>
      </c>
      <c r="L1241" t="s">
        <v>744</v>
      </c>
      <c r="M1241" t="s">
        <v>71</v>
      </c>
      <c r="N1241" t="s">
        <v>100</v>
      </c>
      <c r="O1241" t="s">
        <v>101</v>
      </c>
      <c r="P1241" t="s">
        <v>102</v>
      </c>
      <c r="R1241" t="s">
        <v>734</v>
      </c>
      <c r="S1241" t="s">
        <v>222</v>
      </c>
      <c r="T1241" t="s">
        <v>76</v>
      </c>
      <c r="U1241" t="s">
        <v>104</v>
      </c>
      <c r="V1241" t="s">
        <v>292</v>
      </c>
      <c r="W1241">
        <v>390</v>
      </c>
      <c r="X1241">
        <v>16.989999999999998</v>
      </c>
      <c r="Y1241">
        <v>49</v>
      </c>
      <c r="Z1241">
        <v>279000</v>
      </c>
      <c r="AA1241">
        <v>138450</v>
      </c>
      <c r="AB1241">
        <v>150</v>
      </c>
      <c r="AD1241" t="s">
        <v>238</v>
      </c>
      <c r="AE1241">
        <v>2</v>
      </c>
      <c r="AF1241">
        <v>0</v>
      </c>
      <c r="AI1241">
        <v>0</v>
      </c>
      <c r="AJ1241">
        <v>65</v>
      </c>
      <c r="AK1241">
        <v>65</v>
      </c>
      <c r="AL1241">
        <v>355</v>
      </c>
      <c r="AM1241">
        <v>69</v>
      </c>
      <c r="AN1241">
        <v>0</v>
      </c>
      <c r="AO1241">
        <v>69</v>
      </c>
      <c r="AP1241" t="s">
        <v>80</v>
      </c>
      <c r="AQ1241" t="s">
        <v>190</v>
      </c>
      <c r="AS1241" t="s">
        <v>240</v>
      </c>
      <c r="AT1241" t="s">
        <v>86</v>
      </c>
      <c r="AU1241" t="s">
        <v>86</v>
      </c>
      <c r="AV1241" t="s">
        <v>745</v>
      </c>
      <c r="AW1241" t="s">
        <v>69</v>
      </c>
      <c r="AX1241" t="s">
        <v>746</v>
      </c>
      <c r="AY1241" t="s">
        <v>747</v>
      </c>
      <c r="AZ1241" t="s">
        <v>243</v>
      </c>
      <c r="BA1241" t="s">
        <v>244</v>
      </c>
      <c r="BB1241" t="s">
        <v>264</v>
      </c>
      <c r="BC1241" t="s">
        <v>244</v>
      </c>
      <c r="BD1241" t="s">
        <v>755</v>
      </c>
      <c r="BE1241" t="s">
        <v>3753</v>
      </c>
      <c r="BF1241" t="s">
        <v>86</v>
      </c>
      <c r="BG1241" t="s">
        <v>150</v>
      </c>
      <c r="BH1241" t="str">
        <f>IF(COUNTIF(工作表1!A:A, $C1241)&gt;0, "預購款", "非預購款")</f>
        <v>非預購款</v>
      </c>
    </row>
    <row r="1242" spans="1:60" x14ac:dyDescent="0.25">
      <c r="A1242" t="s">
        <v>739</v>
      </c>
      <c r="B1242" t="s">
        <v>488</v>
      </c>
      <c r="C1242" t="s">
        <v>740</v>
      </c>
      <c r="D1242" t="s">
        <v>741</v>
      </c>
      <c r="E1242" t="s">
        <v>742</v>
      </c>
      <c r="F1242" t="s">
        <v>184</v>
      </c>
      <c r="G1242" t="s">
        <v>743</v>
      </c>
      <c r="H1242" t="s">
        <v>130</v>
      </c>
      <c r="I1242" t="s">
        <v>214</v>
      </c>
      <c r="J1242" t="s">
        <v>215</v>
      </c>
      <c r="K1242" t="s">
        <v>69</v>
      </c>
      <c r="L1242" t="s">
        <v>744</v>
      </c>
      <c r="M1242" t="s">
        <v>71</v>
      </c>
      <c r="N1242" t="s">
        <v>100</v>
      </c>
      <c r="O1242" t="s">
        <v>101</v>
      </c>
      <c r="P1242" t="s">
        <v>102</v>
      </c>
      <c r="R1242" t="s">
        <v>734</v>
      </c>
      <c r="S1242" t="s">
        <v>222</v>
      </c>
      <c r="T1242" t="s">
        <v>76</v>
      </c>
      <c r="U1242" t="s">
        <v>104</v>
      </c>
      <c r="V1242" t="s">
        <v>292</v>
      </c>
      <c r="W1242">
        <v>390</v>
      </c>
      <c r="X1242">
        <v>16.989999999999998</v>
      </c>
      <c r="Y1242">
        <v>49</v>
      </c>
      <c r="Z1242">
        <v>279000</v>
      </c>
      <c r="AA1242">
        <v>138450</v>
      </c>
      <c r="AB1242">
        <v>150</v>
      </c>
      <c r="AD1242" t="s">
        <v>238</v>
      </c>
      <c r="AE1242">
        <v>2</v>
      </c>
      <c r="AF1242">
        <v>0</v>
      </c>
      <c r="AI1242">
        <v>0</v>
      </c>
      <c r="AJ1242">
        <v>65</v>
      </c>
      <c r="AK1242">
        <v>65</v>
      </c>
      <c r="AL1242">
        <v>355</v>
      </c>
      <c r="AM1242">
        <v>61</v>
      </c>
      <c r="AN1242">
        <v>0</v>
      </c>
      <c r="AO1242">
        <v>61</v>
      </c>
      <c r="AP1242" t="s">
        <v>80</v>
      </c>
      <c r="AQ1242" t="s">
        <v>190</v>
      </c>
      <c r="AS1242" t="s">
        <v>240</v>
      </c>
      <c r="AT1242" t="s">
        <v>86</v>
      </c>
      <c r="AU1242" t="s">
        <v>86</v>
      </c>
      <c r="AV1242" t="s">
        <v>745</v>
      </c>
      <c r="AW1242" t="s">
        <v>69</v>
      </c>
      <c r="AX1242" t="s">
        <v>746</v>
      </c>
      <c r="AY1242" t="s">
        <v>747</v>
      </c>
      <c r="AZ1242" t="s">
        <v>243</v>
      </c>
      <c r="BA1242" t="s">
        <v>244</v>
      </c>
      <c r="BB1242" t="s">
        <v>264</v>
      </c>
      <c r="BC1242" t="s">
        <v>244</v>
      </c>
      <c r="BD1242" t="s">
        <v>756</v>
      </c>
      <c r="BE1242" t="s">
        <v>3753</v>
      </c>
      <c r="BF1242" t="s">
        <v>86</v>
      </c>
      <c r="BG1242" t="s">
        <v>150</v>
      </c>
      <c r="BH1242" t="str">
        <f>IF(COUNTIF(工作表1!A:A, $C1242)&gt;0, "預購款", "非預購款")</f>
        <v>非預購款</v>
      </c>
    </row>
    <row r="1243" spans="1:60" x14ac:dyDescent="0.25">
      <c r="A1243" t="s">
        <v>739</v>
      </c>
      <c r="B1243" t="s">
        <v>488</v>
      </c>
      <c r="C1243" t="s">
        <v>740</v>
      </c>
      <c r="D1243" t="s">
        <v>741</v>
      </c>
      <c r="E1243" t="s">
        <v>742</v>
      </c>
      <c r="F1243" t="s">
        <v>184</v>
      </c>
      <c r="G1243" t="s">
        <v>743</v>
      </c>
      <c r="H1243" t="s">
        <v>132</v>
      </c>
      <c r="I1243" t="s">
        <v>214</v>
      </c>
      <c r="J1243" t="s">
        <v>215</v>
      </c>
      <c r="K1243" t="s">
        <v>69</v>
      </c>
      <c r="L1243" t="s">
        <v>744</v>
      </c>
      <c r="M1243" t="s">
        <v>71</v>
      </c>
      <c r="N1243" t="s">
        <v>100</v>
      </c>
      <c r="O1243" t="s">
        <v>101</v>
      </c>
      <c r="P1243" t="s">
        <v>102</v>
      </c>
      <c r="R1243" t="s">
        <v>734</v>
      </c>
      <c r="S1243" t="s">
        <v>222</v>
      </c>
      <c r="T1243" t="s">
        <v>76</v>
      </c>
      <c r="U1243" t="s">
        <v>104</v>
      </c>
      <c r="V1243" t="s">
        <v>292</v>
      </c>
      <c r="W1243">
        <v>390</v>
      </c>
      <c r="X1243">
        <v>16.989999999999998</v>
      </c>
      <c r="Y1243">
        <v>49</v>
      </c>
      <c r="Z1243">
        <v>279000</v>
      </c>
      <c r="AA1243">
        <v>138450</v>
      </c>
      <c r="AB1243">
        <v>150</v>
      </c>
      <c r="AD1243" t="s">
        <v>238</v>
      </c>
      <c r="AE1243">
        <v>2</v>
      </c>
      <c r="AF1243">
        <v>0</v>
      </c>
      <c r="AI1243">
        <v>0</v>
      </c>
      <c r="AJ1243">
        <v>40</v>
      </c>
      <c r="AK1243">
        <v>40</v>
      </c>
      <c r="AL1243">
        <v>355</v>
      </c>
      <c r="AM1243">
        <v>40</v>
      </c>
      <c r="AN1243">
        <v>0</v>
      </c>
      <c r="AO1243">
        <v>40</v>
      </c>
      <c r="AP1243" t="s">
        <v>80</v>
      </c>
      <c r="AQ1243" t="s">
        <v>190</v>
      </c>
      <c r="AS1243" t="s">
        <v>240</v>
      </c>
      <c r="AT1243" t="s">
        <v>86</v>
      </c>
      <c r="AU1243" t="s">
        <v>86</v>
      </c>
      <c r="AV1243" t="s">
        <v>745</v>
      </c>
      <c r="AW1243" t="s">
        <v>69</v>
      </c>
      <c r="AX1243" t="s">
        <v>746</v>
      </c>
      <c r="AY1243" t="s">
        <v>747</v>
      </c>
      <c r="AZ1243" t="s">
        <v>243</v>
      </c>
      <c r="BA1243" t="s">
        <v>244</v>
      </c>
      <c r="BB1243" t="s">
        <v>264</v>
      </c>
      <c r="BC1243" t="s">
        <v>244</v>
      </c>
      <c r="BD1243" t="s">
        <v>757</v>
      </c>
      <c r="BE1243" t="s">
        <v>3753</v>
      </c>
      <c r="BF1243" t="s">
        <v>86</v>
      </c>
      <c r="BG1243" t="s">
        <v>150</v>
      </c>
      <c r="BH1243" t="str">
        <f>IF(COUNTIF(工作表1!A:A, $C1243)&gt;0, "預購款", "非預購款")</f>
        <v>非預購款</v>
      </c>
    </row>
    <row r="1244" spans="1:60" x14ac:dyDescent="0.25">
      <c r="A1244" t="s">
        <v>3754</v>
      </c>
      <c r="B1244" t="s">
        <v>576</v>
      </c>
      <c r="C1244" t="s">
        <v>3755</v>
      </c>
      <c r="D1244" t="s">
        <v>3756</v>
      </c>
      <c r="E1244" t="s">
        <v>3757</v>
      </c>
      <c r="F1244" t="s">
        <v>184</v>
      </c>
      <c r="G1244" t="s">
        <v>3758</v>
      </c>
      <c r="H1244" t="s">
        <v>119</v>
      </c>
      <c r="I1244" t="s">
        <v>97</v>
      </c>
      <c r="J1244" t="s">
        <v>98</v>
      </c>
      <c r="K1244" t="s">
        <v>69</v>
      </c>
      <c r="L1244" t="s">
        <v>3759</v>
      </c>
      <c r="M1244" t="s">
        <v>71</v>
      </c>
      <c r="N1244" t="s">
        <v>198</v>
      </c>
      <c r="O1244" t="s">
        <v>1307</v>
      </c>
      <c r="P1244" t="s">
        <v>1308</v>
      </c>
      <c r="R1244" t="s">
        <v>1309</v>
      </c>
      <c r="S1244" t="s">
        <v>222</v>
      </c>
      <c r="T1244" t="s">
        <v>76</v>
      </c>
      <c r="U1244" t="s">
        <v>104</v>
      </c>
      <c r="V1244" t="s">
        <v>99</v>
      </c>
      <c r="W1244">
        <v>690</v>
      </c>
      <c r="X1244">
        <v>29.99</v>
      </c>
      <c r="Y1244">
        <v>89</v>
      </c>
      <c r="Z1244">
        <v>499000</v>
      </c>
      <c r="AA1244">
        <v>600300</v>
      </c>
      <c r="AB1244">
        <v>160</v>
      </c>
      <c r="AD1244" t="s">
        <v>238</v>
      </c>
      <c r="AE1244">
        <v>1</v>
      </c>
      <c r="AF1244">
        <v>10</v>
      </c>
      <c r="AI1244">
        <v>40</v>
      </c>
      <c r="AJ1244">
        <v>440</v>
      </c>
      <c r="AK1244">
        <v>490</v>
      </c>
      <c r="AL1244">
        <v>870</v>
      </c>
      <c r="AM1244">
        <v>0</v>
      </c>
      <c r="AN1244">
        <v>0</v>
      </c>
      <c r="AO1244">
        <v>0</v>
      </c>
      <c r="AP1244" t="s">
        <v>69</v>
      </c>
      <c r="AR1244" t="s">
        <v>261</v>
      </c>
      <c r="AS1244" t="s">
        <v>261</v>
      </c>
      <c r="AT1244" t="s">
        <v>86</v>
      </c>
      <c r="AU1244" t="s">
        <v>86</v>
      </c>
      <c r="AV1244" t="s">
        <v>81</v>
      </c>
      <c r="AW1244" t="s">
        <v>69</v>
      </c>
      <c r="AX1244" t="s">
        <v>126</v>
      </c>
      <c r="AY1244" t="s">
        <v>3760</v>
      </c>
      <c r="AZ1244" t="s">
        <v>264</v>
      </c>
      <c r="BA1244" t="s">
        <v>245</v>
      </c>
      <c r="BB1244" t="s">
        <v>264</v>
      </c>
      <c r="BC1244" t="s">
        <v>244</v>
      </c>
      <c r="BD1244" t="s">
        <v>3761</v>
      </c>
      <c r="BE1244" t="s">
        <v>3762</v>
      </c>
      <c r="BF1244" t="s">
        <v>86</v>
      </c>
      <c r="BG1244" t="s">
        <v>110</v>
      </c>
      <c r="BH1244" t="str">
        <f>IF(COUNTIF(工作表1!A:A, $C1244)&gt;0, "預購款", "非預購款")</f>
        <v>非預購款</v>
      </c>
    </row>
    <row r="1245" spans="1:60" x14ac:dyDescent="0.25">
      <c r="A1245" t="s">
        <v>3754</v>
      </c>
      <c r="B1245" t="s">
        <v>576</v>
      </c>
      <c r="C1245" t="s">
        <v>3755</v>
      </c>
      <c r="D1245" t="s">
        <v>3756</v>
      </c>
      <c r="E1245" t="s">
        <v>3757</v>
      </c>
      <c r="F1245" t="s">
        <v>184</v>
      </c>
      <c r="G1245" t="s">
        <v>3758</v>
      </c>
      <c r="H1245" t="s">
        <v>130</v>
      </c>
      <c r="I1245" t="s">
        <v>97</v>
      </c>
      <c r="J1245" t="s">
        <v>98</v>
      </c>
      <c r="K1245" t="s">
        <v>69</v>
      </c>
      <c r="L1245" t="s">
        <v>3759</v>
      </c>
      <c r="M1245" t="s">
        <v>71</v>
      </c>
      <c r="N1245" t="s">
        <v>198</v>
      </c>
      <c r="O1245" t="s">
        <v>1307</v>
      </c>
      <c r="P1245" t="s">
        <v>1308</v>
      </c>
      <c r="R1245" t="s">
        <v>1309</v>
      </c>
      <c r="S1245" t="s">
        <v>222</v>
      </c>
      <c r="T1245" t="s">
        <v>76</v>
      </c>
      <c r="U1245" t="s">
        <v>104</v>
      </c>
      <c r="V1245" t="s">
        <v>99</v>
      </c>
      <c r="W1245">
        <v>690</v>
      </c>
      <c r="X1245">
        <v>29.99</v>
      </c>
      <c r="Y1245">
        <v>89</v>
      </c>
      <c r="Z1245">
        <v>499000</v>
      </c>
      <c r="AA1245">
        <v>600300</v>
      </c>
      <c r="AB1245">
        <v>160</v>
      </c>
      <c r="AD1245" t="s">
        <v>238</v>
      </c>
      <c r="AE1245">
        <v>1</v>
      </c>
      <c r="AF1245">
        <v>0</v>
      </c>
      <c r="AI1245">
        <v>20</v>
      </c>
      <c r="AJ1245">
        <v>260</v>
      </c>
      <c r="AK1245">
        <v>280</v>
      </c>
      <c r="AL1245">
        <v>870</v>
      </c>
      <c r="AM1245">
        <v>0</v>
      </c>
      <c r="AN1245">
        <v>0</v>
      </c>
      <c r="AO1245">
        <v>0</v>
      </c>
      <c r="AP1245" t="s">
        <v>69</v>
      </c>
      <c r="AR1245" t="s">
        <v>261</v>
      </c>
      <c r="AS1245" t="s">
        <v>261</v>
      </c>
      <c r="AT1245" t="s">
        <v>86</v>
      </c>
      <c r="AU1245" t="s">
        <v>86</v>
      </c>
      <c r="AV1245" t="s">
        <v>81</v>
      </c>
      <c r="AW1245" t="s">
        <v>69</v>
      </c>
      <c r="AX1245" t="s">
        <v>126</v>
      </c>
      <c r="AY1245" t="s">
        <v>3760</v>
      </c>
      <c r="AZ1245" t="s">
        <v>264</v>
      </c>
      <c r="BA1245" t="s">
        <v>245</v>
      </c>
      <c r="BB1245" t="s">
        <v>264</v>
      </c>
      <c r="BC1245" t="s">
        <v>244</v>
      </c>
      <c r="BD1245" t="s">
        <v>3763</v>
      </c>
      <c r="BE1245" t="s">
        <v>3762</v>
      </c>
      <c r="BF1245" t="s">
        <v>86</v>
      </c>
      <c r="BG1245" t="s">
        <v>110</v>
      </c>
      <c r="BH1245" t="str">
        <f>IF(COUNTIF(工作表1!A:A, $C1245)&gt;0, "預購款", "非預購款")</f>
        <v>非預購款</v>
      </c>
    </row>
    <row r="1246" spans="1:60" x14ac:dyDescent="0.25">
      <c r="A1246" t="s">
        <v>3754</v>
      </c>
      <c r="B1246" t="s">
        <v>576</v>
      </c>
      <c r="C1246" t="s">
        <v>3755</v>
      </c>
      <c r="D1246" t="s">
        <v>3756</v>
      </c>
      <c r="E1246" t="s">
        <v>3757</v>
      </c>
      <c r="F1246" t="s">
        <v>184</v>
      </c>
      <c r="G1246" t="s">
        <v>3758</v>
      </c>
      <c r="H1246" t="s">
        <v>132</v>
      </c>
      <c r="I1246" t="s">
        <v>97</v>
      </c>
      <c r="J1246" t="s">
        <v>98</v>
      </c>
      <c r="K1246" t="s">
        <v>69</v>
      </c>
      <c r="L1246" t="s">
        <v>3759</v>
      </c>
      <c r="M1246" t="s">
        <v>71</v>
      </c>
      <c r="N1246" t="s">
        <v>198</v>
      </c>
      <c r="O1246" t="s">
        <v>1307</v>
      </c>
      <c r="P1246" t="s">
        <v>1308</v>
      </c>
      <c r="R1246" t="s">
        <v>1309</v>
      </c>
      <c r="S1246" t="s">
        <v>222</v>
      </c>
      <c r="T1246" t="s">
        <v>76</v>
      </c>
      <c r="U1246" t="s">
        <v>104</v>
      </c>
      <c r="V1246" t="s">
        <v>99</v>
      </c>
      <c r="W1246">
        <v>690</v>
      </c>
      <c r="X1246">
        <v>29.99</v>
      </c>
      <c r="Y1246">
        <v>89</v>
      </c>
      <c r="Z1246">
        <v>499000</v>
      </c>
      <c r="AA1246">
        <v>600300</v>
      </c>
      <c r="AB1246">
        <v>160</v>
      </c>
      <c r="AD1246" t="s">
        <v>238</v>
      </c>
      <c r="AE1246">
        <v>1</v>
      </c>
      <c r="AF1246">
        <v>0</v>
      </c>
      <c r="AI1246">
        <v>20</v>
      </c>
      <c r="AJ1246">
        <v>80</v>
      </c>
      <c r="AK1246">
        <v>100</v>
      </c>
      <c r="AL1246">
        <v>870</v>
      </c>
      <c r="AM1246">
        <v>0</v>
      </c>
      <c r="AN1246">
        <v>0</v>
      </c>
      <c r="AO1246">
        <v>0</v>
      </c>
      <c r="AP1246" t="s">
        <v>69</v>
      </c>
      <c r="AR1246" t="s">
        <v>261</v>
      </c>
      <c r="AS1246" t="s">
        <v>261</v>
      </c>
      <c r="AT1246" t="s">
        <v>86</v>
      </c>
      <c r="AU1246" t="s">
        <v>86</v>
      </c>
      <c r="AV1246" t="s">
        <v>81</v>
      </c>
      <c r="AW1246" t="s">
        <v>69</v>
      </c>
      <c r="AX1246" t="s">
        <v>126</v>
      </c>
      <c r="AY1246" t="s">
        <v>3760</v>
      </c>
      <c r="AZ1246" t="s">
        <v>264</v>
      </c>
      <c r="BA1246" t="s">
        <v>245</v>
      </c>
      <c r="BB1246" t="s">
        <v>264</v>
      </c>
      <c r="BC1246" t="s">
        <v>244</v>
      </c>
      <c r="BD1246" t="s">
        <v>3764</v>
      </c>
      <c r="BE1246" t="s">
        <v>3762</v>
      </c>
      <c r="BF1246" t="s">
        <v>86</v>
      </c>
      <c r="BG1246" t="s">
        <v>110</v>
      </c>
      <c r="BH1246" t="str">
        <f>IF(COUNTIF(工作表1!A:A, $C1246)&gt;0, "預購款", "非預購款")</f>
        <v>非預購款</v>
      </c>
    </row>
    <row r="1247" spans="1:60" x14ac:dyDescent="0.25">
      <c r="A1247" t="s">
        <v>3765</v>
      </c>
      <c r="B1247" t="s">
        <v>576</v>
      </c>
      <c r="C1247" t="s">
        <v>3766</v>
      </c>
      <c r="D1247" t="s">
        <v>3767</v>
      </c>
      <c r="E1247" t="s">
        <v>3768</v>
      </c>
      <c r="F1247" t="s">
        <v>184</v>
      </c>
      <c r="G1247" t="s">
        <v>3769</v>
      </c>
      <c r="H1247" t="s">
        <v>119</v>
      </c>
      <c r="I1247" t="s">
        <v>1635</v>
      </c>
      <c r="J1247" t="s">
        <v>1636</v>
      </c>
      <c r="K1247" t="s">
        <v>69</v>
      </c>
      <c r="L1247" t="s">
        <v>3770</v>
      </c>
      <c r="M1247" t="s">
        <v>71</v>
      </c>
      <c r="N1247" t="s">
        <v>198</v>
      </c>
      <c r="O1247" t="s">
        <v>3439</v>
      </c>
      <c r="P1247" t="s">
        <v>3440</v>
      </c>
      <c r="R1247" t="s">
        <v>1095</v>
      </c>
      <c r="S1247" t="s">
        <v>222</v>
      </c>
      <c r="T1247" t="s">
        <v>258</v>
      </c>
      <c r="U1247" t="s">
        <v>502</v>
      </c>
      <c r="V1247" t="s">
        <v>3771</v>
      </c>
      <c r="W1247">
        <v>1280</v>
      </c>
      <c r="X1247">
        <v>49.99</v>
      </c>
      <c r="Y1247">
        <v>169</v>
      </c>
      <c r="Z1247">
        <v>919000</v>
      </c>
      <c r="AA1247">
        <v>262400</v>
      </c>
      <c r="AB1247">
        <v>305</v>
      </c>
      <c r="AD1247" t="s">
        <v>238</v>
      </c>
      <c r="AE1247">
        <v>1</v>
      </c>
      <c r="AF1247">
        <v>10</v>
      </c>
      <c r="AI1247">
        <v>40</v>
      </c>
      <c r="AJ1247">
        <v>70</v>
      </c>
      <c r="AK1247">
        <v>120</v>
      </c>
      <c r="AL1247">
        <v>205</v>
      </c>
      <c r="AM1247">
        <v>0</v>
      </c>
      <c r="AN1247">
        <v>0</v>
      </c>
      <c r="AO1247">
        <v>0</v>
      </c>
      <c r="AP1247" t="s">
        <v>69</v>
      </c>
      <c r="AR1247" t="s">
        <v>86</v>
      </c>
      <c r="AS1247" t="s">
        <v>86</v>
      </c>
      <c r="AT1247" t="s">
        <v>86</v>
      </c>
      <c r="AU1247" t="s">
        <v>86</v>
      </c>
      <c r="AV1247" t="s">
        <v>3233</v>
      </c>
      <c r="AW1247" t="s">
        <v>69</v>
      </c>
      <c r="AX1247" t="s">
        <v>737</v>
      </c>
      <c r="AY1247" t="s">
        <v>3157</v>
      </c>
      <c r="AZ1247" t="s">
        <v>264</v>
      </c>
      <c r="BA1247" t="s">
        <v>245</v>
      </c>
      <c r="BB1247" t="s">
        <v>244</v>
      </c>
      <c r="BC1247" t="s">
        <v>244</v>
      </c>
      <c r="BD1247" t="s">
        <v>3772</v>
      </c>
      <c r="BE1247" t="s">
        <v>3773</v>
      </c>
      <c r="BF1247" t="s">
        <v>240</v>
      </c>
      <c r="BG1247" t="s">
        <v>110</v>
      </c>
      <c r="BH1247" t="str">
        <f>IF(COUNTIF(工作表1!A:A, $C1247)&gt;0, "預購款", "非預購款")</f>
        <v>非預購款</v>
      </c>
    </row>
    <row r="1248" spans="1:60" x14ac:dyDescent="0.25">
      <c r="A1248" t="s">
        <v>3765</v>
      </c>
      <c r="B1248" t="s">
        <v>576</v>
      </c>
      <c r="C1248" t="s">
        <v>3766</v>
      </c>
      <c r="D1248" t="s">
        <v>3767</v>
      </c>
      <c r="E1248" t="s">
        <v>3768</v>
      </c>
      <c r="F1248" t="s">
        <v>184</v>
      </c>
      <c r="G1248" t="s">
        <v>3769</v>
      </c>
      <c r="H1248" t="s">
        <v>130</v>
      </c>
      <c r="I1248" t="s">
        <v>1635</v>
      </c>
      <c r="J1248" t="s">
        <v>1636</v>
      </c>
      <c r="K1248" t="s">
        <v>69</v>
      </c>
      <c r="L1248" t="s">
        <v>3770</v>
      </c>
      <c r="M1248" t="s">
        <v>71</v>
      </c>
      <c r="N1248" t="s">
        <v>198</v>
      </c>
      <c r="O1248" t="s">
        <v>3439</v>
      </c>
      <c r="P1248" t="s">
        <v>3440</v>
      </c>
      <c r="R1248" t="s">
        <v>1095</v>
      </c>
      <c r="S1248" t="s">
        <v>222</v>
      </c>
      <c r="T1248" t="s">
        <v>258</v>
      </c>
      <c r="U1248" t="s">
        <v>502</v>
      </c>
      <c r="V1248" t="s">
        <v>3771</v>
      </c>
      <c r="W1248">
        <v>1280</v>
      </c>
      <c r="X1248">
        <v>49.99</v>
      </c>
      <c r="Y1248">
        <v>169</v>
      </c>
      <c r="Z1248">
        <v>919000</v>
      </c>
      <c r="AA1248">
        <v>262400</v>
      </c>
      <c r="AB1248">
        <v>305</v>
      </c>
      <c r="AD1248" t="s">
        <v>238</v>
      </c>
      <c r="AE1248">
        <v>1</v>
      </c>
      <c r="AF1248">
        <v>5</v>
      </c>
      <c r="AI1248">
        <v>30</v>
      </c>
      <c r="AJ1248">
        <v>25</v>
      </c>
      <c r="AK1248">
        <v>60</v>
      </c>
      <c r="AL1248">
        <v>205</v>
      </c>
      <c r="AM1248">
        <v>0</v>
      </c>
      <c r="AN1248">
        <v>0</v>
      </c>
      <c r="AO1248">
        <v>0</v>
      </c>
      <c r="AP1248" t="s">
        <v>69</v>
      </c>
      <c r="AR1248" t="s">
        <v>86</v>
      </c>
      <c r="AS1248" t="s">
        <v>86</v>
      </c>
      <c r="AT1248" t="s">
        <v>86</v>
      </c>
      <c r="AU1248" t="s">
        <v>86</v>
      </c>
      <c r="AV1248" t="s">
        <v>3233</v>
      </c>
      <c r="AW1248" t="s">
        <v>69</v>
      </c>
      <c r="AX1248" t="s">
        <v>737</v>
      </c>
      <c r="AY1248" t="s">
        <v>3157</v>
      </c>
      <c r="AZ1248" t="s">
        <v>264</v>
      </c>
      <c r="BA1248" t="s">
        <v>245</v>
      </c>
      <c r="BB1248" t="s">
        <v>244</v>
      </c>
      <c r="BC1248" t="s">
        <v>244</v>
      </c>
      <c r="BD1248" t="s">
        <v>3774</v>
      </c>
      <c r="BE1248" t="s">
        <v>3773</v>
      </c>
      <c r="BF1248" t="s">
        <v>240</v>
      </c>
      <c r="BG1248" t="s">
        <v>110</v>
      </c>
      <c r="BH1248" t="str">
        <f>IF(COUNTIF(工作表1!A:A, $C1248)&gt;0, "預購款", "非預購款")</f>
        <v>非預購款</v>
      </c>
    </row>
    <row r="1249" spans="1:60" x14ac:dyDescent="0.25">
      <c r="A1249" t="s">
        <v>3765</v>
      </c>
      <c r="B1249" t="s">
        <v>576</v>
      </c>
      <c r="C1249" t="s">
        <v>3766</v>
      </c>
      <c r="D1249" t="s">
        <v>3767</v>
      </c>
      <c r="E1249" t="s">
        <v>3768</v>
      </c>
      <c r="F1249" t="s">
        <v>184</v>
      </c>
      <c r="G1249" t="s">
        <v>3769</v>
      </c>
      <c r="H1249" t="s">
        <v>132</v>
      </c>
      <c r="I1249" t="s">
        <v>1635</v>
      </c>
      <c r="J1249" t="s">
        <v>1636</v>
      </c>
      <c r="K1249" t="s">
        <v>69</v>
      </c>
      <c r="L1249" t="s">
        <v>3770</v>
      </c>
      <c r="M1249" t="s">
        <v>71</v>
      </c>
      <c r="N1249" t="s">
        <v>198</v>
      </c>
      <c r="O1249" t="s">
        <v>3439</v>
      </c>
      <c r="P1249" t="s">
        <v>3440</v>
      </c>
      <c r="R1249" t="s">
        <v>1095</v>
      </c>
      <c r="S1249" t="s">
        <v>222</v>
      </c>
      <c r="T1249" t="s">
        <v>258</v>
      </c>
      <c r="U1249" t="s">
        <v>502</v>
      </c>
      <c r="V1249" t="s">
        <v>3771</v>
      </c>
      <c r="W1249">
        <v>1280</v>
      </c>
      <c r="X1249">
        <v>49.99</v>
      </c>
      <c r="Y1249">
        <v>169</v>
      </c>
      <c r="Z1249">
        <v>919000</v>
      </c>
      <c r="AA1249">
        <v>262400</v>
      </c>
      <c r="AB1249">
        <v>305</v>
      </c>
      <c r="AD1249" t="s">
        <v>238</v>
      </c>
      <c r="AE1249">
        <v>1</v>
      </c>
      <c r="AF1249">
        <v>0</v>
      </c>
      <c r="AI1249">
        <v>10</v>
      </c>
      <c r="AJ1249">
        <v>15</v>
      </c>
      <c r="AK1249">
        <v>25</v>
      </c>
      <c r="AL1249">
        <v>205</v>
      </c>
      <c r="AM1249">
        <v>0</v>
      </c>
      <c r="AN1249">
        <v>0</v>
      </c>
      <c r="AO1249">
        <v>0</v>
      </c>
      <c r="AP1249" t="s">
        <v>69</v>
      </c>
      <c r="AR1249" t="s">
        <v>86</v>
      </c>
      <c r="AS1249" t="s">
        <v>86</v>
      </c>
      <c r="AT1249" t="s">
        <v>86</v>
      </c>
      <c r="AU1249" t="s">
        <v>86</v>
      </c>
      <c r="AV1249" t="s">
        <v>3233</v>
      </c>
      <c r="AW1249" t="s">
        <v>69</v>
      </c>
      <c r="AX1249" t="s">
        <v>737</v>
      </c>
      <c r="AY1249" t="s">
        <v>3157</v>
      </c>
      <c r="AZ1249" t="s">
        <v>264</v>
      </c>
      <c r="BA1249" t="s">
        <v>245</v>
      </c>
      <c r="BB1249" t="s">
        <v>244</v>
      </c>
      <c r="BC1249" t="s">
        <v>244</v>
      </c>
      <c r="BD1249" t="s">
        <v>3775</v>
      </c>
      <c r="BE1249" t="s">
        <v>3773</v>
      </c>
      <c r="BF1249" t="s">
        <v>240</v>
      </c>
      <c r="BG1249" t="s">
        <v>110</v>
      </c>
      <c r="BH1249" t="str">
        <f>IF(COUNTIF(工作表1!A:A, $C1249)&gt;0, "預購款", "非預購款")</f>
        <v>非預購款</v>
      </c>
    </row>
    <row r="1250" spans="1:60" x14ac:dyDescent="0.25">
      <c r="A1250" t="s">
        <v>1667</v>
      </c>
      <c r="B1250" t="s">
        <v>759</v>
      </c>
      <c r="C1250" t="s">
        <v>1668</v>
      </c>
      <c r="D1250" t="s">
        <v>1669</v>
      </c>
      <c r="E1250" t="s">
        <v>1670</v>
      </c>
      <c r="F1250" t="s">
        <v>184</v>
      </c>
      <c r="G1250" t="s">
        <v>1671</v>
      </c>
      <c r="H1250" t="s">
        <v>66</v>
      </c>
      <c r="I1250" t="s">
        <v>97</v>
      </c>
      <c r="J1250" t="s">
        <v>98</v>
      </c>
      <c r="K1250" t="s">
        <v>80</v>
      </c>
      <c r="L1250" t="s">
        <v>1672</v>
      </c>
      <c r="M1250" t="s">
        <v>71</v>
      </c>
      <c r="N1250" t="s">
        <v>100</v>
      </c>
      <c r="O1250" t="s">
        <v>1648</v>
      </c>
      <c r="P1250" t="s">
        <v>1649</v>
      </c>
      <c r="R1250" t="s">
        <v>1650</v>
      </c>
      <c r="S1250" t="s">
        <v>222</v>
      </c>
      <c r="T1250" t="s">
        <v>258</v>
      </c>
      <c r="U1250" t="s">
        <v>1673</v>
      </c>
      <c r="V1250" t="s">
        <v>1674</v>
      </c>
      <c r="W1250">
        <v>590</v>
      </c>
      <c r="X1250">
        <v>29.99</v>
      </c>
      <c r="Y1250">
        <v>75</v>
      </c>
      <c r="Z1250">
        <v>429000</v>
      </c>
      <c r="AA1250">
        <v>132750</v>
      </c>
      <c r="AB1250">
        <v>190</v>
      </c>
      <c r="AD1250" t="s">
        <v>238</v>
      </c>
      <c r="AE1250">
        <v>1</v>
      </c>
      <c r="AF1250">
        <v>0</v>
      </c>
      <c r="AI1250">
        <v>0</v>
      </c>
      <c r="AJ1250">
        <v>225</v>
      </c>
      <c r="AK1250">
        <v>225</v>
      </c>
      <c r="AL1250">
        <v>225</v>
      </c>
      <c r="AM1250">
        <v>225</v>
      </c>
      <c r="AN1250">
        <v>0</v>
      </c>
      <c r="AO1250">
        <v>225</v>
      </c>
      <c r="AP1250" t="s">
        <v>80</v>
      </c>
      <c r="AQ1250" t="s">
        <v>190</v>
      </c>
      <c r="AR1250" t="s">
        <v>261</v>
      </c>
      <c r="AS1250" t="s">
        <v>261</v>
      </c>
      <c r="AT1250" t="s">
        <v>86</v>
      </c>
      <c r="AU1250" t="s">
        <v>261</v>
      </c>
      <c r="AV1250" t="s">
        <v>1675</v>
      </c>
      <c r="AW1250" t="s">
        <v>69</v>
      </c>
      <c r="AX1250" t="s">
        <v>126</v>
      </c>
      <c r="AY1250" t="s">
        <v>1676</v>
      </c>
      <c r="AZ1250" t="s">
        <v>245</v>
      </c>
      <c r="BA1250" t="s">
        <v>243</v>
      </c>
      <c r="BB1250" t="s">
        <v>264</v>
      </c>
      <c r="BC1250" t="s">
        <v>245</v>
      </c>
      <c r="BD1250" t="s">
        <v>1677</v>
      </c>
      <c r="BE1250" t="s">
        <v>3776</v>
      </c>
      <c r="BF1250" t="s">
        <v>240</v>
      </c>
      <c r="BG1250" t="s">
        <v>150</v>
      </c>
      <c r="BH1250" t="str">
        <f>IF(COUNTIF(工作表1!A:A, $C1250)&gt;0, "預購款", "非預購款")</f>
        <v>非預購款</v>
      </c>
    </row>
    <row r="1251" spans="1:60" x14ac:dyDescent="0.25">
      <c r="A1251" t="s">
        <v>758</v>
      </c>
      <c r="B1251" t="s">
        <v>759</v>
      </c>
      <c r="C1251" t="s">
        <v>760</v>
      </c>
      <c r="D1251" t="s">
        <v>761</v>
      </c>
      <c r="E1251" t="s">
        <v>762</v>
      </c>
      <c r="F1251" t="s">
        <v>184</v>
      </c>
      <c r="G1251" t="s">
        <v>763</v>
      </c>
      <c r="H1251" t="s">
        <v>119</v>
      </c>
      <c r="I1251" t="s">
        <v>120</v>
      </c>
      <c r="J1251" t="s">
        <v>121</v>
      </c>
      <c r="K1251" t="s">
        <v>69</v>
      </c>
      <c r="L1251" t="s">
        <v>764</v>
      </c>
      <c r="M1251" t="s">
        <v>71</v>
      </c>
      <c r="N1251" t="s">
        <v>100</v>
      </c>
      <c r="O1251" t="s">
        <v>101</v>
      </c>
      <c r="P1251" t="s">
        <v>102</v>
      </c>
      <c r="R1251" t="s">
        <v>734</v>
      </c>
      <c r="S1251" t="s">
        <v>222</v>
      </c>
      <c r="T1251" t="s">
        <v>258</v>
      </c>
      <c r="U1251" t="s">
        <v>502</v>
      </c>
      <c r="V1251" t="s">
        <v>765</v>
      </c>
      <c r="W1251">
        <v>990</v>
      </c>
      <c r="X1251">
        <v>39.99</v>
      </c>
      <c r="Y1251">
        <v>129</v>
      </c>
      <c r="Z1251">
        <v>709000</v>
      </c>
      <c r="AA1251">
        <v>297000</v>
      </c>
      <c r="AB1251">
        <v>360</v>
      </c>
      <c r="AD1251" t="s">
        <v>238</v>
      </c>
      <c r="AE1251">
        <v>2</v>
      </c>
      <c r="AF1251">
        <v>0</v>
      </c>
      <c r="AI1251">
        <v>15</v>
      </c>
      <c r="AJ1251">
        <v>80</v>
      </c>
      <c r="AK1251">
        <v>95</v>
      </c>
      <c r="AL1251">
        <v>300</v>
      </c>
      <c r="AM1251">
        <v>0</v>
      </c>
      <c r="AN1251">
        <v>0</v>
      </c>
      <c r="AO1251">
        <v>0</v>
      </c>
      <c r="AP1251" t="s">
        <v>69</v>
      </c>
      <c r="AR1251" t="s">
        <v>86</v>
      </c>
      <c r="AS1251" t="s">
        <v>86</v>
      </c>
      <c r="AT1251" t="s">
        <v>86</v>
      </c>
      <c r="AU1251" t="s">
        <v>86</v>
      </c>
      <c r="AV1251" t="s">
        <v>766</v>
      </c>
      <c r="AW1251" t="s">
        <v>69</v>
      </c>
      <c r="AX1251" t="s">
        <v>218</v>
      </c>
      <c r="AY1251" t="s">
        <v>767</v>
      </c>
      <c r="AZ1251" t="s">
        <v>245</v>
      </c>
      <c r="BA1251" t="s">
        <v>244</v>
      </c>
      <c r="BB1251" t="s">
        <v>244</v>
      </c>
      <c r="BC1251" t="s">
        <v>244</v>
      </c>
      <c r="BD1251" t="s">
        <v>768</v>
      </c>
      <c r="BE1251" t="s">
        <v>3777</v>
      </c>
      <c r="BF1251" t="s">
        <v>240</v>
      </c>
      <c r="BG1251" t="s">
        <v>150</v>
      </c>
      <c r="BH1251" t="str">
        <f>IF(COUNTIF(工作表1!A:A, $C1251)&gt;0, "預購款", "非預購款")</f>
        <v>非預購款</v>
      </c>
    </row>
    <row r="1252" spans="1:60" x14ac:dyDescent="0.25">
      <c r="A1252" t="s">
        <v>758</v>
      </c>
      <c r="B1252" t="s">
        <v>759</v>
      </c>
      <c r="C1252" t="s">
        <v>760</v>
      </c>
      <c r="D1252" t="s">
        <v>761</v>
      </c>
      <c r="E1252" t="s">
        <v>762</v>
      </c>
      <c r="F1252" t="s">
        <v>184</v>
      </c>
      <c r="G1252" t="s">
        <v>763</v>
      </c>
      <c r="H1252" t="s">
        <v>130</v>
      </c>
      <c r="I1252" t="s">
        <v>120</v>
      </c>
      <c r="J1252" t="s">
        <v>121</v>
      </c>
      <c r="K1252" t="s">
        <v>69</v>
      </c>
      <c r="L1252" t="s">
        <v>764</v>
      </c>
      <c r="M1252" t="s">
        <v>71</v>
      </c>
      <c r="N1252" t="s">
        <v>100</v>
      </c>
      <c r="O1252" t="s">
        <v>101</v>
      </c>
      <c r="P1252" t="s">
        <v>102</v>
      </c>
      <c r="R1252" t="s">
        <v>734</v>
      </c>
      <c r="S1252" t="s">
        <v>222</v>
      </c>
      <c r="T1252" t="s">
        <v>258</v>
      </c>
      <c r="U1252" t="s">
        <v>502</v>
      </c>
      <c r="V1252" t="s">
        <v>765</v>
      </c>
      <c r="W1252">
        <v>990</v>
      </c>
      <c r="X1252">
        <v>39.99</v>
      </c>
      <c r="Y1252">
        <v>129</v>
      </c>
      <c r="Z1252">
        <v>709000</v>
      </c>
      <c r="AA1252">
        <v>297000</v>
      </c>
      <c r="AB1252">
        <v>360</v>
      </c>
      <c r="AD1252" t="s">
        <v>238</v>
      </c>
      <c r="AE1252">
        <v>2</v>
      </c>
      <c r="AF1252">
        <v>0</v>
      </c>
      <c r="AI1252">
        <v>0</v>
      </c>
      <c r="AJ1252">
        <v>40</v>
      </c>
      <c r="AK1252">
        <v>40</v>
      </c>
      <c r="AL1252">
        <v>300</v>
      </c>
      <c r="AM1252">
        <v>0</v>
      </c>
      <c r="AN1252">
        <v>0</v>
      </c>
      <c r="AO1252">
        <v>0</v>
      </c>
      <c r="AP1252" t="s">
        <v>69</v>
      </c>
      <c r="AR1252" t="s">
        <v>86</v>
      </c>
      <c r="AS1252" t="s">
        <v>86</v>
      </c>
      <c r="AT1252" t="s">
        <v>86</v>
      </c>
      <c r="AU1252" t="s">
        <v>86</v>
      </c>
      <c r="AV1252" t="s">
        <v>766</v>
      </c>
      <c r="AW1252" t="s">
        <v>69</v>
      </c>
      <c r="AX1252" t="s">
        <v>218</v>
      </c>
      <c r="AY1252" t="s">
        <v>767</v>
      </c>
      <c r="AZ1252" t="s">
        <v>245</v>
      </c>
      <c r="BA1252" t="s">
        <v>244</v>
      </c>
      <c r="BB1252" t="s">
        <v>244</v>
      </c>
      <c r="BC1252" t="s">
        <v>244</v>
      </c>
      <c r="BD1252" t="s">
        <v>770</v>
      </c>
      <c r="BE1252" t="s">
        <v>3777</v>
      </c>
      <c r="BF1252" t="s">
        <v>240</v>
      </c>
      <c r="BG1252" t="s">
        <v>150</v>
      </c>
      <c r="BH1252" t="str">
        <f>IF(COUNTIF(工作表1!A:A, $C1252)&gt;0, "預購款", "非預購款")</f>
        <v>非預購款</v>
      </c>
    </row>
    <row r="1253" spans="1:60" x14ac:dyDescent="0.25">
      <c r="A1253" t="s">
        <v>758</v>
      </c>
      <c r="B1253" t="s">
        <v>759</v>
      </c>
      <c r="C1253" t="s">
        <v>760</v>
      </c>
      <c r="D1253" t="s">
        <v>761</v>
      </c>
      <c r="E1253" t="s">
        <v>762</v>
      </c>
      <c r="F1253" t="s">
        <v>184</v>
      </c>
      <c r="G1253" t="s">
        <v>763</v>
      </c>
      <c r="H1253" t="s">
        <v>132</v>
      </c>
      <c r="I1253" t="s">
        <v>120</v>
      </c>
      <c r="J1253" t="s">
        <v>121</v>
      </c>
      <c r="K1253" t="s">
        <v>69</v>
      </c>
      <c r="L1253" t="s">
        <v>764</v>
      </c>
      <c r="M1253" t="s">
        <v>71</v>
      </c>
      <c r="N1253" t="s">
        <v>100</v>
      </c>
      <c r="O1253" t="s">
        <v>101</v>
      </c>
      <c r="P1253" t="s">
        <v>102</v>
      </c>
      <c r="R1253" t="s">
        <v>734</v>
      </c>
      <c r="S1253" t="s">
        <v>222</v>
      </c>
      <c r="T1253" t="s">
        <v>258</v>
      </c>
      <c r="U1253" t="s">
        <v>502</v>
      </c>
      <c r="V1253" t="s">
        <v>765</v>
      </c>
      <c r="W1253">
        <v>990</v>
      </c>
      <c r="X1253">
        <v>39.99</v>
      </c>
      <c r="Y1253">
        <v>129</v>
      </c>
      <c r="Z1253">
        <v>709000</v>
      </c>
      <c r="AA1253">
        <v>297000</v>
      </c>
      <c r="AB1253">
        <v>360</v>
      </c>
      <c r="AD1253" t="s">
        <v>238</v>
      </c>
      <c r="AE1253">
        <v>2</v>
      </c>
      <c r="AF1253">
        <v>0</v>
      </c>
      <c r="AI1253">
        <v>0</v>
      </c>
      <c r="AJ1253">
        <v>30</v>
      </c>
      <c r="AK1253">
        <v>30</v>
      </c>
      <c r="AL1253">
        <v>300</v>
      </c>
      <c r="AM1253">
        <v>0</v>
      </c>
      <c r="AN1253">
        <v>0</v>
      </c>
      <c r="AO1253">
        <v>0</v>
      </c>
      <c r="AP1253" t="s">
        <v>69</v>
      </c>
      <c r="AR1253" t="s">
        <v>86</v>
      </c>
      <c r="AS1253" t="s">
        <v>86</v>
      </c>
      <c r="AT1253" t="s">
        <v>86</v>
      </c>
      <c r="AU1253" t="s">
        <v>86</v>
      </c>
      <c r="AV1253" t="s">
        <v>766</v>
      </c>
      <c r="AW1253" t="s">
        <v>69</v>
      </c>
      <c r="AX1253" t="s">
        <v>218</v>
      </c>
      <c r="AY1253" t="s">
        <v>767</v>
      </c>
      <c r="AZ1253" t="s">
        <v>245</v>
      </c>
      <c r="BA1253" t="s">
        <v>244</v>
      </c>
      <c r="BB1253" t="s">
        <v>244</v>
      </c>
      <c r="BC1253" t="s">
        <v>244</v>
      </c>
      <c r="BD1253" t="s">
        <v>771</v>
      </c>
      <c r="BE1253" t="s">
        <v>3777</v>
      </c>
      <c r="BF1253" t="s">
        <v>240</v>
      </c>
      <c r="BG1253" t="s">
        <v>150</v>
      </c>
      <c r="BH1253" t="str">
        <f>IF(COUNTIF(工作表1!A:A, $C1253)&gt;0, "預購款", "非預購款")</f>
        <v>非預購款</v>
      </c>
    </row>
    <row r="1254" spans="1:60" x14ac:dyDescent="0.25">
      <c r="A1254" t="s">
        <v>758</v>
      </c>
      <c r="B1254" t="s">
        <v>759</v>
      </c>
      <c r="C1254" t="s">
        <v>760</v>
      </c>
      <c r="D1254" t="s">
        <v>761</v>
      </c>
      <c r="E1254" t="s">
        <v>762</v>
      </c>
      <c r="F1254" t="s">
        <v>184</v>
      </c>
      <c r="G1254" t="s">
        <v>763</v>
      </c>
      <c r="H1254" t="s">
        <v>119</v>
      </c>
      <c r="I1254" t="s">
        <v>214</v>
      </c>
      <c r="J1254" t="s">
        <v>215</v>
      </c>
      <c r="K1254" t="s">
        <v>80</v>
      </c>
      <c r="L1254" t="s">
        <v>764</v>
      </c>
      <c r="M1254" t="s">
        <v>71</v>
      </c>
      <c r="N1254" t="s">
        <v>100</v>
      </c>
      <c r="O1254" t="s">
        <v>101</v>
      </c>
      <c r="P1254" t="s">
        <v>102</v>
      </c>
      <c r="R1254" t="s">
        <v>734</v>
      </c>
      <c r="S1254" t="s">
        <v>222</v>
      </c>
      <c r="T1254" t="s">
        <v>258</v>
      </c>
      <c r="U1254" t="s">
        <v>502</v>
      </c>
      <c r="V1254" t="s">
        <v>765</v>
      </c>
      <c r="W1254">
        <v>990</v>
      </c>
      <c r="X1254">
        <v>39.99</v>
      </c>
      <c r="Y1254">
        <v>129</v>
      </c>
      <c r="Z1254">
        <v>709000</v>
      </c>
      <c r="AA1254">
        <v>297000</v>
      </c>
      <c r="AB1254">
        <v>360</v>
      </c>
      <c r="AD1254" t="s">
        <v>238</v>
      </c>
      <c r="AE1254">
        <v>2</v>
      </c>
      <c r="AF1254">
        <v>0</v>
      </c>
      <c r="AI1254">
        <v>0</v>
      </c>
      <c r="AJ1254">
        <v>80</v>
      </c>
      <c r="AK1254">
        <v>80</v>
      </c>
      <c r="AL1254">
        <v>300</v>
      </c>
      <c r="AM1254">
        <v>0</v>
      </c>
      <c r="AN1254">
        <v>0</v>
      </c>
      <c r="AO1254">
        <v>0</v>
      </c>
      <c r="AP1254" t="s">
        <v>69</v>
      </c>
      <c r="AR1254" t="s">
        <v>86</v>
      </c>
      <c r="AS1254" t="s">
        <v>86</v>
      </c>
      <c r="AT1254" t="s">
        <v>86</v>
      </c>
      <c r="AU1254" t="s">
        <v>86</v>
      </c>
      <c r="AV1254" t="s">
        <v>766</v>
      </c>
      <c r="AW1254" t="s">
        <v>69</v>
      </c>
      <c r="AX1254" t="s">
        <v>218</v>
      </c>
      <c r="AY1254" t="s">
        <v>767</v>
      </c>
      <c r="AZ1254" t="s">
        <v>245</v>
      </c>
      <c r="BA1254" t="s">
        <v>244</v>
      </c>
      <c r="BB1254" t="s">
        <v>244</v>
      </c>
      <c r="BC1254" t="s">
        <v>244</v>
      </c>
      <c r="BD1254" t="s">
        <v>772</v>
      </c>
      <c r="BE1254" t="s">
        <v>3777</v>
      </c>
      <c r="BF1254" t="s">
        <v>240</v>
      </c>
      <c r="BG1254" t="s">
        <v>150</v>
      </c>
      <c r="BH1254" t="str">
        <f>IF(COUNTIF(工作表1!A:A, $C1254)&gt;0, "預購款", "非預購款")</f>
        <v>非預購款</v>
      </c>
    </row>
    <row r="1255" spans="1:60" x14ac:dyDescent="0.25">
      <c r="A1255" t="s">
        <v>758</v>
      </c>
      <c r="B1255" t="s">
        <v>759</v>
      </c>
      <c r="C1255" t="s">
        <v>760</v>
      </c>
      <c r="D1255" t="s">
        <v>761</v>
      </c>
      <c r="E1255" t="s">
        <v>762</v>
      </c>
      <c r="F1255" t="s">
        <v>184</v>
      </c>
      <c r="G1255" t="s">
        <v>763</v>
      </c>
      <c r="H1255" t="s">
        <v>130</v>
      </c>
      <c r="I1255" t="s">
        <v>214</v>
      </c>
      <c r="J1255" t="s">
        <v>215</v>
      </c>
      <c r="K1255" t="s">
        <v>80</v>
      </c>
      <c r="L1255" t="s">
        <v>764</v>
      </c>
      <c r="M1255" t="s">
        <v>71</v>
      </c>
      <c r="N1255" t="s">
        <v>100</v>
      </c>
      <c r="O1255" t="s">
        <v>101</v>
      </c>
      <c r="P1255" t="s">
        <v>102</v>
      </c>
      <c r="R1255" t="s">
        <v>734</v>
      </c>
      <c r="S1255" t="s">
        <v>222</v>
      </c>
      <c r="T1255" t="s">
        <v>258</v>
      </c>
      <c r="U1255" t="s">
        <v>502</v>
      </c>
      <c r="V1255" t="s">
        <v>765</v>
      </c>
      <c r="W1255">
        <v>990</v>
      </c>
      <c r="X1255">
        <v>39.99</v>
      </c>
      <c r="Y1255">
        <v>129</v>
      </c>
      <c r="Z1255">
        <v>709000</v>
      </c>
      <c r="AA1255">
        <v>297000</v>
      </c>
      <c r="AB1255">
        <v>360</v>
      </c>
      <c r="AD1255" t="s">
        <v>238</v>
      </c>
      <c r="AE1255">
        <v>2</v>
      </c>
      <c r="AF1255">
        <v>0</v>
      </c>
      <c r="AI1255">
        <v>0</v>
      </c>
      <c r="AJ1255">
        <v>40</v>
      </c>
      <c r="AK1255">
        <v>40</v>
      </c>
      <c r="AL1255">
        <v>300</v>
      </c>
      <c r="AM1255">
        <v>0</v>
      </c>
      <c r="AN1255">
        <v>0</v>
      </c>
      <c r="AO1255">
        <v>0</v>
      </c>
      <c r="AP1255" t="s">
        <v>69</v>
      </c>
      <c r="AR1255" t="s">
        <v>86</v>
      </c>
      <c r="AS1255" t="s">
        <v>86</v>
      </c>
      <c r="AT1255" t="s">
        <v>86</v>
      </c>
      <c r="AU1255" t="s">
        <v>86</v>
      </c>
      <c r="AV1255" t="s">
        <v>766</v>
      </c>
      <c r="AW1255" t="s">
        <v>69</v>
      </c>
      <c r="AX1255" t="s">
        <v>218</v>
      </c>
      <c r="AY1255" t="s">
        <v>767</v>
      </c>
      <c r="AZ1255" t="s">
        <v>245</v>
      </c>
      <c r="BA1255" t="s">
        <v>244</v>
      </c>
      <c r="BB1255" t="s">
        <v>244</v>
      </c>
      <c r="BC1255" t="s">
        <v>244</v>
      </c>
      <c r="BD1255" t="s">
        <v>773</v>
      </c>
      <c r="BE1255" t="s">
        <v>3777</v>
      </c>
      <c r="BF1255" t="s">
        <v>240</v>
      </c>
      <c r="BG1255" t="s">
        <v>150</v>
      </c>
      <c r="BH1255" t="str">
        <f>IF(COUNTIF(工作表1!A:A, $C1255)&gt;0, "預購款", "非預購款")</f>
        <v>非預購款</v>
      </c>
    </row>
    <row r="1256" spans="1:60" x14ac:dyDescent="0.25">
      <c r="A1256" t="s">
        <v>758</v>
      </c>
      <c r="B1256" t="s">
        <v>759</v>
      </c>
      <c r="C1256" t="s">
        <v>760</v>
      </c>
      <c r="D1256" t="s">
        <v>761</v>
      </c>
      <c r="E1256" t="s">
        <v>762</v>
      </c>
      <c r="F1256" t="s">
        <v>184</v>
      </c>
      <c r="G1256" t="s">
        <v>763</v>
      </c>
      <c r="H1256" t="s">
        <v>132</v>
      </c>
      <c r="I1256" t="s">
        <v>214</v>
      </c>
      <c r="J1256" t="s">
        <v>215</v>
      </c>
      <c r="K1256" t="s">
        <v>80</v>
      </c>
      <c r="L1256" t="s">
        <v>764</v>
      </c>
      <c r="M1256" t="s">
        <v>71</v>
      </c>
      <c r="N1256" t="s">
        <v>100</v>
      </c>
      <c r="O1256" t="s">
        <v>101</v>
      </c>
      <c r="P1256" t="s">
        <v>102</v>
      </c>
      <c r="R1256" t="s">
        <v>734</v>
      </c>
      <c r="S1256" t="s">
        <v>222</v>
      </c>
      <c r="T1256" t="s">
        <v>258</v>
      </c>
      <c r="U1256" t="s">
        <v>502</v>
      </c>
      <c r="V1256" t="s">
        <v>765</v>
      </c>
      <c r="W1256">
        <v>990</v>
      </c>
      <c r="X1256">
        <v>39.99</v>
      </c>
      <c r="Y1256">
        <v>129</v>
      </c>
      <c r="Z1256">
        <v>709000</v>
      </c>
      <c r="AA1256">
        <v>297000</v>
      </c>
      <c r="AB1256">
        <v>360</v>
      </c>
      <c r="AD1256" t="s">
        <v>238</v>
      </c>
      <c r="AE1256">
        <v>2</v>
      </c>
      <c r="AF1256">
        <v>0</v>
      </c>
      <c r="AI1256">
        <v>0</v>
      </c>
      <c r="AJ1256">
        <v>15</v>
      </c>
      <c r="AK1256">
        <v>15</v>
      </c>
      <c r="AL1256">
        <v>300</v>
      </c>
      <c r="AM1256">
        <v>0</v>
      </c>
      <c r="AN1256">
        <v>0</v>
      </c>
      <c r="AO1256">
        <v>0</v>
      </c>
      <c r="AP1256" t="s">
        <v>69</v>
      </c>
      <c r="AR1256" t="s">
        <v>86</v>
      </c>
      <c r="AS1256" t="s">
        <v>86</v>
      </c>
      <c r="AT1256" t="s">
        <v>86</v>
      </c>
      <c r="AU1256" t="s">
        <v>86</v>
      </c>
      <c r="AV1256" t="s">
        <v>766</v>
      </c>
      <c r="AW1256" t="s">
        <v>69</v>
      </c>
      <c r="AX1256" t="s">
        <v>218</v>
      </c>
      <c r="AY1256" t="s">
        <v>767</v>
      </c>
      <c r="AZ1256" t="s">
        <v>245</v>
      </c>
      <c r="BA1256" t="s">
        <v>244</v>
      </c>
      <c r="BB1256" t="s">
        <v>244</v>
      </c>
      <c r="BC1256" t="s">
        <v>244</v>
      </c>
      <c r="BD1256" t="s">
        <v>774</v>
      </c>
      <c r="BE1256" t="s">
        <v>3777</v>
      </c>
      <c r="BF1256" t="s">
        <v>240</v>
      </c>
      <c r="BG1256" t="s">
        <v>150</v>
      </c>
      <c r="BH1256" t="str">
        <f>IF(COUNTIF(工作表1!A:A, $C1256)&gt;0, "預購款", "非預購款")</f>
        <v>非預購款</v>
      </c>
    </row>
    <row r="1257" spans="1:60" x14ac:dyDescent="0.25">
      <c r="A1257" t="s">
        <v>3778</v>
      </c>
      <c r="B1257" t="s">
        <v>226</v>
      </c>
      <c r="C1257" t="s">
        <v>3779</v>
      </c>
      <c r="D1257" t="s">
        <v>3780</v>
      </c>
      <c r="E1257" t="s">
        <v>3781</v>
      </c>
      <c r="F1257" t="s">
        <v>184</v>
      </c>
      <c r="G1257" t="s">
        <v>3782</v>
      </c>
      <c r="H1257" t="s">
        <v>119</v>
      </c>
      <c r="I1257" t="s">
        <v>97</v>
      </c>
      <c r="J1257" t="s">
        <v>98</v>
      </c>
      <c r="K1257" t="s">
        <v>69</v>
      </c>
      <c r="L1257" t="s">
        <v>3783</v>
      </c>
      <c r="M1257" t="s">
        <v>71</v>
      </c>
      <c r="N1257" t="s">
        <v>198</v>
      </c>
      <c r="O1257" t="s">
        <v>1307</v>
      </c>
      <c r="P1257" t="s">
        <v>1308</v>
      </c>
      <c r="R1257" t="s">
        <v>1309</v>
      </c>
      <c r="S1257" t="s">
        <v>222</v>
      </c>
      <c r="T1257" t="s">
        <v>258</v>
      </c>
      <c r="U1257" t="s">
        <v>104</v>
      </c>
      <c r="V1257" t="s">
        <v>1519</v>
      </c>
      <c r="W1257">
        <v>590</v>
      </c>
      <c r="X1257">
        <v>29.99</v>
      </c>
      <c r="Y1257">
        <v>75</v>
      </c>
      <c r="Z1257">
        <v>429000</v>
      </c>
      <c r="AA1257">
        <v>424800</v>
      </c>
      <c r="AB1257">
        <v>140</v>
      </c>
      <c r="AD1257" t="s">
        <v>238</v>
      </c>
      <c r="AE1257">
        <v>2</v>
      </c>
      <c r="AF1257">
        <v>0</v>
      </c>
      <c r="AI1257">
        <v>40</v>
      </c>
      <c r="AJ1257">
        <v>50</v>
      </c>
      <c r="AK1257">
        <v>90</v>
      </c>
      <c r="AL1257">
        <v>720</v>
      </c>
      <c r="AM1257">
        <v>0</v>
      </c>
      <c r="AN1257">
        <v>0</v>
      </c>
      <c r="AO1257">
        <v>0</v>
      </c>
      <c r="AP1257" t="s">
        <v>69</v>
      </c>
      <c r="AT1257" t="s">
        <v>264</v>
      </c>
      <c r="AU1257" t="s">
        <v>264</v>
      </c>
      <c r="AV1257" t="s">
        <v>569</v>
      </c>
      <c r="AW1257" t="s">
        <v>69</v>
      </c>
      <c r="AX1257" t="s">
        <v>583</v>
      </c>
      <c r="AY1257" t="s">
        <v>3662</v>
      </c>
      <c r="AZ1257" t="s">
        <v>245</v>
      </c>
      <c r="BA1257" t="s">
        <v>264</v>
      </c>
      <c r="BB1257" t="s">
        <v>244</v>
      </c>
      <c r="BC1257" t="s">
        <v>244</v>
      </c>
      <c r="BD1257" t="s">
        <v>3784</v>
      </c>
      <c r="BE1257" t="s">
        <v>3785</v>
      </c>
      <c r="BF1257" t="s">
        <v>240</v>
      </c>
      <c r="BG1257" t="s">
        <v>150</v>
      </c>
      <c r="BH1257" t="str">
        <f>IF(COUNTIF(工作表1!A:A, $C1257)&gt;0, "預購款", "非預購款")</f>
        <v>預購款</v>
      </c>
    </row>
    <row r="1258" spans="1:60" x14ac:dyDescent="0.25">
      <c r="A1258" t="s">
        <v>3778</v>
      </c>
      <c r="B1258" t="s">
        <v>226</v>
      </c>
      <c r="C1258" t="s">
        <v>3779</v>
      </c>
      <c r="D1258" t="s">
        <v>3780</v>
      </c>
      <c r="E1258" t="s">
        <v>3781</v>
      </c>
      <c r="F1258" t="s">
        <v>184</v>
      </c>
      <c r="G1258" t="s">
        <v>3782</v>
      </c>
      <c r="H1258" t="s">
        <v>130</v>
      </c>
      <c r="I1258" t="s">
        <v>97</v>
      </c>
      <c r="J1258" t="s">
        <v>98</v>
      </c>
      <c r="K1258" t="s">
        <v>69</v>
      </c>
      <c r="L1258" t="s">
        <v>3783</v>
      </c>
      <c r="M1258" t="s">
        <v>71</v>
      </c>
      <c r="N1258" t="s">
        <v>198</v>
      </c>
      <c r="O1258" t="s">
        <v>1307</v>
      </c>
      <c r="P1258" t="s">
        <v>1308</v>
      </c>
      <c r="R1258" t="s">
        <v>1309</v>
      </c>
      <c r="S1258" t="s">
        <v>222</v>
      </c>
      <c r="T1258" t="s">
        <v>258</v>
      </c>
      <c r="U1258" t="s">
        <v>104</v>
      </c>
      <c r="V1258" t="s">
        <v>1519</v>
      </c>
      <c r="W1258">
        <v>590</v>
      </c>
      <c r="X1258">
        <v>29.99</v>
      </c>
      <c r="Y1258">
        <v>75</v>
      </c>
      <c r="Z1258">
        <v>429000</v>
      </c>
      <c r="AA1258">
        <v>424800</v>
      </c>
      <c r="AB1258">
        <v>140</v>
      </c>
      <c r="AD1258" t="s">
        <v>238</v>
      </c>
      <c r="AE1258">
        <v>2</v>
      </c>
      <c r="AF1258">
        <v>0</v>
      </c>
      <c r="AI1258">
        <v>15</v>
      </c>
      <c r="AJ1258">
        <v>80</v>
      </c>
      <c r="AK1258">
        <v>95</v>
      </c>
      <c r="AL1258">
        <v>720</v>
      </c>
      <c r="AM1258">
        <v>0</v>
      </c>
      <c r="AN1258">
        <v>0</v>
      </c>
      <c r="AO1258">
        <v>0</v>
      </c>
      <c r="AP1258" t="s">
        <v>69</v>
      </c>
      <c r="AT1258" t="s">
        <v>264</v>
      </c>
      <c r="AU1258" t="s">
        <v>264</v>
      </c>
      <c r="AV1258" t="s">
        <v>569</v>
      </c>
      <c r="AW1258" t="s">
        <v>69</v>
      </c>
      <c r="AX1258" t="s">
        <v>583</v>
      </c>
      <c r="AY1258" t="s">
        <v>3662</v>
      </c>
      <c r="AZ1258" t="s">
        <v>245</v>
      </c>
      <c r="BA1258" t="s">
        <v>264</v>
      </c>
      <c r="BB1258" t="s">
        <v>244</v>
      </c>
      <c r="BC1258" t="s">
        <v>244</v>
      </c>
      <c r="BD1258" t="s">
        <v>3786</v>
      </c>
      <c r="BE1258" t="s">
        <v>3785</v>
      </c>
      <c r="BF1258" t="s">
        <v>240</v>
      </c>
      <c r="BG1258" t="s">
        <v>150</v>
      </c>
      <c r="BH1258" t="str">
        <f>IF(COUNTIF(工作表1!A:A, $C1258)&gt;0, "預購款", "非預購款")</f>
        <v>預購款</v>
      </c>
    </row>
    <row r="1259" spans="1:60" x14ac:dyDescent="0.25">
      <c r="A1259" t="s">
        <v>3778</v>
      </c>
      <c r="B1259" t="s">
        <v>226</v>
      </c>
      <c r="C1259" t="s">
        <v>3779</v>
      </c>
      <c r="D1259" t="s">
        <v>3780</v>
      </c>
      <c r="E1259" t="s">
        <v>3781</v>
      </c>
      <c r="F1259" t="s">
        <v>184</v>
      </c>
      <c r="G1259" t="s">
        <v>3782</v>
      </c>
      <c r="H1259" t="s">
        <v>132</v>
      </c>
      <c r="I1259" t="s">
        <v>97</v>
      </c>
      <c r="J1259" t="s">
        <v>98</v>
      </c>
      <c r="K1259" t="s">
        <v>69</v>
      </c>
      <c r="L1259" t="s">
        <v>3783</v>
      </c>
      <c r="M1259" t="s">
        <v>71</v>
      </c>
      <c r="N1259" t="s">
        <v>198</v>
      </c>
      <c r="O1259" t="s">
        <v>1307</v>
      </c>
      <c r="P1259" t="s">
        <v>1308</v>
      </c>
      <c r="R1259" t="s">
        <v>1309</v>
      </c>
      <c r="S1259" t="s">
        <v>222</v>
      </c>
      <c r="T1259" t="s">
        <v>258</v>
      </c>
      <c r="U1259" t="s">
        <v>104</v>
      </c>
      <c r="V1259" t="s">
        <v>1519</v>
      </c>
      <c r="W1259">
        <v>590</v>
      </c>
      <c r="X1259">
        <v>29.99</v>
      </c>
      <c r="Y1259">
        <v>75</v>
      </c>
      <c r="Z1259">
        <v>429000</v>
      </c>
      <c r="AA1259">
        <v>424800</v>
      </c>
      <c r="AB1259">
        <v>140</v>
      </c>
      <c r="AD1259" t="s">
        <v>238</v>
      </c>
      <c r="AE1259">
        <v>2</v>
      </c>
      <c r="AF1259">
        <v>0</v>
      </c>
      <c r="AI1259">
        <v>15</v>
      </c>
      <c r="AJ1259">
        <v>40</v>
      </c>
      <c r="AK1259">
        <v>55</v>
      </c>
      <c r="AL1259">
        <v>720</v>
      </c>
      <c r="AM1259">
        <v>0</v>
      </c>
      <c r="AN1259">
        <v>0</v>
      </c>
      <c r="AO1259">
        <v>0</v>
      </c>
      <c r="AP1259" t="s">
        <v>69</v>
      </c>
      <c r="AT1259" t="s">
        <v>264</v>
      </c>
      <c r="AU1259" t="s">
        <v>264</v>
      </c>
      <c r="AV1259" t="s">
        <v>569</v>
      </c>
      <c r="AW1259" t="s">
        <v>69</v>
      </c>
      <c r="AX1259" t="s">
        <v>583</v>
      </c>
      <c r="AY1259" t="s">
        <v>3662</v>
      </c>
      <c r="AZ1259" t="s">
        <v>245</v>
      </c>
      <c r="BA1259" t="s">
        <v>264</v>
      </c>
      <c r="BB1259" t="s">
        <v>244</v>
      </c>
      <c r="BC1259" t="s">
        <v>244</v>
      </c>
      <c r="BD1259" t="s">
        <v>3787</v>
      </c>
      <c r="BE1259" t="s">
        <v>3785</v>
      </c>
      <c r="BF1259" t="s">
        <v>240</v>
      </c>
      <c r="BG1259" t="s">
        <v>150</v>
      </c>
      <c r="BH1259" t="str">
        <f>IF(COUNTIF(工作表1!A:A, $C1259)&gt;0, "預購款", "非預購款")</f>
        <v>預購款</v>
      </c>
    </row>
    <row r="1260" spans="1:60" x14ac:dyDescent="0.25">
      <c r="A1260" t="s">
        <v>3778</v>
      </c>
      <c r="B1260" t="s">
        <v>226</v>
      </c>
      <c r="C1260" t="s">
        <v>3779</v>
      </c>
      <c r="D1260" t="s">
        <v>3780</v>
      </c>
      <c r="E1260" t="s">
        <v>3781</v>
      </c>
      <c r="F1260" t="s">
        <v>184</v>
      </c>
      <c r="G1260" t="s">
        <v>3782</v>
      </c>
      <c r="H1260" t="s">
        <v>119</v>
      </c>
      <c r="I1260" t="s">
        <v>422</v>
      </c>
      <c r="J1260" t="s">
        <v>423</v>
      </c>
      <c r="K1260" t="s">
        <v>69</v>
      </c>
      <c r="L1260" t="s">
        <v>3783</v>
      </c>
      <c r="M1260" t="s">
        <v>71</v>
      </c>
      <c r="N1260" t="s">
        <v>198</v>
      </c>
      <c r="O1260" t="s">
        <v>1307</v>
      </c>
      <c r="P1260" t="s">
        <v>1308</v>
      </c>
      <c r="R1260" t="s">
        <v>1309</v>
      </c>
      <c r="S1260" t="s">
        <v>222</v>
      </c>
      <c r="T1260" t="s">
        <v>258</v>
      </c>
      <c r="U1260" t="s">
        <v>104</v>
      </c>
      <c r="V1260" t="s">
        <v>1519</v>
      </c>
      <c r="W1260">
        <v>590</v>
      </c>
      <c r="X1260">
        <v>29.99</v>
      </c>
      <c r="Y1260">
        <v>75</v>
      </c>
      <c r="Z1260">
        <v>429000</v>
      </c>
      <c r="AA1260">
        <v>424800</v>
      </c>
      <c r="AB1260">
        <v>140</v>
      </c>
      <c r="AD1260" t="s">
        <v>238</v>
      </c>
      <c r="AE1260">
        <v>2</v>
      </c>
      <c r="AF1260">
        <v>0</v>
      </c>
      <c r="AI1260">
        <v>30</v>
      </c>
      <c r="AJ1260">
        <v>100</v>
      </c>
      <c r="AK1260">
        <v>130</v>
      </c>
      <c r="AL1260">
        <v>720</v>
      </c>
      <c r="AM1260">
        <v>0</v>
      </c>
      <c r="AN1260">
        <v>0</v>
      </c>
      <c r="AO1260">
        <v>0</v>
      </c>
      <c r="AP1260" t="s">
        <v>69</v>
      </c>
      <c r="AT1260" t="s">
        <v>264</v>
      </c>
      <c r="AU1260" t="s">
        <v>264</v>
      </c>
      <c r="AV1260" t="s">
        <v>569</v>
      </c>
      <c r="AW1260" t="s">
        <v>69</v>
      </c>
      <c r="AX1260" t="s">
        <v>583</v>
      </c>
      <c r="AY1260" t="s">
        <v>3662</v>
      </c>
      <c r="AZ1260" t="s">
        <v>245</v>
      </c>
      <c r="BA1260" t="s">
        <v>264</v>
      </c>
      <c r="BB1260" t="s">
        <v>244</v>
      </c>
      <c r="BC1260" t="s">
        <v>244</v>
      </c>
      <c r="BD1260" t="s">
        <v>3788</v>
      </c>
      <c r="BE1260" t="s">
        <v>3785</v>
      </c>
      <c r="BF1260" t="s">
        <v>240</v>
      </c>
      <c r="BG1260" t="s">
        <v>150</v>
      </c>
      <c r="BH1260" t="str">
        <f>IF(COUNTIF(工作表1!A:A, $C1260)&gt;0, "預購款", "非預購款")</f>
        <v>預購款</v>
      </c>
    </row>
    <row r="1261" spans="1:60" x14ac:dyDescent="0.25">
      <c r="A1261" t="s">
        <v>3778</v>
      </c>
      <c r="B1261" t="s">
        <v>226</v>
      </c>
      <c r="C1261" t="s">
        <v>3779</v>
      </c>
      <c r="D1261" t="s">
        <v>3780</v>
      </c>
      <c r="E1261" t="s">
        <v>3781</v>
      </c>
      <c r="F1261" t="s">
        <v>184</v>
      </c>
      <c r="G1261" t="s">
        <v>3782</v>
      </c>
      <c r="H1261" t="s">
        <v>130</v>
      </c>
      <c r="I1261" t="s">
        <v>422</v>
      </c>
      <c r="J1261" t="s">
        <v>423</v>
      </c>
      <c r="K1261" t="s">
        <v>69</v>
      </c>
      <c r="L1261" t="s">
        <v>3783</v>
      </c>
      <c r="M1261" t="s">
        <v>71</v>
      </c>
      <c r="N1261" t="s">
        <v>198</v>
      </c>
      <c r="O1261" t="s">
        <v>1307</v>
      </c>
      <c r="P1261" t="s">
        <v>1308</v>
      </c>
      <c r="R1261" t="s">
        <v>1309</v>
      </c>
      <c r="S1261" t="s">
        <v>222</v>
      </c>
      <c r="T1261" t="s">
        <v>258</v>
      </c>
      <c r="U1261" t="s">
        <v>104</v>
      </c>
      <c r="V1261" t="s">
        <v>1519</v>
      </c>
      <c r="W1261">
        <v>590</v>
      </c>
      <c r="X1261">
        <v>29.99</v>
      </c>
      <c r="Y1261">
        <v>75</v>
      </c>
      <c r="Z1261">
        <v>429000</v>
      </c>
      <c r="AA1261">
        <v>424800</v>
      </c>
      <c r="AB1261">
        <v>140</v>
      </c>
      <c r="AD1261" t="s">
        <v>238</v>
      </c>
      <c r="AE1261">
        <v>2</v>
      </c>
      <c r="AF1261">
        <v>0</v>
      </c>
      <c r="AI1261">
        <v>40</v>
      </c>
      <c r="AJ1261">
        <v>140</v>
      </c>
      <c r="AK1261">
        <v>180</v>
      </c>
      <c r="AL1261">
        <v>720</v>
      </c>
      <c r="AM1261">
        <v>0</v>
      </c>
      <c r="AN1261">
        <v>0</v>
      </c>
      <c r="AO1261">
        <v>0</v>
      </c>
      <c r="AP1261" t="s">
        <v>69</v>
      </c>
      <c r="AT1261" t="s">
        <v>264</v>
      </c>
      <c r="AU1261" t="s">
        <v>264</v>
      </c>
      <c r="AV1261" t="s">
        <v>569</v>
      </c>
      <c r="AW1261" t="s">
        <v>69</v>
      </c>
      <c r="AX1261" t="s">
        <v>583</v>
      </c>
      <c r="AY1261" t="s">
        <v>3662</v>
      </c>
      <c r="AZ1261" t="s">
        <v>245</v>
      </c>
      <c r="BA1261" t="s">
        <v>264</v>
      </c>
      <c r="BB1261" t="s">
        <v>244</v>
      </c>
      <c r="BC1261" t="s">
        <v>244</v>
      </c>
      <c r="BD1261" t="s">
        <v>3789</v>
      </c>
      <c r="BE1261" t="s">
        <v>3785</v>
      </c>
      <c r="BF1261" t="s">
        <v>240</v>
      </c>
      <c r="BG1261" t="s">
        <v>150</v>
      </c>
      <c r="BH1261" t="str">
        <f>IF(COUNTIF(工作表1!A:A, $C1261)&gt;0, "預購款", "非預購款")</f>
        <v>預購款</v>
      </c>
    </row>
    <row r="1262" spans="1:60" x14ac:dyDescent="0.25">
      <c r="A1262" t="s">
        <v>3778</v>
      </c>
      <c r="B1262" t="s">
        <v>226</v>
      </c>
      <c r="C1262" t="s">
        <v>3779</v>
      </c>
      <c r="D1262" t="s">
        <v>3780</v>
      </c>
      <c r="E1262" t="s">
        <v>3781</v>
      </c>
      <c r="F1262" t="s">
        <v>184</v>
      </c>
      <c r="G1262" t="s">
        <v>3782</v>
      </c>
      <c r="H1262" t="s">
        <v>132</v>
      </c>
      <c r="I1262" t="s">
        <v>422</v>
      </c>
      <c r="J1262" t="s">
        <v>423</v>
      </c>
      <c r="K1262" t="s">
        <v>69</v>
      </c>
      <c r="L1262" t="s">
        <v>3783</v>
      </c>
      <c r="M1262" t="s">
        <v>71</v>
      </c>
      <c r="N1262" t="s">
        <v>198</v>
      </c>
      <c r="O1262" t="s">
        <v>1307</v>
      </c>
      <c r="P1262" t="s">
        <v>1308</v>
      </c>
      <c r="R1262" t="s">
        <v>1309</v>
      </c>
      <c r="S1262" t="s">
        <v>222</v>
      </c>
      <c r="T1262" t="s">
        <v>258</v>
      </c>
      <c r="U1262" t="s">
        <v>104</v>
      </c>
      <c r="V1262" t="s">
        <v>1519</v>
      </c>
      <c r="W1262">
        <v>590</v>
      </c>
      <c r="X1262">
        <v>29.99</v>
      </c>
      <c r="Y1262">
        <v>75</v>
      </c>
      <c r="Z1262">
        <v>429000</v>
      </c>
      <c r="AA1262">
        <v>424800</v>
      </c>
      <c r="AB1262">
        <v>140</v>
      </c>
      <c r="AD1262" t="s">
        <v>238</v>
      </c>
      <c r="AE1262">
        <v>2</v>
      </c>
      <c r="AF1262">
        <v>0</v>
      </c>
      <c r="AI1262">
        <v>40</v>
      </c>
      <c r="AJ1262">
        <v>130</v>
      </c>
      <c r="AK1262">
        <v>170</v>
      </c>
      <c r="AL1262">
        <v>720</v>
      </c>
      <c r="AM1262">
        <v>0</v>
      </c>
      <c r="AN1262">
        <v>0</v>
      </c>
      <c r="AO1262">
        <v>0</v>
      </c>
      <c r="AP1262" t="s">
        <v>69</v>
      </c>
      <c r="AT1262" t="s">
        <v>264</v>
      </c>
      <c r="AU1262" t="s">
        <v>264</v>
      </c>
      <c r="AV1262" t="s">
        <v>569</v>
      </c>
      <c r="AW1262" t="s">
        <v>69</v>
      </c>
      <c r="AX1262" t="s">
        <v>583</v>
      </c>
      <c r="AY1262" t="s">
        <v>3662</v>
      </c>
      <c r="AZ1262" t="s">
        <v>245</v>
      </c>
      <c r="BA1262" t="s">
        <v>264</v>
      </c>
      <c r="BB1262" t="s">
        <v>244</v>
      </c>
      <c r="BC1262" t="s">
        <v>244</v>
      </c>
      <c r="BD1262" t="s">
        <v>3790</v>
      </c>
      <c r="BE1262" t="s">
        <v>3785</v>
      </c>
      <c r="BF1262" t="s">
        <v>240</v>
      </c>
      <c r="BG1262" t="s">
        <v>150</v>
      </c>
      <c r="BH1262" t="str">
        <f>IF(COUNTIF(工作表1!A:A, $C1262)&gt;0, "預購款", "非預購款")</f>
        <v>預購款</v>
      </c>
    </row>
    <row r="1263" spans="1:60" x14ac:dyDescent="0.25">
      <c r="A1263" t="s">
        <v>3803</v>
      </c>
      <c r="B1263" t="s">
        <v>226</v>
      </c>
      <c r="C1263" t="s">
        <v>3804</v>
      </c>
      <c r="D1263" t="s">
        <v>3805</v>
      </c>
      <c r="E1263" t="s">
        <v>3806</v>
      </c>
      <c r="F1263" t="s">
        <v>184</v>
      </c>
      <c r="G1263" t="s">
        <v>3807</v>
      </c>
      <c r="H1263" t="s">
        <v>119</v>
      </c>
      <c r="I1263" t="s">
        <v>171</v>
      </c>
      <c r="J1263" t="s">
        <v>172</v>
      </c>
      <c r="K1263" t="s">
        <v>69</v>
      </c>
      <c r="L1263" t="s">
        <v>3808</v>
      </c>
      <c r="M1263" t="s">
        <v>71</v>
      </c>
      <c r="N1263" t="s">
        <v>198</v>
      </c>
      <c r="O1263" t="s">
        <v>1307</v>
      </c>
      <c r="P1263" t="s">
        <v>1308</v>
      </c>
      <c r="R1263" t="s">
        <v>1309</v>
      </c>
      <c r="S1263" t="s">
        <v>222</v>
      </c>
      <c r="T1263" t="s">
        <v>76</v>
      </c>
      <c r="U1263" t="s">
        <v>104</v>
      </c>
      <c r="V1263" t="s">
        <v>1519</v>
      </c>
      <c r="W1263">
        <v>490</v>
      </c>
      <c r="X1263">
        <v>22.99</v>
      </c>
      <c r="Y1263">
        <v>60</v>
      </c>
      <c r="Z1263">
        <v>355000</v>
      </c>
      <c r="AA1263">
        <v>241570</v>
      </c>
      <c r="AB1263">
        <v>250</v>
      </c>
      <c r="AD1263" t="s">
        <v>238</v>
      </c>
      <c r="AE1263">
        <v>1</v>
      </c>
      <c r="AF1263">
        <v>10</v>
      </c>
      <c r="AI1263">
        <v>15</v>
      </c>
      <c r="AJ1263">
        <v>240</v>
      </c>
      <c r="AK1263">
        <v>265</v>
      </c>
      <c r="AL1263">
        <v>493</v>
      </c>
      <c r="AM1263">
        <v>0</v>
      </c>
      <c r="AN1263">
        <v>0</v>
      </c>
      <c r="AO1263">
        <v>0</v>
      </c>
      <c r="AP1263" t="s">
        <v>69</v>
      </c>
      <c r="AR1263" t="s">
        <v>86</v>
      </c>
      <c r="AS1263" t="s">
        <v>86</v>
      </c>
      <c r="AT1263" t="s">
        <v>86</v>
      </c>
      <c r="AU1263" t="s">
        <v>86</v>
      </c>
      <c r="AV1263" t="s">
        <v>1033</v>
      </c>
      <c r="AW1263" t="s">
        <v>69</v>
      </c>
      <c r="AX1263" t="s">
        <v>218</v>
      </c>
      <c r="AY1263" t="s">
        <v>3809</v>
      </c>
      <c r="AZ1263" t="s">
        <v>243</v>
      </c>
      <c r="BA1263" t="s">
        <v>244</v>
      </c>
      <c r="BB1263" t="s">
        <v>244</v>
      </c>
      <c r="BC1263" t="s">
        <v>244</v>
      </c>
      <c r="BD1263" t="s">
        <v>3810</v>
      </c>
      <c r="BE1263" t="s">
        <v>3811</v>
      </c>
      <c r="BF1263" t="s">
        <v>86</v>
      </c>
      <c r="BG1263" t="s">
        <v>110</v>
      </c>
      <c r="BH1263" t="str">
        <f>IF(COUNTIF(工作表1!A:A, $C1263)&gt;0, "預購款", "非預購款")</f>
        <v>非預購款</v>
      </c>
    </row>
    <row r="1264" spans="1:60" x14ac:dyDescent="0.25">
      <c r="A1264" t="s">
        <v>3803</v>
      </c>
      <c r="B1264" t="s">
        <v>226</v>
      </c>
      <c r="C1264" t="s">
        <v>3804</v>
      </c>
      <c r="D1264" t="s">
        <v>3805</v>
      </c>
      <c r="E1264" t="s">
        <v>3806</v>
      </c>
      <c r="F1264" t="s">
        <v>184</v>
      </c>
      <c r="G1264" t="s">
        <v>3807</v>
      </c>
      <c r="H1264" t="s">
        <v>130</v>
      </c>
      <c r="I1264" t="s">
        <v>171</v>
      </c>
      <c r="J1264" t="s">
        <v>172</v>
      </c>
      <c r="K1264" t="s">
        <v>69</v>
      </c>
      <c r="L1264" t="s">
        <v>3808</v>
      </c>
      <c r="M1264" t="s">
        <v>71</v>
      </c>
      <c r="N1264" t="s">
        <v>198</v>
      </c>
      <c r="O1264" t="s">
        <v>1307</v>
      </c>
      <c r="P1264" t="s">
        <v>1308</v>
      </c>
      <c r="R1264" t="s">
        <v>1309</v>
      </c>
      <c r="S1264" t="s">
        <v>222</v>
      </c>
      <c r="T1264" t="s">
        <v>76</v>
      </c>
      <c r="U1264" t="s">
        <v>104</v>
      </c>
      <c r="V1264" t="s">
        <v>1519</v>
      </c>
      <c r="W1264">
        <v>490</v>
      </c>
      <c r="X1264">
        <v>22.99</v>
      </c>
      <c r="Y1264">
        <v>60</v>
      </c>
      <c r="Z1264">
        <v>355000</v>
      </c>
      <c r="AA1264">
        <v>241570</v>
      </c>
      <c r="AB1264">
        <v>250</v>
      </c>
      <c r="AD1264" t="s">
        <v>238</v>
      </c>
      <c r="AE1264">
        <v>1</v>
      </c>
      <c r="AF1264">
        <v>8</v>
      </c>
      <c r="AI1264">
        <v>20</v>
      </c>
      <c r="AJ1264">
        <v>120</v>
      </c>
      <c r="AK1264">
        <v>148</v>
      </c>
      <c r="AL1264">
        <v>493</v>
      </c>
      <c r="AM1264">
        <v>0</v>
      </c>
      <c r="AN1264">
        <v>0</v>
      </c>
      <c r="AO1264">
        <v>0</v>
      </c>
      <c r="AP1264" t="s">
        <v>69</v>
      </c>
      <c r="AR1264" t="s">
        <v>86</v>
      </c>
      <c r="AS1264" t="s">
        <v>86</v>
      </c>
      <c r="AT1264" t="s">
        <v>86</v>
      </c>
      <c r="AU1264" t="s">
        <v>86</v>
      </c>
      <c r="AV1264" t="s">
        <v>1033</v>
      </c>
      <c r="AW1264" t="s">
        <v>69</v>
      </c>
      <c r="AX1264" t="s">
        <v>218</v>
      </c>
      <c r="AY1264" t="s">
        <v>3809</v>
      </c>
      <c r="AZ1264" t="s">
        <v>243</v>
      </c>
      <c r="BA1264" t="s">
        <v>244</v>
      </c>
      <c r="BB1264" t="s">
        <v>244</v>
      </c>
      <c r="BC1264" t="s">
        <v>244</v>
      </c>
      <c r="BD1264" t="s">
        <v>3812</v>
      </c>
      <c r="BE1264" t="s">
        <v>3811</v>
      </c>
      <c r="BF1264" t="s">
        <v>86</v>
      </c>
      <c r="BG1264" t="s">
        <v>110</v>
      </c>
      <c r="BH1264" t="str">
        <f>IF(COUNTIF(工作表1!A:A, $C1264)&gt;0, "預購款", "非預購款")</f>
        <v>非預購款</v>
      </c>
    </row>
    <row r="1265" spans="1:60" x14ac:dyDescent="0.25">
      <c r="A1265" t="s">
        <v>3803</v>
      </c>
      <c r="B1265" t="s">
        <v>226</v>
      </c>
      <c r="C1265" t="s">
        <v>3804</v>
      </c>
      <c r="D1265" t="s">
        <v>3805</v>
      </c>
      <c r="E1265" t="s">
        <v>3806</v>
      </c>
      <c r="F1265" t="s">
        <v>184</v>
      </c>
      <c r="G1265" t="s">
        <v>3807</v>
      </c>
      <c r="H1265" t="s">
        <v>132</v>
      </c>
      <c r="I1265" t="s">
        <v>171</v>
      </c>
      <c r="J1265" t="s">
        <v>172</v>
      </c>
      <c r="K1265" t="s">
        <v>69</v>
      </c>
      <c r="L1265" t="s">
        <v>3808</v>
      </c>
      <c r="M1265" t="s">
        <v>71</v>
      </c>
      <c r="N1265" t="s">
        <v>198</v>
      </c>
      <c r="O1265" t="s">
        <v>1307</v>
      </c>
      <c r="P1265" t="s">
        <v>1308</v>
      </c>
      <c r="R1265" t="s">
        <v>1309</v>
      </c>
      <c r="S1265" t="s">
        <v>222</v>
      </c>
      <c r="T1265" t="s">
        <v>76</v>
      </c>
      <c r="U1265" t="s">
        <v>104</v>
      </c>
      <c r="V1265" t="s">
        <v>1519</v>
      </c>
      <c r="W1265">
        <v>490</v>
      </c>
      <c r="X1265">
        <v>22.99</v>
      </c>
      <c r="Y1265">
        <v>60</v>
      </c>
      <c r="Z1265">
        <v>355000</v>
      </c>
      <c r="AA1265">
        <v>241570</v>
      </c>
      <c r="AB1265">
        <v>250</v>
      </c>
      <c r="AD1265" t="s">
        <v>238</v>
      </c>
      <c r="AE1265">
        <v>1</v>
      </c>
      <c r="AF1265">
        <v>0</v>
      </c>
      <c r="AI1265">
        <v>20</v>
      </c>
      <c r="AJ1265">
        <v>60</v>
      </c>
      <c r="AK1265">
        <v>80</v>
      </c>
      <c r="AL1265">
        <v>493</v>
      </c>
      <c r="AM1265">
        <v>0</v>
      </c>
      <c r="AN1265">
        <v>0</v>
      </c>
      <c r="AO1265">
        <v>0</v>
      </c>
      <c r="AP1265" t="s">
        <v>69</v>
      </c>
      <c r="AR1265" t="s">
        <v>86</v>
      </c>
      <c r="AS1265" t="s">
        <v>86</v>
      </c>
      <c r="AT1265" t="s">
        <v>86</v>
      </c>
      <c r="AU1265" t="s">
        <v>86</v>
      </c>
      <c r="AV1265" t="s">
        <v>1033</v>
      </c>
      <c r="AW1265" t="s">
        <v>69</v>
      </c>
      <c r="AX1265" t="s">
        <v>218</v>
      </c>
      <c r="AY1265" t="s">
        <v>3809</v>
      </c>
      <c r="AZ1265" t="s">
        <v>243</v>
      </c>
      <c r="BA1265" t="s">
        <v>244</v>
      </c>
      <c r="BB1265" t="s">
        <v>244</v>
      </c>
      <c r="BC1265" t="s">
        <v>244</v>
      </c>
      <c r="BD1265" t="s">
        <v>3813</v>
      </c>
      <c r="BE1265" t="s">
        <v>3811</v>
      </c>
      <c r="BF1265" t="s">
        <v>86</v>
      </c>
      <c r="BG1265" t="s">
        <v>110</v>
      </c>
      <c r="BH1265" t="str">
        <f>IF(COUNTIF(工作表1!A:A, $C1265)&gt;0, "預購款", "非預購款")</f>
        <v>非預購款</v>
      </c>
    </row>
    <row r="1266" spans="1:60" x14ac:dyDescent="0.25">
      <c r="A1266" t="s">
        <v>3814</v>
      </c>
      <c r="B1266" t="s">
        <v>226</v>
      </c>
      <c r="C1266" t="s">
        <v>3815</v>
      </c>
      <c r="D1266" t="s">
        <v>3816</v>
      </c>
      <c r="E1266" t="s">
        <v>3817</v>
      </c>
      <c r="F1266" t="s">
        <v>184</v>
      </c>
      <c r="G1266" t="s">
        <v>3818</v>
      </c>
      <c r="H1266" t="s">
        <v>119</v>
      </c>
      <c r="I1266" t="s">
        <v>171</v>
      </c>
      <c r="J1266" t="s">
        <v>172</v>
      </c>
      <c r="K1266" t="s">
        <v>69</v>
      </c>
      <c r="L1266" t="s">
        <v>3819</v>
      </c>
      <c r="M1266" t="s">
        <v>71</v>
      </c>
      <c r="N1266" t="s">
        <v>198</v>
      </c>
      <c r="O1266" t="s">
        <v>1307</v>
      </c>
      <c r="P1266" t="s">
        <v>1308</v>
      </c>
      <c r="R1266" t="s">
        <v>1309</v>
      </c>
      <c r="S1266" t="s">
        <v>222</v>
      </c>
      <c r="T1266" t="s">
        <v>291</v>
      </c>
      <c r="U1266" t="s">
        <v>104</v>
      </c>
      <c r="V1266" t="s">
        <v>1519</v>
      </c>
      <c r="W1266">
        <v>299</v>
      </c>
      <c r="X1266">
        <v>12.99</v>
      </c>
      <c r="Y1266">
        <v>39</v>
      </c>
      <c r="Z1266">
        <v>209000</v>
      </c>
      <c r="AA1266">
        <v>55315</v>
      </c>
      <c r="AB1266">
        <v>118</v>
      </c>
      <c r="AD1266" t="s">
        <v>238</v>
      </c>
      <c r="AE1266">
        <v>1</v>
      </c>
      <c r="AF1266">
        <v>0</v>
      </c>
      <c r="AI1266">
        <v>20</v>
      </c>
      <c r="AJ1266">
        <v>65</v>
      </c>
      <c r="AK1266">
        <v>85</v>
      </c>
      <c r="AL1266">
        <v>185</v>
      </c>
      <c r="AM1266">
        <v>94</v>
      </c>
      <c r="AN1266">
        <v>0</v>
      </c>
      <c r="AO1266">
        <v>94</v>
      </c>
      <c r="AP1266" t="s">
        <v>80</v>
      </c>
      <c r="AQ1266" t="s">
        <v>190</v>
      </c>
      <c r="AT1266" t="s">
        <v>86</v>
      </c>
      <c r="AU1266" t="s">
        <v>86</v>
      </c>
      <c r="AV1266" t="s">
        <v>3190</v>
      </c>
      <c r="AW1266" t="s">
        <v>69</v>
      </c>
      <c r="AX1266" t="s">
        <v>126</v>
      </c>
      <c r="AY1266" t="s">
        <v>3820</v>
      </c>
      <c r="AZ1266" t="s">
        <v>243</v>
      </c>
      <c r="BA1266" t="s">
        <v>245</v>
      </c>
      <c r="BB1266" t="s">
        <v>264</v>
      </c>
      <c r="BC1266" t="s">
        <v>264</v>
      </c>
      <c r="BD1266" t="s">
        <v>3821</v>
      </c>
      <c r="BE1266" t="s">
        <v>3822</v>
      </c>
      <c r="BF1266" t="s">
        <v>291</v>
      </c>
      <c r="BG1266" t="s">
        <v>150</v>
      </c>
      <c r="BH1266" t="str">
        <f>IF(COUNTIF(工作表1!A:A, $C1266)&gt;0, "預購款", "非預購款")</f>
        <v>非預購款</v>
      </c>
    </row>
    <row r="1267" spans="1:60" x14ac:dyDescent="0.25">
      <c r="A1267" t="s">
        <v>3814</v>
      </c>
      <c r="B1267" t="s">
        <v>226</v>
      </c>
      <c r="C1267" t="s">
        <v>3815</v>
      </c>
      <c r="D1267" t="s">
        <v>3816</v>
      </c>
      <c r="E1267" t="s">
        <v>3817</v>
      </c>
      <c r="F1267" t="s">
        <v>184</v>
      </c>
      <c r="G1267" t="s">
        <v>3818</v>
      </c>
      <c r="H1267" t="s">
        <v>130</v>
      </c>
      <c r="I1267" t="s">
        <v>171</v>
      </c>
      <c r="J1267" t="s">
        <v>172</v>
      </c>
      <c r="K1267" t="s">
        <v>69</v>
      </c>
      <c r="L1267" t="s">
        <v>3819</v>
      </c>
      <c r="M1267" t="s">
        <v>71</v>
      </c>
      <c r="N1267" t="s">
        <v>198</v>
      </c>
      <c r="O1267" t="s">
        <v>1307</v>
      </c>
      <c r="P1267" t="s">
        <v>1308</v>
      </c>
      <c r="R1267" t="s">
        <v>1309</v>
      </c>
      <c r="S1267" t="s">
        <v>222</v>
      </c>
      <c r="T1267" t="s">
        <v>291</v>
      </c>
      <c r="U1267" t="s">
        <v>104</v>
      </c>
      <c r="V1267" t="s">
        <v>1519</v>
      </c>
      <c r="W1267">
        <v>299</v>
      </c>
      <c r="X1267">
        <v>12.99</v>
      </c>
      <c r="Y1267">
        <v>39</v>
      </c>
      <c r="Z1267">
        <v>209000</v>
      </c>
      <c r="AA1267">
        <v>55315</v>
      </c>
      <c r="AB1267">
        <v>118</v>
      </c>
      <c r="AD1267" t="s">
        <v>238</v>
      </c>
      <c r="AE1267">
        <v>1</v>
      </c>
      <c r="AF1267">
        <v>0</v>
      </c>
      <c r="AI1267">
        <v>10</v>
      </c>
      <c r="AJ1267">
        <v>55</v>
      </c>
      <c r="AK1267">
        <v>65</v>
      </c>
      <c r="AL1267">
        <v>185</v>
      </c>
      <c r="AM1267">
        <v>74</v>
      </c>
      <c r="AN1267">
        <v>0</v>
      </c>
      <c r="AO1267">
        <v>74</v>
      </c>
      <c r="AP1267" t="s">
        <v>80</v>
      </c>
      <c r="AQ1267" t="s">
        <v>190</v>
      </c>
      <c r="AT1267" t="s">
        <v>86</v>
      </c>
      <c r="AU1267" t="s">
        <v>86</v>
      </c>
      <c r="AV1267" t="s">
        <v>3190</v>
      </c>
      <c r="AW1267" t="s">
        <v>69</v>
      </c>
      <c r="AX1267" t="s">
        <v>126</v>
      </c>
      <c r="AY1267" t="s">
        <v>3820</v>
      </c>
      <c r="AZ1267" t="s">
        <v>243</v>
      </c>
      <c r="BA1267" t="s">
        <v>245</v>
      </c>
      <c r="BB1267" t="s">
        <v>264</v>
      </c>
      <c r="BC1267" t="s">
        <v>264</v>
      </c>
      <c r="BD1267" t="s">
        <v>3823</v>
      </c>
      <c r="BE1267" t="s">
        <v>3822</v>
      </c>
      <c r="BF1267" t="s">
        <v>291</v>
      </c>
      <c r="BG1267" t="s">
        <v>150</v>
      </c>
      <c r="BH1267" t="str">
        <f>IF(COUNTIF(工作表1!A:A, $C1267)&gt;0, "預購款", "非預購款")</f>
        <v>非預購款</v>
      </c>
    </row>
    <row r="1268" spans="1:60" x14ac:dyDescent="0.25">
      <c r="A1268" t="s">
        <v>3814</v>
      </c>
      <c r="B1268" t="s">
        <v>226</v>
      </c>
      <c r="C1268" t="s">
        <v>3815</v>
      </c>
      <c r="D1268" t="s">
        <v>3816</v>
      </c>
      <c r="E1268" t="s">
        <v>3817</v>
      </c>
      <c r="F1268" t="s">
        <v>184</v>
      </c>
      <c r="G1268" t="s">
        <v>3818</v>
      </c>
      <c r="H1268" t="s">
        <v>132</v>
      </c>
      <c r="I1268" t="s">
        <v>171</v>
      </c>
      <c r="J1268" t="s">
        <v>172</v>
      </c>
      <c r="K1268" t="s">
        <v>69</v>
      </c>
      <c r="L1268" t="s">
        <v>3819</v>
      </c>
      <c r="M1268" t="s">
        <v>71</v>
      </c>
      <c r="N1268" t="s">
        <v>198</v>
      </c>
      <c r="O1268" t="s">
        <v>1307</v>
      </c>
      <c r="P1268" t="s">
        <v>1308</v>
      </c>
      <c r="R1268" t="s">
        <v>1309</v>
      </c>
      <c r="S1268" t="s">
        <v>222</v>
      </c>
      <c r="T1268" t="s">
        <v>291</v>
      </c>
      <c r="U1268" t="s">
        <v>104</v>
      </c>
      <c r="V1268" t="s">
        <v>1519</v>
      </c>
      <c r="W1268">
        <v>299</v>
      </c>
      <c r="X1268">
        <v>12.99</v>
      </c>
      <c r="Y1268">
        <v>39</v>
      </c>
      <c r="Z1268">
        <v>209000</v>
      </c>
      <c r="AA1268">
        <v>55315</v>
      </c>
      <c r="AB1268">
        <v>118</v>
      </c>
      <c r="AD1268" t="s">
        <v>238</v>
      </c>
      <c r="AE1268">
        <v>1</v>
      </c>
      <c r="AF1268">
        <v>0</v>
      </c>
      <c r="AI1268">
        <v>10</v>
      </c>
      <c r="AJ1268">
        <v>25</v>
      </c>
      <c r="AK1268">
        <v>35</v>
      </c>
      <c r="AL1268">
        <v>185</v>
      </c>
      <c r="AM1268">
        <v>44</v>
      </c>
      <c r="AN1268">
        <v>0</v>
      </c>
      <c r="AO1268">
        <v>44</v>
      </c>
      <c r="AP1268" t="s">
        <v>80</v>
      </c>
      <c r="AQ1268" t="s">
        <v>190</v>
      </c>
      <c r="AT1268" t="s">
        <v>86</v>
      </c>
      <c r="AU1268" t="s">
        <v>86</v>
      </c>
      <c r="AV1268" t="s">
        <v>3190</v>
      </c>
      <c r="AW1268" t="s">
        <v>69</v>
      </c>
      <c r="AX1268" t="s">
        <v>126</v>
      </c>
      <c r="AY1268" t="s">
        <v>3820</v>
      </c>
      <c r="AZ1268" t="s">
        <v>243</v>
      </c>
      <c r="BA1268" t="s">
        <v>245</v>
      </c>
      <c r="BB1268" t="s">
        <v>264</v>
      </c>
      <c r="BC1268" t="s">
        <v>264</v>
      </c>
      <c r="BD1268" t="s">
        <v>3824</v>
      </c>
      <c r="BE1268" t="s">
        <v>3822</v>
      </c>
      <c r="BF1268" t="s">
        <v>291</v>
      </c>
      <c r="BG1268" t="s">
        <v>150</v>
      </c>
      <c r="BH1268" t="str">
        <f>IF(COUNTIF(工作表1!A:A, $C1268)&gt;0, "預購款", "非預購款")</f>
        <v>非預購款</v>
      </c>
    </row>
    <row r="1269" spans="1:60" x14ac:dyDescent="0.25">
      <c r="A1269" t="s">
        <v>3509</v>
      </c>
      <c r="B1269" t="s">
        <v>226</v>
      </c>
      <c r="C1269" t="s">
        <v>3510</v>
      </c>
      <c r="D1269" t="s">
        <v>3511</v>
      </c>
      <c r="E1269" t="s">
        <v>3512</v>
      </c>
      <c r="F1269" t="s">
        <v>184</v>
      </c>
      <c r="G1269" t="s">
        <v>3513</v>
      </c>
      <c r="H1269" t="s">
        <v>119</v>
      </c>
      <c r="I1269" t="s">
        <v>97</v>
      </c>
      <c r="J1269" t="s">
        <v>98</v>
      </c>
      <c r="K1269" t="s">
        <v>69</v>
      </c>
      <c r="L1269" t="s">
        <v>3514</v>
      </c>
      <c r="M1269" t="s">
        <v>71</v>
      </c>
      <c r="N1269" t="s">
        <v>198</v>
      </c>
      <c r="O1269" t="s">
        <v>3439</v>
      </c>
      <c r="P1269" t="s">
        <v>3440</v>
      </c>
      <c r="R1269" t="s">
        <v>1095</v>
      </c>
      <c r="S1269" t="s">
        <v>222</v>
      </c>
      <c r="T1269" t="s">
        <v>76</v>
      </c>
      <c r="U1269" t="s">
        <v>104</v>
      </c>
      <c r="V1269" t="s">
        <v>1519</v>
      </c>
      <c r="W1269">
        <v>490</v>
      </c>
      <c r="X1269">
        <v>22.99</v>
      </c>
      <c r="Y1269">
        <v>60</v>
      </c>
      <c r="Z1269">
        <v>355000</v>
      </c>
      <c r="AA1269">
        <v>232750</v>
      </c>
      <c r="AB1269">
        <v>132</v>
      </c>
      <c r="AD1269" t="s">
        <v>238</v>
      </c>
      <c r="AE1269">
        <v>2</v>
      </c>
      <c r="AF1269">
        <v>20</v>
      </c>
      <c r="AI1269">
        <v>20</v>
      </c>
      <c r="AJ1269">
        <v>50</v>
      </c>
      <c r="AK1269">
        <v>90</v>
      </c>
      <c r="AL1269">
        <v>475</v>
      </c>
      <c r="AM1269">
        <v>99</v>
      </c>
      <c r="AN1269">
        <v>0</v>
      </c>
      <c r="AO1269">
        <v>99</v>
      </c>
      <c r="AP1269" t="s">
        <v>80</v>
      </c>
      <c r="AQ1269" t="s">
        <v>190</v>
      </c>
      <c r="AR1269" t="s">
        <v>86</v>
      </c>
      <c r="AS1269" t="s">
        <v>86</v>
      </c>
      <c r="AT1269" t="s">
        <v>240</v>
      </c>
      <c r="AU1269" t="s">
        <v>86</v>
      </c>
      <c r="AV1269" t="s">
        <v>81</v>
      </c>
      <c r="AW1269" t="s">
        <v>69</v>
      </c>
      <c r="AX1269" t="s">
        <v>126</v>
      </c>
      <c r="AY1269" t="s">
        <v>3515</v>
      </c>
      <c r="AZ1269" t="s">
        <v>243</v>
      </c>
      <c r="BA1269" t="s">
        <v>244</v>
      </c>
      <c r="BB1269" t="s">
        <v>244</v>
      </c>
      <c r="BC1269" t="s">
        <v>244</v>
      </c>
      <c r="BD1269" t="s">
        <v>3825</v>
      </c>
      <c r="BE1269" t="s">
        <v>3826</v>
      </c>
      <c r="BF1269" t="s">
        <v>86</v>
      </c>
      <c r="BG1269" t="s">
        <v>150</v>
      </c>
      <c r="BH1269" t="str">
        <f>IF(COUNTIF(工作表1!A:A, $C1269)&gt;0, "預購款", "非預購款")</f>
        <v>非預購款</v>
      </c>
    </row>
    <row r="1270" spans="1:60" x14ac:dyDescent="0.25">
      <c r="A1270" t="s">
        <v>3509</v>
      </c>
      <c r="B1270" t="s">
        <v>226</v>
      </c>
      <c r="C1270" t="s">
        <v>3510</v>
      </c>
      <c r="D1270" t="s">
        <v>3511</v>
      </c>
      <c r="E1270" t="s">
        <v>3512</v>
      </c>
      <c r="F1270" t="s">
        <v>184</v>
      </c>
      <c r="G1270" t="s">
        <v>3513</v>
      </c>
      <c r="H1270" t="s">
        <v>130</v>
      </c>
      <c r="I1270" t="s">
        <v>97</v>
      </c>
      <c r="J1270" t="s">
        <v>98</v>
      </c>
      <c r="K1270" t="s">
        <v>69</v>
      </c>
      <c r="L1270" t="s">
        <v>3514</v>
      </c>
      <c r="M1270" t="s">
        <v>71</v>
      </c>
      <c r="N1270" t="s">
        <v>198</v>
      </c>
      <c r="O1270" t="s">
        <v>3439</v>
      </c>
      <c r="P1270" t="s">
        <v>3440</v>
      </c>
      <c r="R1270" t="s">
        <v>1095</v>
      </c>
      <c r="S1270" t="s">
        <v>222</v>
      </c>
      <c r="T1270" t="s">
        <v>76</v>
      </c>
      <c r="U1270" t="s">
        <v>104</v>
      </c>
      <c r="V1270" t="s">
        <v>1519</v>
      </c>
      <c r="W1270">
        <v>490</v>
      </c>
      <c r="X1270">
        <v>22.99</v>
      </c>
      <c r="Y1270">
        <v>60</v>
      </c>
      <c r="Z1270">
        <v>355000</v>
      </c>
      <c r="AA1270">
        <v>232750</v>
      </c>
      <c r="AB1270">
        <v>132</v>
      </c>
      <c r="AD1270" t="s">
        <v>238</v>
      </c>
      <c r="AE1270">
        <v>2</v>
      </c>
      <c r="AF1270">
        <v>15</v>
      </c>
      <c r="AI1270">
        <v>25</v>
      </c>
      <c r="AJ1270">
        <v>80</v>
      </c>
      <c r="AK1270">
        <v>120</v>
      </c>
      <c r="AL1270">
        <v>475</v>
      </c>
      <c r="AM1270">
        <v>129</v>
      </c>
      <c r="AN1270">
        <v>0</v>
      </c>
      <c r="AO1270">
        <v>129</v>
      </c>
      <c r="AP1270" t="s">
        <v>80</v>
      </c>
      <c r="AQ1270" t="s">
        <v>190</v>
      </c>
      <c r="AR1270" t="s">
        <v>86</v>
      </c>
      <c r="AS1270" t="s">
        <v>86</v>
      </c>
      <c r="AT1270" t="s">
        <v>240</v>
      </c>
      <c r="AU1270" t="s">
        <v>86</v>
      </c>
      <c r="AV1270" t="s">
        <v>81</v>
      </c>
      <c r="AW1270" t="s">
        <v>69</v>
      </c>
      <c r="AX1270" t="s">
        <v>126</v>
      </c>
      <c r="AY1270" t="s">
        <v>3515</v>
      </c>
      <c r="AZ1270" t="s">
        <v>243</v>
      </c>
      <c r="BA1270" t="s">
        <v>244</v>
      </c>
      <c r="BB1270" t="s">
        <v>244</v>
      </c>
      <c r="BC1270" t="s">
        <v>244</v>
      </c>
      <c r="BD1270" t="s">
        <v>3827</v>
      </c>
      <c r="BE1270" t="s">
        <v>3826</v>
      </c>
      <c r="BF1270" t="s">
        <v>86</v>
      </c>
      <c r="BG1270" t="s">
        <v>150</v>
      </c>
      <c r="BH1270" t="str">
        <f>IF(COUNTIF(工作表1!A:A, $C1270)&gt;0, "預購款", "非預購款")</f>
        <v>非預購款</v>
      </c>
    </row>
    <row r="1271" spans="1:60" x14ac:dyDescent="0.25">
      <c r="A1271" t="s">
        <v>3509</v>
      </c>
      <c r="B1271" t="s">
        <v>226</v>
      </c>
      <c r="C1271" t="s">
        <v>3510</v>
      </c>
      <c r="D1271" t="s">
        <v>3511</v>
      </c>
      <c r="E1271" t="s">
        <v>3512</v>
      </c>
      <c r="F1271" t="s">
        <v>184</v>
      </c>
      <c r="G1271" t="s">
        <v>3513</v>
      </c>
      <c r="H1271" t="s">
        <v>132</v>
      </c>
      <c r="I1271" t="s">
        <v>97</v>
      </c>
      <c r="J1271" t="s">
        <v>98</v>
      </c>
      <c r="K1271" t="s">
        <v>69</v>
      </c>
      <c r="L1271" t="s">
        <v>3514</v>
      </c>
      <c r="M1271" t="s">
        <v>71</v>
      </c>
      <c r="N1271" t="s">
        <v>198</v>
      </c>
      <c r="O1271" t="s">
        <v>3439</v>
      </c>
      <c r="P1271" t="s">
        <v>3440</v>
      </c>
      <c r="R1271" t="s">
        <v>1095</v>
      </c>
      <c r="S1271" t="s">
        <v>222</v>
      </c>
      <c r="T1271" t="s">
        <v>76</v>
      </c>
      <c r="U1271" t="s">
        <v>104</v>
      </c>
      <c r="V1271" t="s">
        <v>1519</v>
      </c>
      <c r="W1271">
        <v>490</v>
      </c>
      <c r="X1271">
        <v>22.99</v>
      </c>
      <c r="Y1271">
        <v>60</v>
      </c>
      <c r="Z1271">
        <v>355000</v>
      </c>
      <c r="AA1271">
        <v>232750</v>
      </c>
      <c r="AB1271">
        <v>132</v>
      </c>
      <c r="AD1271" t="s">
        <v>238</v>
      </c>
      <c r="AE1271">
        <v>2</v>
      </c>
      <c r="AF1271">
        <v>5</v>
      </c>
      <c r="AI1271">
        <v>15</v>
      </c>
      <c r="AJ1271">
        <v>55</v>
      </c>
      <c r="AK1271">
        <v>75</v>
      </c>
      <c r="AL1271">
        <v>475</v>
      </c>
      <c r="AM1271">
        <v>84</v>
      </c>
      <c r="AN1271">
        <v>0</v>
      </c>
      <c r="AO1271">
        <v>84</v>
      </c>
      <c r="AP1271" t="s">
        <v>80</v>
      </c>
      <c r="AQ1271" t="s">
        <v>190</v>
      </c>
      <c r="AR1271" t="s">
        <v>86</v>
      </c>
      <c r="AS1271" t="s">
        <v>86</v>
      </c>
      <c r="AT1271" t="s">
        <v>240</v>
      </c>
      <c r="AU1271" t="s">
        <v>86</v>
      </c>
      <c r="AV1271" t="s">
        <v>81</v>
      </c>
      <c r="AW1271" t="s">
        <v>69</v>
      </c>
      <c r="AX1271" t="s">
        <v>126</v>
      </c>
      <c r="AY1271" t="s">
        <v>3515</v>
      </c>
      <c r="AZ1271" t="s">
        <v>243</v>
      </c>
      <c r="BA1271" t="s">
        <v>244</v>
      </c>
      <c r="BB1271" t="s">
        <v>244</v>
      </c>
      <c r="BC1271" t="s">
        <v>244</v>
      </c>
      <c r="BD1271" t="s">
        <v>3828</v>
      </c>
      <c r="BE1271" t="s">
        <v>3826</v>
      </c>
      <c r="BF1271" t="s">
        <v>86</v>
      </c>
      <c r="BG1271" t="s">
        <v>150</v>
      </c>
      <c r="BH1271" t="str">
        <f>IF(COUNTIF(工作表1!A:A, $C1271)&gt;0, "預購款", "非預購款")</f>
        <v>非預購款</v>
      </c>
    </row>
    <row r="1272" spans="1:60" x14ac:dyDescent="0.25">
      <c r="A1272" t="s">
        <v>3509</v>
      </c>
      <c r="B1272" t="s">
        <v>226</v>
      </c>
      <c r="C1272" t="s">
        <v>3510</v>
      </c>
      <c r="D1272" t="s">
        <v>3511</v>
      </c>
      <c r="E1272" t="s">
        <v>3512</v>
      </c>
      <c r="F1272" t="s">
        <v>184</v>
      </c>
      <c r="G1272" t="s">
        <v>3513</v>
      </c>
      <c r="H1272" t="s">
        <v>130</v>
      </c>
      <c r="I1272" t="s">
        <v>171</v>
      </c>
      <c r="J1272" t="s">
        <v>172</v>
      </c>
      <c r="K1272" t="s">
        <v>69</v>
      </c>
      <c r="L1272" t="s">
        <v>3514</v>
      </c>
      <c r="M1272" t="s">
        <v>71</v>
      </c>
      <c r="N1272" t="s">
        <v>198</v>
      </c>
      <c r="O1272" t="s">
        <v>3439</v>
      </c>
      <c r="P1272" t="s">
        <v>3440</v>
      </c>
      <c r="R1272" t="s">
        <v>1095</v>
      </c>
      <c r="S1272" t="s">
        <v>222</v>
      </c>
      <c r="T1272" t="s">
        <v>76</v>
      </c>
      <c r="U1272" t="s">
        <v>104</v>
      </c>
      <c r="V1272" t="s">
        <v>1519</v>
      </c>
      <c r="W1272">
        <v>490</v>
      </c>
      <c r="X1272">
        <v>22.99</v>
      </c>
      <c r="Y1272">
        <v>60</v>
      </c>
      <c r="Z1272">
        <v>355000</v>
      </c>
      <c r="AA1272">
        <v>232750</v>
      </c>
      <c r="AB1272">
        <v>132</v>
      </c>
      <c r="AD1272" t="s">
        <v>238</v>
      </c>
      <c r="AE1272">
        <v>2</v>
      </c>
      <c r="AF1272">
        <v>0</v>
      </c>
      <c r="AI1272">
        <v>25</v>
      </c>
      <c r="AJ1272">
        <v>50</v>
      </c>
      <c r="AK1272">
        <v>75</v>
      </c>
      <c r="AL1272">
        <v>475</v>
      </c>
      <c r="AM1272">
        <v>66</v>
      </c>
      <c r="AN1272">
        <v>1</v>
      </c>
      <c r="AO1272">
        <v>67</v>
      </c>
      <c r="AP1272" t="s">
        <v>80</v>
      </c>
      <c r="AQ1272" t="s">
        <v>190</v>
      </c>
      <c r="AR1272" t="s">
        <v>86</v>
      </c>
      <c r="AS1272" t="s">
        <v>86</v>
      </c>
      <c r="AT1272" t="s">
        <v>240</v>
      </c>
      <c r="AU1272" t="s">
        <v>86</v>
      </c>
      <c r="AV1272" t="s">
        <v>81</v>
      </c>
      <c r="AW1272" t="s">
        <v>69</v>
      </c>
      <c r="AX1272" t="s">
        <v>126</v>
      </c>
      <c r="AY1272" t="s">
        <v>3515</v>
      </c>
      <c r="AZ1272" t="s">
        <v>243</v>
      </c>
      <c r="BA1272" t="s">
        <v>244</v>
      </c>
      <c r="BB1272" t="s">
        <v>244</v>
      </c>
      <c r="BC1272" t="s">
        <v>244</v>
      </c>
      <c r="BD1272" t="s">
        <v>3518</v>
      </c>
      <c r="BE1272" t="s">
        <v>3826</v>
      </c>
      <c r="BF1272" t="s">
        <v>86</v>
      </c>
      <c r="BG1272" t="s">
        <v>150</v>
      </c>
      <c r="BH1272" t="str">
        <f>IF(COUNTIF(工作表1!A:A, $C1272)&gt;0, "預購款", "非預購款")</f>
        <v>非預購款</v>
      </c>
    </row>
    <row r="1273" spans="1:60" x14ac:dyDescent="0.25">
      <c r="A1273" t="s">
        <v>3509</v>
      </c>
      <c r="B1273" t="s">
        <v>226</v>
      </c>
      <c r="C1273" t="s">
        <v>3510</v>
      </c>
      <c r="D1273" t="s">
        <v>3511</v>
      </c>
      <c r="E1273" t="s">
        <v>3512</v>
      </c>
      <c r="F1273" t="s">
        <v>184</v>
      </c>
      <c r="G1273" t="s">
        <v>3513</v>
      </c>
      <c r="H1273" t="s">
        <v>132</v>
      </c>
      <c r="I1273" t="s">
        <v>171</v>
      </c>
      <c r="J1273" t="s">
        <v>172</v>
      </c>
      <c r="K1273" t="s">
        <v>69</v>
      </c>
      <c r="L1273" t="s">
        <v>3514</v>
      </c>
      <c r="M1273" t="s">
        <v>71</v>
      </c>
      <c r="N1273" t="s">
        <v>198</v>
      </c>
      <c r="O1273" t="s">
        <v>3439</v>
      </c>
      <c r="P1273" t="s">
        <v>3440</v>
      </c>
      <c r="R1273" t="s">
        <v>1095</v>
      </c>
      <c r="S1273" t="s">
        <v>222</v>
      </c>
      <c r="T1273" t="s">
        <v>76</v>
      </c>
      <c r="U1273" t="s">
        <v>104</v>
      </c>
      <c r="V1273" t="s">
        <v>1519</v>
      </c>
      <c r="W1273">
        <v>490</v>
      </c>
      <c r="X1273">
        <v>22.99</v>
      </c>
      <c r="Y1273">
        <v>60</v>
      </c>
      <c r="Z1273">
        <v>355000</v>
      </c>
      <c r="AA1273">
        <v>232750</v>
      </c>
      <c r="AB1273">
        <v>132</v>
      </c>
      <c r="AD1273" t="s">
        <v>238</v>
      </c>
      <c r="AE1273">
        <v>2</v>
      </c>
      <c r="AF1273">
        <v>0</v>
      </c>
      <c r="AI1273">
        <v>25</v>
      </c>
      <c r="AJ1273">
        <v>40</v>
      </c>
      <c r="AK1273">
        <v>65</v>
      </c>
      <c r="AL1273">
        <v>475</v>
      </c>
      <c r="AM1273">
        <v>57</v>
      </c>
      <c r="AN1273">
        <v>0</v>
      </c>
      <c r="AO1273">
        <v>57</v>
      </c>
      <c r="AP1273" t="s">
        <v>80</v>
      </c>
      <c r="AQ1273" t="s">
        <v>190</v>
      </c>
      <c r="AR1273" t="s">
        <v>86</v>
      </c>
      <c r="AS1273" t="s">
        <v>86</v>
      </c>
      <c r="AT1273" t="s">
        <v>240</v>
      </c>
      <c r="AU1273" t="s">
        <v>86</v>
      </c>
      <c r="AV1273" t="s">
        <v>81</v>
      </c>
      <c r="AW1273" t="s">
        <v>69</v>
      </c>
      <c r="AX1273" t="s">
        <v>126</v>
      </c>
      <c r="AY1273" t="s">
        <v>3515</v>
      </c>
      <c r="AZ1273" t="s">
        <v>243</v>
      </c>
      <c r="BA1273" t="s">
        <v>244</v>
      </c>
      <c r="BB1273" t="s">
        <v>244</v>
      </c>
      <c r="BC1273" t="s">
        <v>244</v>
      </c>
      <c r="BD1273" t="s">
        <v>3519</v>
      </c>
      <c r="BE1273" t="s">
        <v>3826</v>
      </c>
      <c r="BF1273" t="s">
        <v>86</v>
      </c>
      <c r="BG1273" t="s">
        <v>150</v>
      </c>
      <c r="BH1273" t="str">
        <f>IF(COUNTIF(工作表1!A:A, $C1273)&gt;0, "預購款", "非預購款")</f>
        <v>非預購款</v>
      </c>
    </row>
    <row r="1274" spans="1:60" x14ac:dyDescent="0.25">
      <c r="A1274" t="s">
        <v>3840</v>
      </c>
      <c r="B1274" t="s">
        <v>283</v>
      </c>
      <c r="C1274" t="s">
        <v>3841</v>
      </c>
      <c r="D1274" t="s">
        <v>3842</v>
      </c>
      <c r="E1274" t="s">
        <v>3843</v>
      </c>
      <c r="F1274" t="s">
        <v>184</v>
      </c>
      <c r="G1274" t="s">
        <v>3844</v>
      </c>
      <c r="H1274" t="s">
        <v>119</v>
      </c>
      <c r="I1274" t="s">
        <v>97</v>
      </c>
      <c r="J1274" t="s">
        <v>98</v>
      </c>
      <c r="K1274" t="s">
        <v>80</v>
      </c>
      <c r="L1274" t="s">
        <v>3845</v>
      </c>
      <c r="M1274" t="s">
        <v>71</v>
      </c>
      <c r="N1274" t="s">
        <v>198</v>
      </c>
      <c r="O1274" t="s">
        <v>1307</v>
      </c>
      <c r="P1274" t="s">
        <v>1308</v>
      </c>
      <c r="R1274" t="s">
        <v>1309</v>
      </c>
      <c r="S1274" t="s">
        <v>222</v>
      </c>
      <c r="T1274" t="s">
        <v>291</v>
      </c>
      <c r="U1274" t="s">
        <v>104</v>
      </c>
      <c r="V1274" t="s">
        <v>653</v>
      </c>
      <c r="W1274">
        <v>590</v>
      </c>
      <c r="X1274">
        <v>29.99</v>
      </c>
      <c r="Y1274">
        <v>75</v>
      </c>
      <c r="Z1274">
        <v>429000</v>
      </c>
      <c r="AA1274">
        <v>250750</v>
      </c>
      <c r="AB1274">
        <v>180</v>
      </c>
      <c r="AD1274" t="s">
        <v>238</v>
      </c>
      <c r="AE1274">
        <v>2</v>
      </c>
      <c r="AF1274">
        <v>0</v>
      </c>
      <c r="AI1274">
        <v>20</v>
      </c>
      <c r="AJ1274">
        <v>90</v>
      </c>
      <c r="AK1274">
        <v>110</v>
      </c>
      <c r="AL1274">
        <v>425</v>
      </c>
      <c r="AM1274">
        <v>120</v>
      </c>
      <c r="AN1274">
        <v>0</v>
      </c>
      <c r="AO1274">
        <v>120</v>
      </c>
      <c r="AP1274" t="s">
        <v>69</v>
      </c>
      <c r="AT1274" t="s">
        <v>86</v>
      </c>
      <c r="AU1274" t="s">
        <v>86</v>
      </c>
      <c r="AV1274" t="s">
        <v>3846</v>
      </c>
      <c r="AW1274" t="s">
        <v>69</v>
      </c>
      <c r="AX1274" t="s">
        <v>126</v>
      </c>
      <c r="AY1274" t="s">
        <v>3847</v>
      </c>
      <c r="AZ1274" t="s">
        <v>243</v>
      </c>
      <c r="BA1274" t="s">
        <v>245</v>
      </c>
      <c r="BB1274" t="s">
        <v>244</v>
      </c>
      <c r="BC1274" t="s">
        <v>244</v>
      </c>
      <c r="BD1274" t="s">
        <v>3848</v>
      </c>
      <c r="BE1274" t="s">
        <v>3849</v>
      </c>
      <c r="BF1274" t="s">
        <v>971</v>
      </c>
      <c r="BG1274" t="s">
        <v>150</v>
      </c>
      <c r="BH1274" t="str">
        <f>IF(COUNTIF(工作表1!A:A, $C1274)&gt;0, "預購款", "非預購款")</f>
        <v>非預購款</v>
      </c>
    </row>
    <row r="1275" spans="1:60" x14ac:dyDescent="0.25">
      <c r="A1275" t="s">
        <v>3840</v>
      </c>
      <c r="B1275" t="s">
        <v>283</v>
      </c>
      <c r="C1275" t="s">
        <v>3841</v>
      </c>
      <c r="D1275" t="s">
        <v>3842</v>
      </c>
      <c r="E1275" t="s">
        <v>3843</v>
      </c>
      <c r="F1275" t="s">
        <v>184</v>
      </c>
      <c r="G1275" t="s">
        <v>3844</v>
      </c>
      <c r="H1275" t="s">
        <v>130</v>
      </c>
      <c r="I1275" t="s">
        <v>97</v>
      </c>
      <c r="J1275" t="s">
        <v>98</v>
      </c>
      <c r="K1275" t="s">
        <v>80</v>
      </c>
      <c r="L1275" t="s">
        <v>3845</v>
      </c>
      <c r="M1275" t="s">
        <v>71</v>
      </c>
      <c r="N1275" t="s">
        <v>198</v>
      </c>
      <c r="O1275" t="s">
        <v>1307</v>
      </c>
      <c r="P1275" t="s">
        <v>1308</v>
      </c>
      <c r="R1275" t="s">
        <v>1309</v>
      </c>
      <c r="S1275" t="s">
        <v>222</v>
      </c>
      <c r="T1275" t="s">
        <v>291</v>
      </c>
      <c r="U1275" t="s">
        <v>104</v>
      </c>
      <c r="V1275" t="s">
        <v>653</v>
      </c>
      <c r="W1275">
        <v>590</v>
      </c>
      <c r="X1275">
        <v>29.99</v>
      </c>
      <c r="Y1275">
        <v>75</v>
      </c>
      <c r="Z1275">
        <v>429000</v>
      </c>
      <c r="AA1275">
        <v>250750</v>
      </c>
      <c r="AB1275">
        <v>180</v>
      </c>
      <c r="AD1275" t="s">
        <v>238</v>
      </c>
      <c r="AE1275">
        <v>2</v>
      </c>
      <c r="AF1275">
        <v>0</v>
      </c>
      <c r="AI1275">
        <v>20</v>
      </c>
      <c r="AJ1275">
        <v>45</v>
      </c>
      <c r="AK1275">
        <v>65</v>
      </c>
      <c r="AL1275">
        <v>425</v>
      </c>
      <c r="AM1275">
        <v>75</v>
      </c>
      <c r="AN1275">
        <v>0</v>
      </c>
      <c r="AO1275">
        <v>75</v>
      </c>
      <c r="AP1275" t="s">
        <v>69</v>
      </c>
      <c r="AT1275" t="s">
        <v>86</v>
      </c>
      <c r="AU1275" t="s">
        <v>86</v>
      </c>
      <c r="AV1275" t="s">
        <v>3846</v>
      </c>
      <c r="AW1275" t="s">
        <v>69</v>
      </c>
      <c r="AX1275" t="s">
        <v>126</v>
      </c>
      <c r="AY1275" t="s">
        <v>3847</v>
      </c>
      <c r="AZ1275" t="s">
        <v>243</v>
      </c>
      <c r="BA1275" t="s">
        <v>245</v>
      </c>
      <c r="BB1275" t="s">
        <v>244</v>
      </c>
      <c r="BC1275" t="s">
        <v>244</v>
      </c>
      <c r="BD1275" t="s">
        <v>3850</v>
      </c>
      <c r="BE1275" t="s">
        <v>3849</v>
      </c>
      <c r="BF1275" t="s">
        <v>971</v>
      </c>
      <c r="BG1275" t="s">
        <v>150</v>
      </c>
      <c r="BH1275" t="str">
        <f>IF(COUNTIF(工作表1!A:A, $C1275)&gt;0, "預購款", "非預購款")</f>
        <v>非預購款</v>
      </c>
    </row>
    <row r="1276" spans="1:60" x14ac:dyDescent="0.25">
      <c r="A1276" t="s">
        <v>3840</v>
      </c>
      <c r="B1276" t="s">
        <v>283</v>
      </c>
      <c r="C1276" t="s">
        <v>3841</v>
      </c>
      <c r="D1276" t="s">
        <v>3842</v>
      </c>
      <c r="E1276" t="s">
        <v>3843</v>
      </c>
      <c r="F1276" t="s">
        <v>184</v>
      </c>
      <c r="G1276" t="s">
        <v>3844</v>
      </c>
      <c r="H1276" t="s">
        <v>132</v>
      </c>
      <c r="I1276" t="s">
        <v>97</v>
      </c>
      <c r="J1276" t="s">
        <v>98</v>
      </c>
      <c r="K1276" t="s">
        <v>80</v>
      </c>
      <c r="L1276" t="s">
        <v>3845</v>
      </c>
      <c r="M1276" t="s">
        <v>71</v>
      </c>
      <c r="N1276" t="s">
        <v>198</v>
      </c>
      <c r="O1276" t="s">
        <v>1307</v>
      </c>
      <c r="P1276" t="s">
        <v>1308</v>
      </c>
      <c r="R1276" t="s">
        <v>1309</v>
      </c>
      <c r="S1276" t="s">
        <v>222</v>
      </c>
      <c r="T1276" t="s">
        <v>291</v>
      </c>
      <c r="U1276" t="s">
        <v>104</v>
      </c>
      <c r="V1276" t="s">
        <v>653</v>
      </c>
      <c r="W1276">
        <v>590</v>
      </c>
      <c r="X1276">
        <v>29.99</v>
      </c>
      <c r="Y1276">
        <v>75</v>
      </c>
      <c r="Z1276">
        <v>429000</v>
      </c>
      <c r="AA1276">
        <v>250750</v>
      </c>
      <c r="AB1276">
        <v>180</v>
      </c>
      <c r="AD1276" t="s">
        <v>238</v>
      </c>
      <c r="AE1276">
        <v>2</v>
      </c>
      <c r="AF1276">
        <v>0</v>
      </c>
      <c r="AI1276">
        <v>10</v>
      </c>
      <c r="AJ1276">
        <v>10</v>
      </c>
      <c r="AK1276">
        <v>20</v>
      </c>
      <c r="AL1276">
        <v>425</v>
      </c>
      <c r="AM1276">
        <v>30</v>
      </c>
      <c r="AN1276">
        <v>0</v>
      </c>
      <c r="AO1276">
        <v>30</v>
      </c>
      <c r="AP1276" t="s">
        <v>69</v>
      </c>
      <c r="AT1276" t="s">
        <v>86</v>
      </c>
      <c r="AU1276" t="s">
        <v>86</v>
      </c>
      <c r="AV1276" t="s">
        <v>3846</v>
      </c>
      <c r="AW1276" t="s">
        <v>69</v>
      </c>
      <c r="AX1276" t="s">
        <v>126</v>
      </c>
      <c r="AY1276" t="s">
        <v>3847</v>
      </c>
      <c r="AZ1276" t="s">
        <v>243</v>
      </c>
      <c r="BA1276" t="s">
        <v>245</v>
      </c>
      <c r="BB1276" t="s">
        <v>244</v>
      </c>
      <c r="BC1276" t="s">
        <v>244</v>
      </c>
      <c r="BD1276" t="s">
        <v>3851</v>
      </c>
      <c r="BE1276" t="s">
        <v>3849</v>
      </c>
      <c r="BF1276" t="s">
        <v>971</v>
      </c>
      <c r="BG1276" t="s">
        <v>150</v>
      </c>
      <c r="BH1276" t="str">
        <f>IF(COUNTIF(工作表1!A:A, $C1276)&gt;0, "預購款", "非預購款")</f>
        <v>非預購款</v>
      </c>
    </row>
    <row r="1277" spans="1:60" x14ac:dyDescent="0.25">
      <c r="A1277" t="s">
        <v>3840</v>
      </c>
      <c r="B1277" t="s">
        <v>283</v>
      </c>
      <c r="C1277" t="s">
        <v>3841</v>
      </c>
      <c r="D1277" t="s">
        <v>3842</v>
      </c>
      <c r="E1277" t="s">
        <v>3843</v>
      </c>
      <c r="F1277" t="s">
        <v>184</v>
      </c>
      <c r="G1277" t="s">
        <v>3844</v>
      </c>
      <c r="H1277" t="s">
        <v>119</v>
      </c>
      <c r="I1277" t="s">
        <v>162</v>
      </c>
      <c r="J1277" t="s">
        <v>163</v>
      </c>
      <c r="K1277" t="s">
        <v>69</v>
      </c>
      <c r="L1277" t="s">
        <v>3845</v>
      </c>
      <c r="M1277" t="s">
        <v>71</v>
      </c>
      <c r="N1277" t="s">
        <v>198</v>
      </c>
      <c r="O1277" t="s">
        <v>1307</v>
      </c>
      <c r="P1277" t="s">
        <v>1308</v>
      </c>
      <c r="R1277" t="s">
        <v>1309</v>
      </c>
      <c r="S1277" t="s">
        <v>222</v>
      </c>
      <c r="T1277" t="s">
        <v>291</v>
      </c>
      <c r="U1277" t="s">
        <v>104</v>
      </c>
      <c r="V1277" t="s">
        <v>653</v>
      </c>
      <c r="W1277">
        <v>590</v>
      </c>
      <c r="X1277">
        <v>29.99</v>
      </c>
      <c r="Y1277">
        <v>75</v>
      </c>
      <c r="Z1277">
        <v>429000</v>
      </c>
      <c r="AA1277">
        <v>250750</v>
      </c>
      <c r="AB1277">
        <v>180</v>
      </c>
      <c r="AD1277" t="s">
        <v>238</v>
      </c>
      <c r="AE1277">
        <v>2</v>
      </c>
      <c r="AF1277">
        <v>0</v>
      </c>
      <c r="AI1277">
        <v>30</v>
      </c>
      <c r="AJ1277">
        <v>70</v>
      </c>
      <c r="AK1277">
        <v>100</v>
      </c>
      <c r="AL1277">
        <v>425</v>
      </c>
      <c r="AM1277">
        <v>105</v>
      </c>
      <c r="AN1277">
        <v>0</v>
      </c>
      <c r="AO1277">
        <v>105</v>
      </c>
      <c r="AP1277" t="s">
        <v>69</v>
      </c>
      <c r="AT1277" t="s">
        <v>86</v>
      </c>
      <c r="AU1277" t="s">
        <v>86</v>
      </c>
      <c r="AV1277" t="s">
        <v>3846</v>
      </c>
      <c r="AW1277" t="s">
        <v>69</v>
      </c>
      <c r="AX1277" t="s">
        <v>126</v>
      </c>
      <c r="AY1277" t="s">
        <v>3847</v>
      </c>
      <c r="AZ1277" t="s">
        <v>243</v>
      </c>
      <c r="BA1277" t="s">
        <v>245</v>
      </c>
      <c r="BB1277" t="s">
        <v>244</v>
      </c>
      <c r="BC1277" t="s">
        <v>244</v>
      </c>
      <c r="BD1277" t="s">
        <v>3852</v>
      </c>
      <c r="BE1277" t="s">
        <v>3849</v>
      </c>
      <c r="BF1277" t="s">
        <v>971</v>
      </c>
      <c r="BG1277" t="s">
        <v>150</v>
      </c>
      <c r="BH1277" t="str">
        <f>IF(COUNTIF(工作表1!A:A, $C1277)&gt;0, "預購款", "非預購款")</f>
        <v>非預購款</v>
      </c>
    </row>
    <row r="1278" spans="1:60" x14ac:dyDescent="0.25">
      <c r="A1278" t="s">
        <v>3840</v>
      </c>
      <c r="B1278" t="s">
        <v>283</v>
      </c>
      <c r="C1278" t="s">
        <v>3841</v>
      </c>
      <c r="D1278" t="s">
        <v>3842</v>
      </c>
      <c r="E1278" t="s">
        <v>3843</v>
      </c>
      <c r="F1278" t="s">
        <v>184</v>
      </c>
      <c r="G1278" t="s">
        <v>3844</v>
      </c>
      <c r="H1278" t="s">
        <v>130</v>
      </c>
      <c r="I1278" t="s">
        <v>162</v>
      </c>
      <c r="J1278" t="s">
        <v>163</v>
      </c>
      <c r="K1278" t="s">
        <v>69</v>
      </c>
      <c r="L1278" t="s">
        <v>3845</v>
      </c>
      <c r="M1278" t="s">
        <v>71</v>
      </c>
      <c r="N1278" t="s">
        <v>198</v>
      </c>
      <c r="O1278" t="s">
        <v>1307</v>
      </c>
      <c r="P1278" t="s">
        <v>1308</v>
      </c>
      <c r="R1278" t="s">
        <v>1309</v>
      </c>
      <c r="S1278" t="s">
        <v>222</v>
      </c>
      <c r="T1278" t="s">
        <v>291</v>
      </c>
      <c r="U1278" t="s">
        <v>104</v>
      </c>
      <c r="V1278" t="s">
        <v>653</v>
      </c>
      <c r="W1278">
        <v>590</v>
      </c>
      <c r="X1278">
        <v>29.99</v>
      </c>
      <c r="Y1278">
        <v>75</v>
      </c>
      <c r="Z1278">
        <v>429000</v>
      </c>
      <c r="AA1278">
        <v>250750</v>
      </c>
      <c r="AB1278">
        <v>180</v>
      </c>
      <c r="AD1278" t="s">
        <v>238</v>
      </c>
      <c r="AE1278">
        <v>2</v>
      </c>
      <c r="AF1278">
        <v>0</v>
      </c>
      <c r="AI1278">
        <v>30</v>
      </c>
      <c r="AJ1278">
        <v>60</v>
      </c>
      <c r="AK1278">
        <v>90</v>
      </c>
      <c r="AL1278">
        <v>425</v>
      </c>
      <c r="AM1278">
        <v>95</v>
      </c>
      <c r="AN1278">
        <v>0</v>
      </c>
      <c r="AO1278">
        <v>95</v>
      </c>
      <c r="AP1278" t="s">
        <v>69</v>
      </c>
      <c r="AT1278" t="s">
        <v>86</v>
      </c>
      <c r="AU1278" t="s">
        <v>86</v>
      </c>
      <c r="AV1278" t="s">
        <v>3846</v>
      </c>
      <c r="AW1278" t="s">
        <v>69</v>
      </c>
      <c r="AX1278" t="s">
        <v>126</v>
      </c>
      <c r="AY1278" t="s">
        <v>3847</v>
      </c>
      <c r="AZ1278" t="s">
        <v>243</v>
      </c>
      <c r="BA1278" t="s">
        <v>245</v>
      </c>
      <c r="BB1278" t="s">
        <v>244</v>
      </c>
      <c r="BC1278" t="s">
        <v>244</v>
      </c>
      <c r="BD1278" t="s">
        <v>3853</v>
      </c>
      <c r="BE1278" t="s">
        <v>3849</v>
      </c>
      <c r="BF1278" t="s">
        <v>971</v>
      </c>
      <c r="BG1278" t="s">
        <v>150</v>
      </c>
      <c r="BH1278" t="str">
        <f>IF(COUNTIF(工作表1!A:A, $C1278)&gt;0, "預購款", "非預購款")</f>
        <v>非預購款</v>
      </c>
    </row>
    <row r="1279" spans="1:60" x14ac:dyDescent="0.25">
      <c r="A1279" t="s">
        <v>3840</v>
      </c>
      <c r="B1279" t="s">
        <v>283</v>
      </c>
      <c r="C1279" t="s">
        <v>3841</v>
      </c>
      <c r="D1279" t="s">
        <v>3842</v>
      </c>
      <c r="E1279" t="s">
        <v>3843</v>
      </c>
      <c r="F1279" t="s">
        <v>184</v>
      </c>
      <c r="G1279" t="s">
        <v>3844</v>
      </c>
      <c r="H1279" t="s">
        <v>132</v>
      </c>
      <c r="I1279" t="s">
        <v>162</v>
      </c>
      <c r="J1279" t="s">
        <v>163</v>
      </c>
      <c r="K1279" t="s">
        <v>69</v>
      </c>
      <c r="L1279" t="s">
        <v>3845</v>
      </c>
      <c r="M1279" t="s">
        <v>71</v>
      </c>
      <c r="N1279" t="s">
        <v>198</v>
      </c>
      <c r="O1279" t="s">
        <v>1307</v>
      </c>
      <c r="P1279" t="s">
        <v>1308</v>
      </c>
      <c r="R1279" t="s">
        <v>1309</v>
      </c>
      <c r="S1279" t="s">
        <v>222</v>
      </c>
      <c r="T1279" t="s">
        <v>291</v>
      </c>
      <c r="U1279" t="s">
        <v>104</v>
      </c>
      <c r="V1279" t="s">
        <v>653</v>
      </c>
      <c r="W1279">
        <v>590</v>
      </c>
      <c r="X1279">
        <v>29.99</v>
      </c>
      <c r="Y1279">
        <v>75</v>
      </c>
      <c r="Z1279">
        <v>429000</v>
      </c>
      <c r="AA1279">
        <v>250750</v>
      </c>
      <c r="AB1279">
        <v>180</v>
      </c>
      <c r="AD1279" t="s">
        <v>238</v>
      </c>
      <c r="AE1279">
        <v>2</v>
      </c>
      <c r="AF1279">
        <v>0</v>
      </c>
      <c r="AI1279">
        <v>20</v>
      </c>
      <c r="AJ1279">
        <v>20</v>
      </c>
      <c r="AK1279">
        <v>40</v>
      </c>
      <c r="AL1279">
        <v>425</v>
      </c>
      <c r="AM1279">
        <v>45</v>
      </c>
      <c r="AN1279">
        <v>0</v>
      </c>
      <c r="AO1279">
        <v>45</v>
      </c>
      <c r="AP1279" t="s">
        <v>69</v>
      </c>
      <c r="AT1279" t="s">
        <v>86</v>
      </c>
      <c r="AU1279" t="s">
        <v>86</v>
      </c>
      <c r="AV1279" t="s">
        <v>3846</v>
      </c>
      <c r="AW1279" t="s">
        <v>69</v>
      </c>
      <c r="AX1279" t="s">
        <v>126</v>
      </c>
      <c r="AY1279" t="s">
        <v>3847</v>
      </c>
      <c r="AZ1279" t="s">
        <v>243</v>
      </c>
      <c r="BA1279" t="s">
        <v>245</v>
      </c>
      <c r="BB1279" t="s">
        <v>244</v>
      </c>
      <c r="BC1279" t="s">
        <v>244</v>
      </c>
      <c r="BD1279" t="s">
        <v>3854</v>
      </c>
      <c r="BE1279" t="s">
        <v>3849</v>
      </c>
      <c r="BF1279" t="s">
        <v>971</v>
      </c>
      <c r="BG1279" t="s">
        <v>150</v>
      </c>
      <c r="BH1279" t="str">
        <f>IF(COUNTIF(工作表1!A:A, $C1279)&gt;0, "預購款", "非預購款")</f>
        <v>非預購款</v>
      </c>
    </row>
    <row r="1280" spans="1:60" x14ac:dyDescent="0.25">
      <c r="A1280" t="s">
        <v>3023</v>
      </c>
      <c r="B1280" t="s">
        <v>301</v>
      </c>
      <c r="C1280" t="s">
        <v>3024</v>
      </c>
      <c r="D1280" t="s">
        <v>3025</v>
      </c>
      <c r="E1280" t="s">
        <v>3026</v>
      </c>
      <c r="F1280" t="s">
        <v>184</v>
      </c>
      <c r="G1280" t="s">
        <v>3027</v>
      </c>
      <c r="H1280" t="s">
        <v>119</v>
      </c>
      <c r="I1280" t="s">
        <v>97</v>
      </c>
      <c r="J1280" t="s">
        <v>98</v>
      </c>
      <c r="K1280" t="s">
        <v>69</v>
      </c>
      <c r="L1280" t="s">
        <v>3028</v>
      </c>
      <c r="M1280" t="s">
        <v>71</v>
      </c>
      <c r="N1280" t="s">
        <v>100</v>
      </c>
      <c r="O1280" t="s">
        <v>2597</v>
      </c>
      <c r="P1280" t="s">
        <v>2598</v>
      </c>
      <c r="R1280" t="s">
        <v>2599</v>
      </c>
      <c r="S1280" t="s">
        <v>222</v>
      </c>
      <c r="T1280" t="s">
        <v>76</v>
      </c>
      <c r="U1280" t="s">
        <v>104</v>
      </c>
      <c r="V1280" t="s">
        <v>1674</v>
      </c>
      <c r="W1280">
        <v>490</v>
      </c>
      <c r="X1280">
        <v>22.99</v>
      </c>
      <c r="Y1280">
        <v>60</v>
      </c>
      <c r="Z1280">
        <v>355000</v>
      </c>
      <c r="AA1280">
        <v>83300</v>
      </c>
      <c r="AB1280">
        <v>164</v>
      </c>
      <c r="AD1280" t="s">
        <v>238</v>
      </c>
      <c r="AE1280">
        <v>1</v>
      </c>
      <c r="AF1280">
        <v>0</v>
      </c>
      <c r="AI1280">
        <v>0</v>
      </c>
      <c r="AJ1280">
        <v>80</v>
      </c>
      <c r="AK1280">
        <v>80</v>
      </c>
      <c r="AL1280">
        <v>170</v>
      </c>
      <c r="AM1280">
        <v>83</v>
      </c>
      <c r="AN1280">
        <v>0</v>
      </c>
      <c r="AO1280">
        <v>83</v>
      </c>
      <c r="AP1280" t="s">
        <v>69</v>
      </c>
      <c r="AR1280" t="s">
        <v>86</v>
      </c>
      <c r="AS1280" t="s">
        <v>86</v>
      </c>
      <c r="AT1280" t="s">
        <v>240</v>
      </c>
      <c r="AU1280" t="s">
        <v>86</v>
      </c>
      <c r="AV1280" t="s">
        <v>81</v>
      </c>
      <c r="AW1280" t="s">
        <v>69</v>
      </c>
      <c r="AX1280" t="s">
        <v>126</v>
      </c>
      <c r="AY1280" t="s">
        <v>747</v>
      </c>
      <c r="AZ1280" t="s">
        <v>245</v>
      </c>
      <c r="BA1280" t="s">
        <v>245</v>
      </c>
      <c r="BB1280" t="s">
        <v>264</v>
      </c>
      <c r="BC1280" t="s">
        <v>264</v>
      </c>
      <c r="BD1280" t="s">
        <v>3029</v>
      </c>
      <c r="BE1280" t="s">
        <v>3855</v>
      </c>
      <c r="BF1280" t="s">
        <v>86</v>
      </c>
      <c r="BG1280" t="s">
        <v>110</v>
      </c>
      <c r="BH1280" t="str">
        <f>IF(COUNTIF(工作表1!A:A, $C1280)&gt;0, "預購款", "非預購款")</f>
        <v>非預購款</v>
      </c>
    </row>
    <row r="1281" spans="1:60" x14ac:dyDescent="0.25">
      <c r="A1281" t="s">
        <v>3023</v>
      </c>
      <c r="B1281" t="s">
        <v>301</v>
      </c>
      <c r="C1281" t="s">
        <v>3024</v>
      </c>
      <c r="D1281" t="s">
        <v>3025</v>
      </c>
      <c r="E1281" t="s">
        <v>3026</v>
      </c>
      <c r="F1281" t="s">
        <v>184</v>
      </c>
      <c r="G1281" t="s">
        <v>3027</v>
      </c>
      <c r="H1281" t="s">
        <v>130</v>
      </c>
      <c r="I1281" t="s">
        <v>97</v>
      </c>
      <c r="J1281" t="s">
        <v>98</v>
      </c>
      <c r="K1281" t="s">
        <v>69</v>
      </c>
      <c r="L1281" t="s">
        <v>3028</v>
      </c>
      <c r="M1281" t="s">
        <v>71</v>
      </c>
      <c r="N1281" t="s">
        <v>100</v>
      </c>
      <c r="O1281" t="s">
        <v>2597</v>
      </c>
      <c r="P1281" t="s">
        <v>2598</v>
      </c>
      <c r="R1281" t="s">
        <v>2599</v>
      </c>
      <c r="S1281" t="s">
        <v>222</v>
      </c>
      <c r="T1281" t="s">
        <v>76</v>
      </c>
      <c r="U1281" t="s">
        <v>104</v>
      </c>
      <c r="V1281" t="s">
        <v>1674</v>
      </c>
      <c r="W1281">
        <v>490</v>
      </c>
      <c r="X1281">
        <v>22.99</v>
      </c>
      <c r="Y1281">
        <v>60</v>
      </c>
      <c r="Z1281">
        <v>355000</v>
      </c>
      <c r="AA1281">
        <v>83300</v>
      </c>
      <c r="AB1281">
        <v>164</v>
      </c>
      <c r="AD1281" t="s">
        <v>238</v>
      </c>
      <c r="AE1281">
        <v>1</v>
      </c>
      <c r="AF1281">
        <v>0</v>
      </c>
      <c r="AI1281">
        <v>0</v>
      </c>
      <c r="AJ1281">
        <v>70</v>
      </c>
      <c r="AK1281">
        <v>70</v>
      </c>
      <c r="AL1281">
        <v>170</v>
      </c>
      <c r="AM1281">
        <v>75</v>
      </c>
      <c r="AN1281">
        <v>0</v>
      </c>
      <c r="AO1281">
        <v>75</v>
      </c>
      <c r="AP1281" t="s">
        <v>69</v>
      </c>
      <c r="AR1281" t="s">
        <v>86</v>
      </c>
      <c r="AS1281" t="s">
        <v>86</v>
      </c>
      <c r="AT1281" t="s">
        <v>240</v>
      </c>
      <c r="AU1281" t="s">
        <v>86</v>
      </c>
      <c r="AV1281" t="s">
        <v>81</v>
      </c>
      <c r="AW1281" t="s">
        <v>69</v>
      </c>
      <c r="AX1281" t="s">
        <v>126</v>
      </c>
      <c r="AY1281" t="s">
        <v>747</v>
      </c>
      <c r="AZ1281" t="s">
        <v>245</v>
      </c>
      <c r="BA1281" t="s">
        <v>245</v>
      </c>
      <c r="BB1281" t="s">
        <v>264</v>
      </c>
      <c r="BC1281" t="s">
        <v>264</v>
      </c>
      <c r="BD1281" t="s">
        <v>3030</v>
      </c>
      <c r="BE1281" t="s">
        <v>3855</v>
      </c>
      <c r="BF1281" t="s">
        <v>86</v>
      </c>
      <c r="BG1281" t="s">
        <v>110</v>
      </c>
      <c r="BH1281" t="str">
        <f>IF(COUNTIF(工作表1!A:A, $C1281)&gt;0, "預購款", "非預購款")</f>
        <v>非預購款</v>
      </c>
    </row>
    <row r="1282" spans="1:60" x14ac:dyDescent="0.25">
      <c r="A1282" t="s">
        <v>3023</v>
      </c>
      <c r="B1282" t="s">
        <v>301</v>
      </c>
      <c r="C1282" t="s">
        <v>3024</v>
      </c>
      <c r="D1282" t="s">
        <v>3025</v>
      </c>
      <c r="E1282" t="s">
        <v>3026</v>
      </c>
      <c r="F1282" t="s">
        <v>184</v>
      </c>
      <c r="G1282" t="s">
        <v>3027</v>
      </c>
      <c r="H1282" t="s">
        <v>132</v>
      </c>
      <c r="I1282" t="s">
        <v>97</v>
      </c>
      <c r="J1282" t="s">
        <v>98</v>
      </c>
      <c r="K1282" t="s">
        <v>69</v>
      </c>
      <c r="L1282" t="s">
        <v>3028</v>
      </c>
      <c r="M1282" t="s">
        <v>71</v>
      </c>
      <c r="N1282" t="s">
        <v>100</v>
      </c>
      <c r="O1282" t="s">
        <v>2597</v>
      </c>
      <c r="P1282" t="s">
        <v>2598</v>
      </c>
      <c r="R1282" t="s">
        <v>2599</v>
      </c>
      <c r="S1282" t="s">
        <v>222</v>
      </c>
      <c r="T1282" t="s">
        <v>76</v>
      </c>
      <c r="U1282" t="s">
        <v>104</v>
      </c>
      <c r="V1282" t="s">
        <v>1674</v>
      </c>
      <c r="W1282">
        <v>490</v>
      </c>
      <c r="X1282">
        <v>22.99</v>
      </c>
      <c r="Y1282">
        <v>60</v>
      </c>
      <c r="Z1282">
        <v>355000</v>
      </c>
      <c r="AA1282">
        <v>83300</v>
      </c>
      <c r="AB1282">
        <v>164</v>
      </c>
      <c r="AD1282" t="s">
        <v>238</v>
      </c>
      <c r="AE1282">
        <v>1</v>
      </c>
      <c r="AF1282">
        <v>0</v>
      </c>
      <c r="AI1282">
        <v>0</v>
      </c>
      <c r="AJ1282">
        <v>20</v>
      </c>
      <c r="AK1282">
        <v>20</v>
      </c>
      <c r="AL1282">
        <v>170</v>
      </c>
      <c r="AM1282">
        <v>28</v>
      </c>
      <c r="AN1282">
        <v>0</v>
      </c>
      <c r="AO1282">
        <v>28</v>
      </c>
      <c r="AP1282" t="s">
        <v>69</v>
      </c>
      <c r="AR1282" t="s">
        <v>86</v>
      </c>
      <c r="AS1282" t="s">
        <v>86</v>
      </c>
      <c r="AT1282" t="s">
        <v>240</v>
      </c>
      <c r="AU1282" t="s">
        <v>86</v>
      </c>
      <c r="AV1282" t="s">
        <v>81</v>
      </c>
      <c r="AW1282" t="s">
        <v>69</v>
      </c>
      <c r="AX1282" t="s">
        <v>126</v>
      </c>
      <c r="AY1282" t="s">
        <v>747</v>
      </c>
      <c r="AZ1282" t="s">
        <v>245</v>
      </c>
      <c r="BA1282" t="s">
        <v>245</v>
      </c>
      <c r="BB1282" t="s">
        <v>264</v>
      </c>
      <c r="BC1282" t="s">
        <v>264</v>
      </c>
      <c r="BD1282" t="s">
        <v>3031</v>
      </c>
      <c r="BE1282" t="s">
        <v>3855</v>
      </c>
      <c r="BF1282" t="s">
        <v>86</v>
      </c>
      <c r="BG1282" t="s">
        <v>110</v>
      </c>
      <c r="BH1282" t="str">
        <f>IF(COUNTIF(工作表1!A:A, $C1282)&gt;0, "預購款", "非預購款")</f>
        <v>非預購款</v>
      </c>
    </row>
    <row r="1283" spans="1:60" x14ac:dyDescent="0.25">
      <c r="A1283" t="s">
        <v>3856</v>
      </c>
      <c r="B1283" t="s">
        <v>301</v>
      </c>
      <c r="C1283" t="s">
        <v>3857</v>
      </c>
      <c r="D1283" t="s">
        <v>3858</v>
      </c>
      <c r="E1283" t="s">
        <v>3859</v>
      </c>
      <c r="F1283" t="s">
        <v>184</v>
      </c>
      <c r="G1283" t="s">
        <v>3860</v>
      </c>
      <c r="H1283" t="s">
        <v>273</v>
      </c>
      <c r="I1283" t="s">
        <v>111</v>
      </c>
      <c r="J1283" t="s">
        <v>112</v>
      </c>
      <c r="K1283" t="s">
        <v>69</v>
      </c>
      <c r="L1283" t="s">
        <v>3861</v>
      </c>
      <c r="M1283" t="s">
        <v>71</v>
      </c>
      <c r="N1283" t="s">
        <v>198</v>
      </c>
      <c r="O1283" t="s">
        <v>3439</v>
      </c>
      <c r="P1283" t="s">
        <v>3440</v>
      </c>
      <c r="R1283" t="s">
        <v>1095</v>
      </c>
      <c r="S1283" t="s">
        <v>222</v>
      </c>
      <c r="T1283" t="s">
        <v>274</v>
      </c>
      <c r="U1283" t="s">
        <v>104</v>
      </c>
      <c r="V1283" t="s">
        <v>3862</v>
      </c>
      <c r="W1283">
        <v>890</v>
      </c>
      <c r="X1283">
        <v>39.99</v>
      </c>
      <c r="Y1283">
        <v>115</v>
      </c>
      <c r="Z1283">
        <v>639000</v>
      </c>
      <c r="AA1283">
        <v>244750</v>
      </c>
      <c r="AB1283">
        <v>280</v>
      </c>
      <c r="AD1283" t="s">
        <v>238</v>
      </c>
      <c r="AE1283">
        <v>2</v>
      </c>
      <c r="AF1283">
        <v>0</v>
      </c>
      <c r="AI1283">
        <v>30</v>
      </c>
      <c r="AJ1283">
        <v>40</v>
      </c>
      <c r="AK1283">
        <v>70</v>
      </c>
      <c r="AL1283">
        <v>275</v>
      </c>
      <c r="AM1283">
        <v>0</v>
      </c>
      <c r="AN1283">
        <v>0</v>
      </c>
      <c r="AO1283">
        <v>0</v>
      </c>
      <c r="AP1283" t="s">
        <v>69</v>
      </c>
      <c r="AT1283" t="s">
        <v>261</v>
      </c>
      <c r="AU1283" t="s">
        <v>261</v>
      </c>
      <c r="AV1283" t="s">
        <v>3863</v>
      </c>
      <c r="AW1283" t="s">
        <v>69</v>
      </c>
      <c r="AX1283" t="s">
        <v>738</v>
      </c>
      <c r="AY1283" t="s">
        <v>3864</v>
      </c>
      <c r="AZ1283" t="s">
        <v>243</v>
      </c>
      <c r="BA1283" t="s">
        <v>244</v>
      </c>
      <c r="BB1283" t="s">
        <v>244</v>
      </c>
      <c r="BC1283" t="s">
        <v>244</v>
      </c>
      <c r="BD1283" t="s">
        <v>3865</v>
      </c>
      <c r="BE1283" t="s">
        <v>3866</v>
      </c>
      <c r="BF1283" t="s">
        <v>279</v>
      </c>
      <c r="BG1283" t="s">
        <v>110</v>
      </c>
      <c r="BH1283" t="str">
        <f>IF(COUNTIF(工作表1!A:A, $C1283)&gt;0, "預購款", "非預購款")</f>
        <v>非預購款</v>
      </c>
    </row>
    <row r="1284" spans="1:60" x14ac:dyDescent="0.25">
      <c r="A1284" t="s">
        <v>3856</v>
      </c>
      <c r="B1284" t="s">
        <v>301</v>
      </c>
      <c r="C1284" t="s">
        <v>3857</v>
      </c>
      <c r="D1284" t="s">
        <v>3858</v>
      </c>
      <c r="E1284" t="s">
        <v>3859</v>
      </c>
      <c r="F1284" t="s">
        <v>184</v>
      </c>
      <c r="G1284" t="s">
        <v>3860</v>
      </c>
      <c r="H1284" t="s">
        <v>501</v>
      </c>
      <c r="I1284" t="s">
        <v>111</v>
      </c>
      <c r="J1284" t="s">
        <v>112</v>
      </c>
      <c r="K1284" t="s">
        <v>69</v>
      </c>
      <c r="L1284" t="s">
        <v>3861</v>
      </c>
      <c r="M1284" t="s">
        <v>71</v>
      </c>
      <c r="N1284" t="s">
        <v>198</v>
      </c>
      <c r="O1284" t="s">
        <v>3439</v>
      </c>
      <c r="P1284" t="s">
        <v>3440</v>
      </c>
      <c r="R1284" t="s">
        <v>1095</v>
      </c>
      <c r="S1284" t="s">
        <v>222</v>
      </c>
      <c r="T1284" t="s">
        <v>274</v>
      </c>
      <c r="U1284" t="s">
        <v>104</v>
      </c>
      <c r="V1284" t="s">
        <v>3862</v>
      </c>
      <c r="W1284">
        <v>890</v>
      </c>
      <c r="X1284">
        <v>39.99</v>
      </c>
      <c r="Y1284">
        <v>115</v>
      </c>
      <c r="Z1284">
        <v>639000</v>
      </c>
      <c r="AA1284">
        <v>244750</v>
      </c>
      <c r="AB1284">
        <v>280</v>
      </c>
      <c r="AD1284" t="s">
        <v>238</v>
      </c>
      <c r="AE1284">
        <v>2</v>
      </c>
      <c r="AF1284">
        <v>0</v>
      </c>
      <c r="AI1284">
        <v>10</v>
      </c>
      <c r="AJ1284">
        <v>10</v>
      </c>
      <c r="AK1284">
        <v>20</v>
      </c>
      <c r="AL1284">
        <v>275</v>
      </c>
      <c r="AM1284">
        <v>0</v>
      </c>
      <c r="AN1284">
        <v>0</v>
      </c>
      <c r="AO1284">
        <v>0</v>
      </c>
      <c r="AP1284" t="s">
        <v>69</v>
      </c>
      <c r="AT1284" t="s">
        <v>261</v>
      </c>
      <c r="AU1284" t="s">
        <v>261</v>
      </c>
      <c r="AV1284" t="s">
        <v>3863</v>
      </c>
      <c r="AW1284" t="s">
        <v>69</v>
      </c>
      <c r="AX1284" t="s">
        <v>738</v>
      </c>
      <c r="AY1284" t="s">
        <v>3864</v>
      </c>
      <c r="AZ1284" t="s">
        <v>243</v>
      </c>
      <c r="BA1284" t="s">
        <v>244</v>
      </c>
      <c r="BB1284" t="s">
        <v>244</v>
      </c>
      <c r="BC1284" t="s">
        <v>244</v>
      </c>
      <c r="BD1284" t="s">
        <v>3867</v>
      </c>
      <c r="BE1284" t="s">
        <v>3866</v>
      </c>
      <c r="BF1284" t="s">
        <v>279</v>
      </c>
      <c r="BG1284" t="s">
        <v>110</v>
      </c>
      <c r="BH1284" t="str">
        <f>IF(COUNTIF(工作表1!A:A, $C1284)&gt;0, "預購款", "非預購款")</f>
        <v>非預購款</v>
      </c>
    </row>
    <row r="1285" spans="1:60" x14ac:dyDescent="0.25">
      <c r="A1285" t="s">
        <v>3856</v>
      </c>
      <c r="B1285" t="s">
        <v>301</v>
      </c>
      <c r="C1285" t="s">
        <v>3857</v>
      </c>
      <c r="D1285" t="s">
        <v>3858</v>
      </c>
      <c r="E1285" t="s">
        <v>3859</v>
      </c>
      <c r="F1285" t="s">
        <v>184</v>
      </c>
      <c r="G1285" t="s">
        <v>3860</v>
      </c>
      <c r="H1285" t="s">
        <v>280</v>
      </c>
      <c r="I1285" t="s">
        <v>111</v>
      </c>
      <c r="J1285" t="s">
        <v>112</v>
      </c>
      <c r="K1285" t="s">
        <v>69</v>
      </c>
      <c r="L1285" t="s">
        <v>3861</v>
      </c>
      <c r="M1285" t="s">
        <v>71</v>
      </c>
      <c r="N1285" t="s">
        <v>198</v>
      </c>
      <c r="O1285" t="s">
        <v>3439</v>
      </c>
      <c r="P1285" t="s">
        <v>3440</v>
      </c>
      <c r="R1285" t="s">
        <v>1095</v>
      </c>
      <c r="S1285" t="s">
        <v>222</v>
      </c>
      <c r="T1285" t="s">
        <v>274</v>
      </c>
      <c r="U1285" t="s">
        <v>104</v>
      </c>
      <c r="V1285" t="s">
        <v>3862</v>
      </c>
      <c r="W1285">
        <v>890</v>
      </c>
      <c r="X1285">
        <v>39.99</v>
      </c>
      <c r="Y1285">
        <v>115</v>
      </c>
      <c r="Z1285">
        <v>639000</v>
      </c>
      <c r="AA1285">
        <v>244750</v>
      </c>
      <c r="AB1285">
        <v>280</v>
      </c>
      <c r="AD1285" t="s">
        <v>238</v>
      </c>
      <c r="AE1285">
        <v>2</v>
      </c>
      <c r="AF1285">
        <v>0</v>
      </c>
      <c r="AI1285">
        <v>20</v>
      </c>
      <c r="AJ1285">
        <v>25</v>
      </c>
      <c r="AK1285">
        <v>45</v>
      </c>
      <c r="AL1285">
        <v>275</v>
      </c>
      <c r="AM1285">
        <v>0</v>
      </c>
      <c r="AN1285">
        <v>0</v>
      </c>
      <c r="AO1285">
        <v>0</v>
      </c>
      <c r="AP1285" t="s">
        <v>69</v>
      </c>
      <c r="AT1285" t="s">
        <v>261</v>
      </c>
      <c r="AU1285" t="s">
        <v>261</v>
      </c>
      <c r="AV1285" t="s">
        <v>3863</v>
      </c>
      <c r="AW1285" t="s">
        <v>69</v>
      </c>
      <c r="AX1285" t="s">
        <v>738</v>
      </c>
      <c r="AY1285" t="s">
        <v>3864</v>
      </c>
      <c r="AZ1285" t="s">
        <v>243</v>
      </c>
      <c r="BA1285" t="s">
        <v>244</v>
      </c>
      <c r="BB1285" t="s">
        <v>244</v>
      </c>
      <c r="BC1285" t="s">
        <v>244</v>
      </c>
      <c r="BD1285" t="s">
        <v>3868</v>
      </c>
      <c r="BE1285" t="s">
        <v>3866</v>
      </c>
      <c r="BF1285" t="s">
        <v>279</v>
      </c>
      <c r="BG1285" t="s">
        <v>110</v>
      </c>
      <c r="BH1285" t="str">
        <f>IF(COUNTIF(工作表1!A:A, $C1285)&gt;0, "預購款", "非預購款")</f>
        <v>非預購款</v>
      </c>
    </row>
    <row r="1286" spans="1:60" x14ac:dyDescent="0.25">
      <c r="A1286" t="s">
        <v>3856</v>
      </c>
      <c r="B1286" t="s">
        <v>301</v>
      </c>
      <c r="C1286" t="s">
        <v>3857</v>
      </c>
      <c r="D1286" t="s">
        <v>3858</v>
      </c>
      <c r="E1286" t="s">
        <v>3859</v>
      </c>
      <c r="F1286" t="s">
        <v>184</v>
      </c>
      <c r="G1286" t="s">
        <v>3860</v>
      </c>
      <c r="H1286" t="s">
        <v>273</v>
      </c>
      <c r="I1286" t="s">
        <v>134</v>
      </c>
      <c r="J1286" t="s">
        <v>135</v>
      </c>
      <c r="K1286" t="s">
        <v>69</v>
      </c>
      <c r="L1286" t="s">
        <v>3861</v>
      </c>
      <c r="M1286" t="s">
        <v>71</v>
      </c>
      <c r="N1286" t="s">
        <v>198</v>
      </c>
      <c r="O1286" t="s">
        <v>3439</v>
      </c>
      <c r="P1286" t="s">
        <v>3440</v>
      </c>
      <c r="R1286" t="s">
        <v>1095</v>
      </c>
      <c r="S1286" t="s">
        <v>222</v>
      </c>
      <c r="T1286" t="s">
        <v>274</v>
      </c>
      <c r="U1286" t="s">
        <v>104</v>
      </c>
      <c r="V1286" t="s">
        <v>3862</v>
      </c>
      <c r="W1286">
        <v>890</v>
      </c>
      <c r="X1286">
        <v>39.99</v>
      </c>
      <c r="Y1286">
        <v>115</v>
      </c>
      <c r="Z1286">
        <v>639000</v>
      </c>
      <c r="AA1286">
        <v>244750</v>
      </c>
      <c r="AB1286">
        <v>280</v>
      </c>
      <c r="AD1286" t="s">
        <v>238</v>
      </c>
      <c r="AE1286">
        <v>2</v>
      </c>
      <c r="AF1286">
        <v>0</v>
      </c>
      <c r="AI1286">
        <v>35</v>
      </c>
      <c r="AJ1286">
        <v>40</v>
      </c>
      <c r="AK1286">
        <v>75</v>
      </c>
      <c r="AL1286">
        <v>275</v>
      </c>
      <c r="AM1286">
        <v>0</v>
      </c>
      <c r="AN1286">
        <v>0</v>
      </c>
      <c r="AO1286">
        <v>0</v>
      </c>
      <c r="AP1286" t="s">
        <v>69</v>
      </c>
      <c r="AT1286" t="s">
        <v>261</v>
      </c>
      <c r="AU1286" t="s">
        <v>261</v>
      </c>
      <c r="AV1286" t="s">
        <v>3863</v>
      </c>
      <c r="AW1286" t="s">
        <v>69</v>
      </c>
      <c r="AX1286" t="s">
        <v>738</v>
      </c>
      <c r="AY1286" t="s">
        <v>3864</v>
      </c>
      <c r="AZ1286" t="s">
        <v>243</v>
      </c>
      <c r="BA1286" t="s">
        <v>244</v>
      </c>
      <c r="BB1286" t="s">
        <v>244</v>
      </c>
      <c r="BC1286" t="s">
        <v>244</v>
      </c>
      <c r="BD1286" t="s">
        <v>3869</v>
      </c>
      <c r="BE1286" t="s">
        <v>3866</v>
      </c>
      <c r="BF1286" t="s">
        <v>279</v>
      </c>
      <c r="BG1286" t="s">
        <v>110</v>
      </c>
      <c r="BH1286" t="str">
        <f>IF(COUNTIF(工作表1!A:A, $C1286)&gt;0, "預購款", "非預購款")</f>
        <v>非預購款</v>
      </c>
    </row>
    <row r="1287" spans="1:60" x14ac:dyDescent="0.25">
      <c r="A1287" t="s">
        <v>3856</v>
      </c>
      <c r="B1287" t="s">
        <v>301</v>
      </c>
      <c r="C1287" t="s">
        <v>3857</v>
      </c>
      <c r="D1287" t="s">
        <v>3858</v>
      </c>
      <c r="E1287" t="s">
        <v>3859</v>
      </c>
      <c r="F1287" t="s">
        <v>184</v>
      </c>
      <c r="G1287" t="s">
        <v>3860</v>
      </c>
      <c r="H1287" t="s">
        <v>501</v>
      </c>
      <c r="I1287" t="s">
        <v>134</v>
      </c>
      <c r="J1287" t="s">
        <v>135</v>
      </c>
      <c r="K1287" t="s">
        <v>69</v>
      </c>
      <c r="L1287" t="s">
        <v>3861</v>
      </c>
      <c r="M1287" t="s">
        <v>71</v>
      </c>
      <c r="N1287" t="s">
        <v>198</v>
      </c>
      <c r="O1287" t="s">
        <v>3439</v>
      </c>
      <c r="P1287" t="s">
        <v>3440</v>
      </c>
      <c r="R1287" t="s">
        <v>1095</v>
      </c>
      <c r="S1287" t="s">
        <v>222</v>
      </c>
      <c r="T1287" t="s">
        <v>274</v>
      </c>
      <c r="U1287" t="s">
        <v>104</v>
      </c>
      <c r="V1287" t="s">
        <v>3862</v>
      </c>
      <c r="W1287">
        <v>890</v>
      </c>
      <c r="X1287">
        <v>39.99</v>
      </c>
      <c r="Y1287">
        <v>115</v>
      </c>
      <c r="Z1287">
        <v>639000</v>
      </c>
      <c r="AA1287">
        <v>244750</v>
      </c>
      <c r="AB1287">
        <v>280</v>
      </c>
      <c r="AD1287" t="s">
        <v>238</v>
      </c>
      <c r="AE1287">
        <v>2</v>
      </c>
      <c r="AF1287">
        <v>0</v>
      </c>
      <c r="AI1287">
        <v>10</v>
      </c>
      <c r="AJ1287">
        <v>10</v>
      </c>
      <c r="AK1287">
        <v>20</v>
      </c>
      <c r="AL1287">
        <v>275</v>
      </c>
      <c r="AM1287">
        <v>0</v>
      </c>
      <c r="AN1287">
        <v>0</v>
      </c>
      <c r="AO1287">
        <v>0</v>
      </c>
      <c r="AP1287" t="s">
        <v>69</v>
      </c>
      <c r="AT1287" t="s">
        <v>261</v>
      </c>
      <c r="AU1287" t="s">
        <v>261</v>
      </c>
      <c r="AV1287" t="s">
        <v>3863</v>
      </c>
      <c r="AW1287" t="s">
        <v>69</v>
      </c>
      <c r="AX1287" t="s">
        <v>738</v>
      </c>
      <c r="AY1287" t="s">
        <v>3864</v>
      </c>
      <c r="AZ1287" t="s">
        <v>243</v>
      </c>
      <c r="BA1287" t="s">
        <v>244</v>
      </c>
      <c r="BB1287" t="s">
        <v>244</v>
      </c>
      <c r="BC1287" t="s">
        <v>244</v>
      </c>
      <c r="BD1287" t="s">
        <v>3870</v>
      </c>
      <c r="BE1287" t="s">
        <v>3866</v>
      </c>
      <c r="BF1287" t="s">
        <v>279</v>
      </c>
      <c r="BG1287" t="s">
        <v>110</v>
      </c>
      <c r="BH1287" t="str">
        <f>IF(COUNTIF(工作表1!A:A, $C1287)&gt;0, "預購款", "非預購款")</f>
        <v>非預購款</v>
      </c>
    </row>
    <row r="1288" spans="1:60" x14ac:dyDescent="0.25">
      <c r="A1288" t="s">
        <v>3856</v>
      </c>
      <c r="B1288" t="s">
        <v>301</v>
      </c>
      <c r="C1288" t="s">
        <v>3857</v>
      </c>
      <c r="D1288" t="s">
        <v>3858</v>
      </c>
      <c r="E1288" t="s">
        <v>3859</v>
      </c>
      <c r="F1288" t="s">
        <v>184</v>
      </c>
      <c r="G1288" t="s">
        <v>3860</v>
      </c>
      <c r="H1288" t="s">
        <v>280</v>
      </c>
      <c r="I1288" t="s">
        <v>134</v>
      </c>
      <c r="J1288" t="s">
        <v>135</v>
      </c>
      <c r="K1288" t="s">
        <v>69</v>
      </c>
      <c r="L1288" t="s">
        <v>3861</v>
      </c>
      <c r="M1288" t="s">
        <v>71</v>
      </c>
      <c r="N1288" t="s">
        <v>198</v>
      </c>
      <c r="O1288" t="s">
        <v>3439</v>
      </c>
      <c r="P1288" t="s">
        <v>3440</v>
      </c>
      <c r="R1288" t="s">
        <v>1095</v>
      </c>
      <c r="S1288" t="s">
        <v>222</v>
      </c>
      <c r="T1288" t="s">
        <v>274</v>
      </c>
      <c r="U1288" t="s">
        <v>104</v>
      </c>
      <c r="V1288" t="s">
        <v>3862</v>
      </c>
      <c r="W1288">
        <v>890</v>
      </c>
      <c r="X1288">
        <v>39.99</v>
      </c>
      <c r="Y1288">
        <v>115</v>
      </c>
      <c r="Z1288">
        <v>639000</v>
      </c>
      <c r="AA1288">
        <v>244750</v>
      </c>
      <c r="AB1288">
        <v>280</v>
      </c>
      <c r="AD1288" t="s">
        <v>238</v>
      </c>
      <c r="AE1288">
        <v>2</v>
      </c>
      <c r="AF1288">
        <v>0</v>
      </c>
      <c r="AI1288">
        <v>20</v>
      </c>
      <c r="AJ1288">
        <v>25</v>
      </c>
      <c r="AK1288">
        <v>45</v>
      </c>
      <c r="AL1288">
        <v>275</v>
      </c>
      <c r="AM1288">
        <v>0</v>
      </c>
      <c r="AN1288">
        <v>0</v>
      </c>
      <c r="AO1288">
        <v>0</v>
      </c>
      <c r="AP1288" t="s">
        <v>69</v>
      </c>
      <c r="AT1288" t="s">
        <v>261</v>
      </c>
      <c r="AU1288" t="s">
        <v>261</v>
      </c>
      <c r="AV1288" t="s">
        <v>3863</v>
      </c>
      <c r="AW1288" t="s">
        <v>69</v>
      </c>
      <c r="AX1288" t="s">
        <v>738</v>
      </c>
      <c r="AY1288" t="s">
        <v>3864</v>
      </c>
      <c r="AZ1288" t="s">
        <v>243</v>
      </c>
      <c r="BA1288" t="s">
        <v>244</v>
      </c>
      <c r="BB1288" t="s">
        <v>244</v>
      </c>
      <c r="BC1288" t="s">
        <v>244</v>
      </c>
      <c r="BD1288" t="s">
        <v>3871</v>
      </c>
      <c r="BE1288" t="s">
        <v>3866</v>
      </c>
      <c r="BF1288" t="s">
        <v>279</v>
      </c>
      <c r="BG1288" t="s">
        <v>110</v>
      </c>
      <c r="BH1288" t="str">
        <f>IF(COUNTIF(工作表1!A:A, $C1288)&gt;0, "預購款", "非預購款")</f>
        <v>非預購款</v>
      </c>
    </row>
    <row r="1289" spans="1:60" x14ac:dyDescent="0.25">
      <c r="A1289" t="s">
        <v>3872</v>
      </c>
      <c r="B1289" t="s">
        <v>315</v>
      </c>
      <c r="C1289" t="s">
        <v>3873</v>
      </c>
      <c r="D1289" t="s">
        <v>3874</v>
      </c>
      <c r="E1289" t="s">
        <v>3875</v>
      </c>
      <c r="F1289" t="s">
        <v>184</v>
      </c>
      <c r="G1289" t="s">
        <v>3876</v>
      </c>
      <c r="H1289" t="s">
        <v>119</v>
      </c>
      <c r="I1289" t="s">
        <v>120</v>
      </c>
      <c r="J1289" t="s">
        <v>121</v>
      </c>
      <c r="K1289" t="s">
        <v>69</v>
      </c>
      <c r="L1289" t="s">
        <v>3877</v>
      </c>
      <c r="M1289" t="s">
        <v>71</v>
      </c>
      <c r="N1289" t="s">
        <v>198</v>
      </c>
      <c r="O1289" t="s">
        <v>1307</v>
      </c>
      <c r="P1289" t="s">
        <v>1308</v>
      </c>
      <c r="R1289" t="s">
        <v>1309</v>
      </c>
      <c r="S1289" t="s">
        <v>222</v>
      </c>
      <c r="T1289" t="s">
        <v>291</v>
      </c>
      <c r="U1289" t="s">
        <v>104</v>
      </c>
      <c r="V1289" t="s">
        <v>3530</v>
      </c>
      <c r="W1289">
        <v>790</v>
      </c>
      <c r="X1289">
        <v>34.99</v>
      </c>
      <c r="Y1289">
        <v>99</v>
      </c>
      <c r="Z1289">
        <v>569000</v>
      </c>
      <c r="AA1289">
        <v>351550</v>
      </c>
      <c r="AB1289">
        <v>256</v>
      </c>
      <c r="AD1289" t="s">
        <v>238</v>
      </c>
      <c r="AE1289">
        <v>2</v>
      </c>
      <c r="AF1289">
        <v>0</v>
      </c>
      <c r="AI1289">
        <v>15</v>
      </c>
      <c r="AJ1289">
        <v>125</v>
      </c>
      <c r="AK1289">
        <v>140</v>
      </c>
      <c r="AL1289">
        <v>445</v>
      </c>
      <c r="AM1289">
        <v>0</v>
      </c>
      <c r="AN1289">
        <v>0</v>
      </c>
      <c r="AO1289">
        <v>0</v>
      </c>
      <c r="AP1289" t="s">
        <v>69</v>
      </c>
      <c r="AT1289" t="s">
        <v>86</v>
      </c>
      <c r="AU1289" t="s">
        <v>86</v>
      </c>
      <c r="AV1289" t="s">
        <v>3878</v>
      </c>
      <c r="AW1289" t="s">
        <v>69</v>
      </c>
      <c r="AX1289" t="s">
        <v>218</v>
      </c>
      <c r="AY1289" t="s">
        <v>3879</v>
      </c>
      <c r="AZ1289" t="s">
        <v>264</v>
      </c>
      <c r="BA1289" t="s">
        <v>245</v>
      </c>
      <c r="BB1289" t="s">
        <v>243</v>
      </c>
      <c r="BC1289" t="s">
        <v>245</v>
      </c>
      <c r="BD1289" t="s">
        <v>3880</v>
      </c>
      <c r="BE1289" t="s">
        <v>3881</v>
      </c>
      <c r="BF1289" t="s">
        <v>971</v>
      </c>
      <c r="BG1289" t="s">
        <v>110</v>
      </c>
      <c r="BH1289" t="str">
        <f>IF(COUNTIF(工作表1!A:A, $C1289)&gt;0, "預購款", "非預購款")</f>
        <v>非預購款</v>
      </c>
    </row>
    <row r="1290" spans="1:60" x14ac:dyDescent="0.25">
      <c r="A1290" t="s">
        <v>3872</v>
      </c>
      <c r="B1290" t="s">
        <v>315</v>
      </c>
      <c r="C1290" t="s">
        <v>3873</v>
      </c>
      <c r="D1290" t="s">
        <v>3874</v>
      </c>
      <c r="E1290" t="s">
        <v>3875</v>
      </c>
      <c r="F1290" t="s">
        <v>184</v>
      </c>
      <c r="G1290" t="s">
        <v>3876</v>
      </c>
      <c r="H1290" t="s">
        <v>130</v>
      </c>
      <c r="I1290" t="s">
        <v>120</v>
      </c>
      <c r="J1290" t="s">
        <v>121</v>
      </c>
      <c r="K1290" t="s">
        <v>69</v>
      </c>
      <c r="L1290" t="s">
        <v>3877</v>
      </c>
      <c r="M1290" t="s">
        <v>71</v>
      </c>
      <c r="N1290" t="s">
        <v>198</v>
      </c>
      <c r="O1290" t="s">
        <v>1307</v>
      </c>
      <c r="P1290" t="s">
        <v>1308</v>
      </c>
      <c r="R1290" t="s">
        <v>1309</v>
      </c>
      <c r="S1290" t="s">
        <v>222</v>
      </c>
      <c r="T1290" t="s">
        <v>291</v>
      </c>
      <c r="U1290" t="s">
        <v>104</v>
      </c>
      <c r="V1290" t="s">
        <v>3530</v>
      </c>
      <c r="W1290">
        <v>790</v>
      </c>
      <c r="X1290">
        <v>34.99</v>
      </c>
      <c r="Y1290">
        <v>99</v>
      </c>
      <c r="Z1290">
        <v>569000</v>
      </c>
      <c r="AA1290">
        <v>351550</v>
      </c>
      <c r="AB1290">
        <v>256</v>
      </c>
      <c r="AD1290" t="s">
        <v>238</v>
      </c>
      <c r="AE1290">
        <v>2</v>
      </c>
      <c r="AF1290">
        <v>0</v>
      </c>
      <c r="AI1290">
        <v>15</v>
      </c>
      <c r="AJ1290">
        <v>50</v>
      </c>
      <c r="AK1290">
        <v>65</v>
      </c>
      <c r="AL1290">
        <v>445</v>
      </c>
      <c r="AM1290">
        <v>0</v>
      </c>
      <c r="AN1290">
        <v>0</v>
      </c>
      <c r="AO1290">
        <v>0</v>
      </c>
      <c r="AP1290" t="s">
        <v>69</v>
      </c>
      <c r="AT1290" t="s">
        <v>86</v>
      </c>
      <c r="AU1290" t="s">
        <v>86</v>
      </c>
      <c r="AV1290" t="s">
        <v>3878</v>
      </c>
      <c r="AW1290" t="s">
        <v>69</v>
      </c>
      <c r="AX1290" t="s">
        <v>218</v>
      </c>
      <c r="AY1290" t="s">
        <v>3879</v>
      </c>
      <c r="AZ1290" t="s">
        <v>264</v>
      </c>
      <c r="BA1290" t="s">
        <v>245</v>
      </c>
      <c r="BB1290" t="s">
        <v>243</v>
      </c>
      <c r="BC1290" t="s">
        <v>245</v>
      </c>
      <c r="BD1290" t="s">
        <v>3882</v>
      </c>
      <c r="BE1290" t="s">
        <v>3881</v>
      </c>
      <c r="BF1290" t="s">
        <v>971</v>
      </c>
      <c r="BG1290" t="s">
        <v>110</v>
      </c>
      <c r="BH1290" t="str">
        <f>IF(COUNTIF(工作表1!A:A, $C1290)&gt;0, "預購款", "非預購款")</f>
        <v>非預購款</v>
      </c>
    </row>
    <row r="1291" spans="1:60" x14ac:dyDescent="0.25">
      <c r="A1291" t="s">
        <v>3872</v>
      </c>
      <c r="B1291" t="s">
        <v>315</v>
      </c>
      <c r="C1291" t="s">
        <v>3873</v>
      </c>
      <c r="D1291" t="s">
        <v>3874</v>
      </c>
      <c r="E1291" t="s">
        <v>3875</v>
      </c>
      <c r="F1291" t="s">
        <v>184</v>
      </c>
      <c r="G1291" t="s">
        <v>3876</v>
      </c>
      <c r="H1291" t="s">
        <v>132</v>
      </c>
      <c r="I1291" t="s">
        <v>120</v>
      </c>
      <c r="J1291" t="s">
        <v>121</v>
      </c>
      <c r="K1291" t="s">
        <v>69</v>
      </c>
      <c r="L1291" t="s">
        <v>3877</v>
      </c>
      <c r="M1291" t="s">
        <v>71</v>
      </c>
      <c r="N1291" t="s">
        <v>198</v>
      </c>
      <c r="O1291" t="s">
        <v>1307</v>
      </c>
      <c r="P1291" t="s">
        <v>1308</v>
      </c>
      <c r="R1291" t="s">
        <v>1309</v>
      </c>
      <c r="S1291" t="s">
        <v>222</v>
      </c>
      <c r="T1291" t="s">
        <v>291</v>
      </c>
      <c r="U1291" t="s">
        <v>104</v>
      </c>
      <c r="V1291" t="s">
        <v>3530</v>
      </c>
      <c r="W1291">
        <v>790</v>
      </c>
      <c r="X1291">
        <v>34.99</v>
      </c>
      <c r="Y1291">
        <v>99</v>
      </c>
      <c r="Z1291">
        <v>569000</v>
      </c>
      <c r="AA1291">
        <v>351550</v>
      </c>
      <c r="AB1291">
        <v>256</v>
      </c>
      <c r="AD1291" t="s">
        <v>238</v>
      </c>
      <c r="AE1291">
        <v>2</v>
      </c>
      <c r="AF1291">
        <v>0</v>
      </c>
      <c r="AI1291">
        <v>10</v>
      </c>
      <c r="AJ1291">
        <v>25</v>
      </c>
      <c r="AK1291">
        <v>35</v>
      </c>
      <c r="AL1291">
        <v>445</v>
      </c>
      <c r="AM1291">
        <v>0</v>
      </c>
      <c r="AN1291">
        <v>0</v>
      </c>
      <c r="AO1291">
        <v>0</v>
      </c>
      <c r="AP1291" t="s">
        <v>69</v>
      </c>
      <c r="AT1291" t="s">
        <v>86</v>
      </c>
      <c r="AU1291" t="s">
        <v>86</v>
      </c>
      <c r="AV1291" t="s">
        <v>3878</v>
      </c>
      <c r="AW1291" t="s">
        <v>69</v>
      </c>
      <c r="AX1291" t="s">
        <v>218</v>
      </c>
      <c r="AY1291" t="s">
        <v>3879</v>
      </c>
      <c r="AZ1291" t="s">
        <v>264</v>
      </c>
      <c r="BA1291" t="s">
        <v>245</v>
      </c>
      <c r="BB1291" t="s">
        <v>243</v>
      </c>
      <c r="BC1291" t="s">
        <v>245</v>
      </c>
      <c r="BD1291" t="s">
        <v>3883</v>
      </c>
      <c r="BE1291" t="s">
        <v>3881</v>
      </c>
      <c r="BF1291" t="s">
        <v>971</v>
      </c>
      <c r="BG1291" t="s">
        <v>110</v>
      </c>
      <c r="BH1291" t="str">
        <f>IF(COUNTIF(工作表1!A:A, $C1291)&gt;0, "預購款", "非預購款")</f>
        <v>非預購款</v>
      </c>
    </row>
    <row r="1292" spans="1:60" x14ac:dyDescent="0.25">
      <c r="A1292" t="s">
        <v>3872</v>
      </c>
      <c r="B1292" t="s">
        <v>315</v>
      </c>
      <c r="C1292" t="s">
        <v>3873</v>
      </c>
      <c r="D1292" t="s">
        <v>3874</v>
      </c>
      <c r="E1292" t="s">
        <v>3875</v>
      </c>
      <c r="F1292" t="s">
        <v>184</v>
      </c>
      <c r="G1292" t="s">
        <v>3876</v>
      </c>
      <c r="H1292" t="s">
        <v>119</v>
      </c>
      <c r="I1292" t="s">
        <v>97</v>
      </c>
      <c r="J1292" t="s">
        <v>98</v>
      </c>
      <c r="K1292" t="s">
        <v>69</v>
      </c>
      <c r="L1292" t="s">
        <v>3877</v>
      </c>
      <c r="M1292" t="s">
        <v>71</v>
      </c>
      <c r="N1292" t="s">
        <v>198</v>
      </c>
      <c r="O1292" t="s">
        <v>1307</v>
      </c>
      <c r="P1292" t="s">
        <v>1308</v>
      </c>
      <c r="R1292" t="s">
        <v>1309</v>
      </c>
      <c r="S1292" t="s">
        <v>222</v>
      </c>
      <c r="T1292" t="s">
        <v>291</v>
      </c>
      <c r="U1292" t="s">
        <v>104</v>
      </c>
      <c r="V1292" t="s">
        <v>3530</v>
      </c>
      <c r="W1292">
        <v>790</v>
      </c>
      <c r="X1292">
        <v>34.99</v>
      </c>
      <c r="Y1292">
        <v>99</v>
      </c>
      <c r="Z1292">
        <v>569000</v>
      </c>
      <c r="AA1292">
        <v>351550</v>
      </c>
      <c r="AB1292">
        <v>256</v>
      </c>
      <c r="AD1292" t="s">
        <v>238</v>
      </c>
      <c r="AE1292">
        <v>2</v>
      </c>
      <c r="AF1292">
        <v>0</v>
      </c>
      <c r="AI1292">
        <v>20</v>
      </c>
      <c r="AJ1292">
        <v>100</v>
      </c>
      <c r="AK1292">
        <v>120</v>
      </c>
      <c r="AL1292">
        <v>445</v>
      </c>
      <c r="AM1292">
        <v>0</v>
      </c>
      <c r="AN1292">
        <v>0</v>
      </c>
      <c r="AO1292">
        <v>0</v>
      </c>
      <c r="AP1292" t="s">
        <v>69</v>
      </c>
      <c r="AT1292" t="s">
        <v>86</v>
      </c>
      <c r="AU1292" t="s">
        <v>86</v>
      </c>
      <c r="AV1292" t="s">
        <v>3878</v>
      </c>
      <c r="AW1292" t="s">
        <v>69</v>
      </c>
      <c r="AX1292" t="s">
        <v>218</v>
      </c>
      <c r="AY1292" t="s">
        <v>3879</v>
      </c>
      <c r="AZ1292" t="s">
        <v>264</v>
      </c>
      <c r="BA1292" t="s">
        <v>245</v>
      </c>
      <c r="BB1292" t="s">
        <v>243</v>
      </c>
      <c r="BC1292" t="s">
        <v>245</v>
      </c>
      <c r="BD1292" t="s">
        <v>3884</v>
      </c>
      <c r="BE1292" t="s">
        <v>3881</v>
      </c>
      <c r="BF1292" t="s">
        <v>971</v>
      </c>
      <c r="BG1292" t="s">
        <v>110</v>
      </c>
      <c r="BH1292" t="str">
        <f>IF(COUNTIF(工作表1!A:A, $C1292)&gt;0, "預購款", "非預購款")</f>
        <v>非預購款</v>
      </c>
    </row>
    <row r="1293" spans="1:60" x14ac:dyDescent="0.25">
      <c r="A1293" t="s">
        <v>3872</v>
      </c>
      <c r="B1293" t="s">
        <v>315</v>
      </c>
      <c r="C1293" t="s">
        <v>3873</v>
      </c>
      <c r="D1293" t="s">
        <v>3874</v>
      </c>
      <c r="E1293" t="s">
        <v>3875</v>
      </c>
      <c r="F1293" t="s">
        <v>184</v>
      </c>
      <c r="G1293" t="s">
        <v>3876</v>
      </c>
      <c r="H1293" t="s">
        <v>130</v>
      </c>
      <c r="I1293" t="s">
        <v>97</v>
      </c>
      <c r="J1293" t="s">
        <v>98</v>
      </c>
      <c r="K1293" t="s">
        <v>69</v>
      </c>
      <c r="L1293" t="s">
        <v>3877</v>
      </c>
      <c r="M1293" t="s">
        <v>71</v>
      </c>
      <c r="N1293" t="s">
        <v>198</v>
      </c>
      <c r="O1293" t="s">
        <v>1307</v>
      </c>
      <c r="P1293" t="s">
        <v>1308</v>
      </c>
      <c r="R1293" t="s">
        <v>1309</v>
      </c>
      <c r="S1293" t="s">
        <v>222</v>
      </c>
      <c r="T1293" t="s">
        <v>291</v>
      </c>
      <c r="U1293" t="s">
        <v>104</v>
      </c>
      <c r="V1293" t="s">
        <v>3530</v>
      </c>
      <c r="W1293">
        <v>790</v>
      </c>
      <c r="X1293">
        <v>34.99</v>
      </c>
      <c r="Y1293">
        <v>99</v>
      </c>
      <c r="Z1293">
        <v>569000</v>
      </c>
      <c r="AA1293">
        <v>351550</v>
      </c>
      <c r="AB1293">
        <v>256</v>
      </c>
      <c r="AD1293" t="s">
        <v>238</v>
      </c>
      <c r="AE1293">
        <v>2</v>
      </c>
      <c r="AF1293">
        <v>0</v>
      </c>
      <c r="AI1293">
        <v>20</v>
      </c>
      <c r="AJ1293">
        <v>40</v>
      </c>
      <c r="AK1293">
        <v>60</v>
      </c>
      <c r="AL1293">
        <v>445</v>
      </c>
      <c r="AM1293">
        <v>0</v>
      </c>
      <c r="AN1293">
        <v>0</v>
      </c>
      <c r="AO1293">
        <v>0</v>
      </c>
      <c r="AP1293" t="s">
        <v>69</v>
      </c>
      <c r="AT1293" t="s">
        <v>86</v>
      </c>
      <c r="AU1293" t="s">
        <v>86</v>
      </c>
      <c r="AV1293" t="s">
        <v>3878</v>
      </c>
      <c r="AW1293" t="s">
        <v>69</v>
      </c>
      <c r="AX1293" t="s">
        <v>218</v>
      </c>
      <c r="AY1293" t="s">
        <v>3879</v>
      </c>
      <c r="AZ1293" t="s">
        <v>264</v>
      </c>
      <c r="BA1293" t="s">
        <v>245</v>
      </c>
      <c r="BB1293" t="s">
        <v>243</v>
      </c>
      <c r="BC1293" t="s">
        <v>245</v>
      </c>
      <c r="BD1293" t="s">
        <v>3885</v>
      </c>
      <c r="BE1293" t="s">
        <v>3881</v>
      </c>
      <c r="BF1293" t="s">
        <v>971</v>
      </c>
      <c r="BG1293" t="s">
        <v>110</v>
      </c>
      <c r="BH1293" t="str">
        <f>IF(COUNTIF(工作表1!A:A, $C1293)&gt;0, "預購款", "非預購款")</f>
        <v>非預購款</v>
      </c>
    </row>
    <row r="1294" spans="1:60" x14ac:dyDescent="0.25">
      <c r="A1294" t="s">
        <v>3872</v>
      </c>
      <c r="B1294" t="s">
        <v>315</v>
      </c>
      <c r="C1294" t="s">
        <v>3873</v>
      </c>
      <c r="D1294" t="s">
        <v>3874</v>
      </c>
      <c r="E1294" t="s">
        <v>3875</v>
      </c>
      <c r="F1294" t="s">
        <v>184</v>
      </c>
      <c r="G1294" t="s">
        <v>3876</v>
      </c>
      <c r="H1294" t="s">
        <v>132</v>
      </c>
      <c r="I1294" t="s">
        <v>97</v>
      </c>
      <c r="J1294" t="s">
        <v>98</v>
      </c>
      <c r="K1294" t="s">
        <v>69</v>
      </c>
      <c r="L1294" t="s">
        <v>3877</v>
      </c>
      <c r="M1294" t="s">
        <v>71</v>
      </c>
      <c r="N1294" t="s">
        <v>198</v>
      </c>
      <c r="O1294" t="s">
        <v>1307</v>
      </c>
      <c r="P1294" t="s">
        <v>1308</v>
      </c>
      <c r="R1294" t="s">
        <v>1309</v>
      </c>
      <c r="S1294" t="s">
        <v>222</v>
      </c>
      <c r="T1294" t="s">
        <v>291</v>
      </c>
      <c r="U1294" t="s">
        <v>104</v>
      </c>
      <c r="V1294" t="s">
        <v>3530</v>
      </c>
      <c r="W1294">
        <v>790</v>
      </c>
      <c r="X1294">
        <v>34.99</v>
      </c>
      <c r="Y1294">
        <v>99</v>
      </c>
      <c r="Z1294">
        <v>569000</v>
      </c>
      <c r="AA1294">
        <v>351550</v>
      </c>
      <c r="AB1294">
        <v>256</v>
      </c>
      <c r="AD1294" t="s">
        <v>238</v>
      </c>
      <c r="AE1294">
        <v>2</v>
      </c>
      <c r="AF1294">
        <v>0</v>
      </c>
      <c r="AI1294">
        <v>15</v>
      </c>
      <c r="AJ1294">
        <v>10</v>
      </c>
      <c r="AK1294">
        <v>25</v>
      </c>
      <c r="AL1294">
        <v>445</v>
      </c>
      <c r="AM1294">
        <v>0</v>
      </c>
      <c r="AN1294">
        <v>0</v>
      </c>
      <c r="AO1294">
        <v>0</v>
      </c>
      <c r="AP1294" t="s">
        <v>69</v>
      </c>
      <c r="AT1294" t="s">
        <v>86</v>
      </c>
      <c r="AU1294" t="s">
        <v>86</v>
      </c>
      <c r="AV1294" t="s">
        <v>3878</v>
      </c>
      <c r="AW1294" t="s">
        <v>69</v>
      </c>
      <c r="AX1294" t="s">
        <v>218</v>
      </c>
      <c r="AY1294" t="s">
        <v>3879</v>
      </c>
      <c r="AZ1294" t="s">
        <v>264</v>
      </c>
      <c r="BA1294" t="s">
        <v>245</v>
      </c>
      <c r="BB1294" t="s">
        <v>243</v>
      </c>
      <c r="BC1294" t="s">
        <v>245</v>
      </c>
      <c r="BD1294" t="s">
        <v>3886</v>
      </c>
      <c r="BE1294" t="s">
        <v>3881</v>
      </c>
      <c r="BF1294" t="s">
        <v>971</v>
      </c>
      <c r="BG1294" t="s">
        <v>110</v>
      </c>
      <c r="BH1294" t="str">
        <f>IF(COUNTIF(工作表1!A:A, $C1294)&gt;0, "預購款", "非預購款")</f>
        <v>非預購款</v>
      </c>
    </row>
    <row r="1295" spans="1:60" x14ac:dyDescent="0.25">
      <c r="A1295" t="s">
        <v>3887</v>
      </c>
      <c r="B1295" t="s">
        <v>315</v>
      </c>
      <c r="C1295" t="s">
        <v>3888</v>
      </c>
      <c r="D1295" t="s">
        <v>3889</v>
      </c>
      <c r="E1295" t="s">
        <v>3890</v>
      </c>
      <c r="F1295" t="s">
        <v>184</v>
      </c>
      <c r="G1295" t="s">
        <v>3891</v>
      </c>
      <c r="H1295" t="s">
        <v>119</v>
      </c>
      <c r="I1295" t="s">
        <v>120</v>
      </c>
      <c r="J1295" t="s">
        <v>121</v>
      </c>
      <c r="K1295" t="s">
        <v>69</v>
      </c>
      <c r="L1295" t="s">
        <v>3892</v>
      </c>
      <c r="M1295" t="s">
        <v>71</v>
      </c>
      <c r="N1295" t="s">
        <v>198</v>
      </c>
      <c r="O1295" t="s">
        <v>1307</v>
      </c>
      <c r="P1295" t="s">
        <v>1308</v>
      </c>
      <c r="R1295" t="s">
        <v>1309</v>
      </c>
      <c r="S1295" t="s">
        <v>222</v>
      </c>
      <c r="T1295" t="s">
        <v>291</v>
      </c>
      <c r="U1295" t="s">
        <v>383</v>
      </c>
      <c r="V1295" t="s">
        <v>384</v>
      </c>
      <c r="W1295">
        <v>1080</v>
      </c>
      <c r="X1295">
        <v>44.99</v>
      </c>
      <c r="Y1295">
        <v>139</v>
      </c>
      <c r="Z1295">
        <v>779000</v>
      </c>
      <c r="AA1295">
        <v>372600</v>
      </c>
      <c r="AB1295">
        <v>592</v>
      </c>
      <c r="AD1295" t="s">
        <v>238</v>
      </c>
      <c r="AE1295">
        <v>2</v>
      </c>
      <c r="AF1295">
        <v>0</v>
      </c>
      <c r="AI1295">
        <v>15</v>
      </c>
      <c r="AJ1295">
        <v>70</v>
      </c>
      <c r="AK1295">
        <v>85</v>
      </c>
      <c r="AL1295">
        <v>345</v>
      </c>
      <c r="AM1295">
        <v>0</v>
      </c>
      <c r="AN1295">
        <v>0</v>
      </c>
      <c r="AO1295">
        <v>0</v>
      </c>
      <c r="AP1295" t="s">
        <v>69</v>
      </c>
      <c r="AT1295" t="s">
        <v>86</v>
      </c>
      <c r="AU1295" t="s">
        <v>86</v>
      </c>
      <c r="AV1295" t="s">
        <v>3893</v>
      </c>
      <c r="AW1295" t="s">
        <v>69</v>
      </c>
      <c r="AX1295" t="s">
        <v>126</v>
      </c>
      <c r="AY1295" t="s">
        <v>3894</v>
      </c>
      <c r="AZ1295" t="s">
        <v>264</v>
      </c>
      <c r="BA1295" t="s">
        <v>245</v>
      </c>
      <c r="BB1295" t="s">
        <v>243</v>
      </c>
      <c r="BC1295" t="s">
        <v>245</v>
      </c>
      <c r="BD1295" t="s">
        <v>3895</v>
      </c>
      <c r="BE1295" t="s">
        <v>3896</v>
      </c>
      <c r="BF1295" t="s">
        <v>291</v>
      </c>
      <c r="BG1295" t="s">
        <v>110</v>
      </c>
      <c r="BH1295" t="str">
        <f>IF(COUNTIF(工作表1!A:A, $C1295)&gt;0, "預購款", "非預購款")</f>
        <v>非預購款</v>
      </c>
    </row>
    <row r="1296" spans="1:60" x14ac:dyDescent="0.25">
      <c r="A1296" t="s">
        <v>3887</v>
      </c>
      <c r="B1296" t="s">
        <v>315</v>
      </c>
      <c r="C1296" t="s">
        <v>3888</v>
      </c>
      <c r="D1296" t="s">
        <v>3889</v>
      </c>
      <c r="E1296" t="s">
        <v>3890</v>
      </c>
      <c r="F1296" t="s">
        <v>184</v>
      </c>
      <c r="G1296" t="s">
        <v>3891</v>
      </c>
      <c r="H1296" t="s">
        <v>130</v>
      </c>
      <c r="I1296" t="s">
        <v>120</v>
      </c>
      <c r="J1296" t="s">
        <v>121</v>
      </c>
      <c r="K1296" t="s">
        <v>69</v>
      </c>
      <c r="L1296" t="s">
        <v>3892</v>
      </c>
      <c r="M1296" t="s">
        <v>71</v>
      </c>
      <c r="N1296" t="s">
        <v>198</v>
      </c>
      <c r="O1296" t="s">
        <v>1307</v>
      </c>
      <c r="P1296" t="s">
        <v>1308</v>
      </c>
      <c r="R1296" t="s">
        <v>1309</v>
      </c>
      <c r="S1296" t="s">
        <v>222</v>
      </c>
      <c r="T1296" t="s">
        <v>291</v>
      </c>
      <c r="U1296" t="s">
        <v>383</v>
      </c>
      <c r="V1296" t="s">
        <v>384</v>
      </c>
      <c r="W1296">
        <v>1080</v>
      </c>
      <c r="X1296">
        <v>44.99</v>
      </c>
      <c r="Y1296">
        <v>139</v>
      </c>
      <c r="Z1296">
        <v>779000</v>
      </c>
      <c r="AA1296">
        <v>372600</v>
      </c>
      <c r="AB1296">
        <v>592</v>
      </c>
      <c r="AD1296" t="s">
        <v>238</v>
      </c>
      <c r="AE1296">
        <v>2</v>
      </c>
      <c r="AF1296">
        <v>0</v>
      </c>
      <c r="AI1296">
        <v>10</v>
      </c>
      <c r="AJ1296">
        <v>70</v>
      </c>
      <c r="AK1296">
        <v>80</v>
      </c>
      <c r="AL1296">
        <v>345</v>
      </c>
      <c r="AM1296">
        <v>0</v>
      </c>
      <c r="AN1296">
        <v>0</v>
      </c>
      <c r="AO1296">
        <v>0</v>
      </c>
      <c r="AP1296" t="s">
        <v>69</v>
      </c>
      <c r="AT1296" t="s">
        <v>86</v>
      </c>
      <c r="AU1296" t="s">
        <v>86</v>
      </c>
      <c r="AV1296" t="s">
        <v>3893</v>
      </c>
      <c r="AW1296" t="s">
        <v>69</v>
      </c>
      <c r="AX1296" t="s">
        <v>126</v>
      </c>
      <c r="AY1296" t="s">
        <v>3894</v>
      </c>
      <c r="AZ1296" t="s">
        <v>264</v>
      </c>
      <c r="BA1296" t="s">
        <v>245</v>
      </c>
      <c r="BB1296" t="s">
        <v>243</v>
      </c>
      <c r="BC1296" t="s">
        <v>245</v>
      </c>
      <c r="BD1296" t="s">
        <v>3897</v>
      </c>
      <c r="BE1296" t="s">
        <v>3896</v>
      </c>
      <c r="BF1296" t="s">
        <v>291</v>
      </c>
      <c r="BG1296" t="s">
        <v>110</v>
      </c>
      <c r="BH1296" t="str">
        <f>IF(COUNTIF(工作表1!A:A, $C1296)&gt;0, "預購款", "非預購款")</f>
        <v>非預購款</v>
      </c>
    </row>
    <row r="1297" spans="1:60" x14ac:dyDescent="0.25">
      <c r="A1297" t="s">
        <v>3887</v>
      </c>
      <c r="B1297" t="s">
        <v>315</v>
      </c>
      <c r="C1297" t="s">
        <v>3888</v>
      </c>
      <c r="D1297" t="s">
        <v>3889</v>
      </c>
      <c r="E1297" t="s">
        <v>3890</v>
      </c>
      <c r="F1297" t="s">
        <v>184</v>
      </c>
      <c r="G1297" t="s">
        <v>3891</v>
      </c>
      <c r="H1297" t="s">
        <v>132</v>
      </c>
      <c r="I1297" t="s">
        <v>120</v>
      </c>
      <c r="J1297" t="s">
        <v>121</v>
      </c>
      <c r="K1297" t="s">
        <v>69</v>
      </c>
      <c r="L1297" t="s">
        <v>3892</v>
      </c>
      <c r="M1297" t="s">
        <v>71</v>
      </c>
      <c r="N1297" t="s">
        <v>198</v>
      </c>
      <c r="O1297" t="s">
        <v>1307</v>
      </c>
      <c r="P1297" t="s">
        <v>1308</v>
      </c>
      <c r="R1297" t="s">
        <v>1309</v>
      </c>
      <c r="S1297" t="s">
        <v>222</v>
      </c>
      <c r="T1297" t="s">
        <v>291</v>
      </c>
      <c r="U1297" t="s">
        <v>383</v>
      </c>
      <c r="V1297" t="s">
        <v>384</v>
      </c>
      <c r="W1297">
        <v>1080</v>
      </c>
      <c r="X1297">
        <v>44.99</v>
      </c>
      <c r="Y1297">
        <v>139</v>
      </c>
      <c r="Z1297">
        <v>779000</v>
      </c>
      <c r="AA1297">
        <v>372600</v>
      </c>
      <c r="AB1297">
        <v>592</v>
      </c>
      <c r="AD1297" t="s">
        <v>238</v>
      </c>
      <c r="AE1297">
        <v>2</v>
      </c>
      <c r="AF1297">
        <v>0</v>
      </c>
      <c r="AI1297">
        <v>10</v>
      </c>
      <c r="AJ1297">
        <v>45</v>
      </c>
      <c r="AK1297">
        <v>55</v>
      </c>
      <c r="AL1297">
        <v>345</v>
      </c>
      <c r="AM1297">
        <v>0</v>
      </c>
      <c r="AN1297">
        <v>0</v>
      </c>
      <c r="AO1297">
        <v>0</v>
      </c>
      <c r="AP1297" t="s">
        <v>69</v>
      </c>
      <c r="AT1297" t="s">
        <v>86</v>
      </c>
      <c r="AU1297" t="s">
        <v>86</v>
      </c>
      <c r="AV1297" t="s">
        <v>3893</v>
      </c>
      <c r="AW1297" t="s">
        <v>69</v>
      </c>
      <c r="AX1297" t="s">
        <v>126</v>
      </c>
      <c r="AY1297" t="s">
        <v>3894</v>
      </c>
      <c r="AZ1297" t="s">
        <v>264</v>
      </c>
      <c r="BA1297" t="s">
        <v>245</v>
      </c>
      <c r="BB1297" t="s">
        <v>243</v>
      </c>
      <c r="BC1297" t="s">
        <v>245</v>
      </c>
      <c r="BD1297" t="s">
        <v>3898</v>
      </c>
      <c r="BE1297" t="s">
        <v>3896</v>
      </c>
      <c r="BF1297" t="s">
        <v>291</v>
      </c>
      <c r="BG1297" t="s">
        <v>110</v>
      </c>
      <c r="BH1297" t="str">
        <f>IF(COUNTIF(工作表1!A:A, $C1297)&gt;0, "預購款", "非預購款")</f>
        <v>非預購款</v>
      </c>
    </row>
    <row r="1298" spans="1:60" x14ac:dyDescent="0.25">
      <c r="A1298" t="s">
        <v>3887</v>
      </c>
      <c r="B1298" t="s">
        <v>315</v>
      </c>
      <c r="C1298" t="s">
        <v>3888</v>
      </c>
      <c r="D1298" t="s">
        <v>3889</v>
      </c>
      <c r="E1298" t="s">
        <v>3890</v>
      </c>
      <c r="F1298" t="s">
        <v>184</v>
      </c>
      <c r="G1298" t="s">
        <v>3891</v>
      </c>
      <c r="H1298" t="s">
        <v>119</v>
      </c>
      <c r="I1298" t="s">
        <v>97</v>
      </c>
      <c r="J1298" t="s">
        <v>98</v>
      </c>
      <c r="K1298" t="s">
        <v>69</v>
      </c>
      <c r="L1298" t="s">
        <v>3892</v>
      </c>
      <c r="M1298" t="s">
        <v>71</v>
      </c>
      <c r="N1298" t="s">
        <v>198</v>
      </c>
      <c r="O1298" t="s">
        <v>1307</v>
      </c>
      <c r="P1298" t="s">
        <v>1308</v>
      </c>
      <c r="R1298" t="s">
        <v>1309</v>
      </c>
      <c r="S1298" t="s">
        <v>222</v>
      </c>
      <c r="T1298" t="s">
        <v>291</v>
      </c>
      <c r="U1298" t="s">
        <v>383</v>
      </c>
      <c r="V1298" t="s">
        <v>384</v>
      </c>
      <c r="W1298">
        <v>1080</v>
      </c>
      <c r="X1298">
        <v>44.99</v>
      </c>
      <c r="Y1298">
        <v>139</v>
      </c>
      <c r="Z1298">
        <v>779000</v>
      </c>
      <c r="AA1298">
        <v>372600</v>
      </c>
      <c r="AB1298">
        <v>592</v>
      </c>
      <c r="AD1298" t="s">
        <v>238</v>
      </c>
      <c r="AE1298">
        <v>2</v>
      </c>
      <c r="AF1298">
        <v>0</v>
      </c>
      <c r="AI1298">
        <v>15</v>
      </c>
      <c r="AJ1298">
        <v>40</v>
      </c>
      <c r="AK1298">
        <v>55</v>
      </c>
      <c r="AL1298">
        <v>345</v>
      </c>
      <c r="AM1298">
        <v>0</v>
      </c>
      <c r="AN1298">
        <v>0</v>
      </c>
      <c r="AO1298">
        <v>0</v>
      </c>
      <c r="AP1298" t="s">
        <v>69</v>
      </c>
      <c r="AT1298" t="s">
        <v>86</v>
      </c>
      <c r="AU1298" t="s">
        <v>86</v>
      </c>
      <c r="AV1298" t="s">
        <v>3893</v>
      </c>
      <c r="AW1298" t="s">
        <v>69</v>
      </c>
      <c r="AX1298" t="s">
        <v>126</v>
      </c>
      <c r="AY1298" t="s">
        <v>3894</v>
      </c>
      <c r="AZ1298" t="s">
        <v>264</v>
      </c>
      <c r="BA1298" t="s">
        <v>245</v>
      </c>
      <c r="BB1298" t="s">
        <v>243</v>
      </c>
      <c r="BC1298" t="s">
        <v>245</v>
      </c>
      <c r="BD1298" t="s">
        <v>3899</v>
      </c>
      <c r="BE1298" t="s">
        <v>3896</v>
      </c>
      <c r="BF1298" t="s">
        <v>291</v>
      </c>
      <c r="BG1298" t="s">
        <v>110</v>
      </c>
      <c r="BH1298" t="str">
        <f>IF(COUNTIF(工作表1!A:A, $C1298)&gt;0, "預購款", "非預購款")</f>
        <v>非預購款</v>
      </c>
    </row>
    <row r="1299" spans="1:60" x14ac:dyDescent="0.25">
      <c r="A1299" t="s">
        <v>3887</v>
      </c>
      <c r="B1299" t="s">
        <v>315</v>
      </c>
      <c r="C1299" t="s">
        <v>3888</v>
      </c>
      <c r="D1299" t="s">
        <v>3889</v>
      </c>
      <c r="E1299" t="s">
        <v>3890</v>
      </c>
      <c r="F1299" t="s">
        <v>184</v>
      </c>
      <c r="G1299" t="s">
        <v>3891</v>
      </c>
      <c r="H1299" t="s">
        <v>130</v>
      </c>
      <c r="I1299" t="s">
        <v>97</v>
      </c>
      <c r="J1299" t="s">
        <v>98</v>
      </c>
      <c r="K1299" t="s">
        <v>69</v>
      </c>
      <c r="L1299" t="s">
        <v>3892</v>
      </c>
      <c r="M1299" t="s">
        <v>71</v>
      </c>
      <c r="N1299" t="s">
        <v>198</v>
      </c>
      <c r="O1299" t="s">
        <v>1307</v>
      </c>
      <c r="P1299" t="s">
        <v>1308</v>
      </c>
      <c r="R1299" t="s">
        <v>1309</v>
      </c>
      <c r="S1299" t="s">
        <v>222</v>
      </c>
      <c r="T1299" t="s">
        <v>291</v>
      </c>
      <c r="U1299" t="s">
        <v>383</v>
      </c>
      <c r="V1299" t="s">
        <v>384</v>
      </c>
      <c r="W1299">
        <v>1080</v>
      </c>
      <c r="X1299">
        <v>44.99</v>
      </c>
      <c r="Y1299">
        <v>139</v>
      </c>
      <c r="Z1299">
        <v>779000</v>
      </c>
      <c r="AA1299">
        <v>372600</v>
      </c>
      <c r="AB1299">
        <v>592</v>
      </c>
      <c r="AD1299" t="s">
        <v>238</v>
      </c>
      <c r="AE1299">
        <v>2</v>
      </c>
      <c r="AF1299">
        <v>0</v>
      </c>
      <c r="AI1299">
        <v>10</v>
      </c>
      <c r="AJ1299">
        <v>40</v>
      </c>
      <c r="AK1299">
        <v>50</v>
      </c>
      <c r="AL1299">
        <v>345</v>
      </c>
      <c r="AM1299">
        <v>0</v>
      </c>
      <c r="AN1299">
        <v>0</v>
      </c>
      <c r="AO1299">
        <v>0</v>
      </c>
      <c r="AP1299" t="s">
        <v>69</v>
      </c>
      <c r="AT1299" t="s">
        <v>86</v>
      </c>
      <c r="AU1299" t="s">
        <v>86</v>
      </c>
      <c r="AV1299" t="s">
        <v>3893</v>
      </c>
      <c r="AW1299" t="s">
        <v>69</v>
      </c>
      <c r="AX1299" t="s">
        <v>126</v>
      </c>
      <c r="AY1299" t="s">
        <v>3894</v>
      </c>
      <c r="AZ1299" t="s">
        <v>264</v>
      </c>
      <c r="BA1299" t="s">
        <v>245</v>
      </c>
      <c r="BB1299" t="s">
        <v>243</v>
      </c>
      <c r="BC1299" t="s">
        <v>245</v>
      </c>
      <c r="BD1299" t="s">
        <v>3900</v>
      </c>
      <c r="BE1299" t="s">
        <v>3896</v>
      </c>
      <c r="BF1299" t="s">
        <v>291</v>
      </c>
      <c r="BG1299" t="s">
        <v>110</v>
      </c>
      <c r="BH1299" t="str">
        <f>IF(COUNTIF(工作表1!A:A, $C1299)&gt;0, "預購款", "非預購款")</f>
        <v>非預購款</v>
      </c>
    </row>
    <row r="1300" spans="1:60" x14ac:dyDescent="0.25">
      <c r="A1300" t="s">
        <v>3887</v>
      </c>
      <c r="B1300" t="s">
        <v>315</v>
      </c>
      <c r="C1300" t="s">
        <v>3888</v>
      </c>
      <c r="D1300" t="s">
        <v>3889</v>
      </c>
      <c r="E1300" t="s">
        <v>3890</v>
      </c>
      <c r="F1300" t="s">
        <v>184</v>
      </c>
      <c r="G1300" t="s">
        <v>3891</v>
      </c>
      <c r="H1300" t="s">
        <v>132</v>
      </c>
      <c r="I1300" t="s">
        <v>97</v>
      </c>
      <c r="J1300" t="s">
        <v>98</v>
      </c>
      <c r="K1300" t="s">
        <v>69</v>
      </c>
      <c r="L1300" t="s">
        <v>3892</v>
      </c>
      <c r="M1300" t="s">
        <v>71</v>
      </c>
      <c r="N1300" t="s">
        <v>198</v>
      </c>
      <c r="O1300" t="s">
        <v>1307</v>
      </c>
      <c r="P1300" t="s">
        <v>1308</v>
      </c>
      <c r="R1300" t="s">
        <v>1309</v>
      </c>
      <c r="S1300" t="s">
        <v>222</v>
      </c>
      <c r="T1300" t="s">
        <v>291</v>
      </c>
      <c r="U1300" t="s">
        <v>383</v>
      </c>
      <c r="V1300" t="s">
        <v>384</v>
      </c>
      <c r="W1300">
        <v>1080</v>
      </c>
      <c r="X1300">
        <v>44.99</v>
      </c>
      <c r="Y1300">
        <v>139</v>
      </c>
      <c r="Z1300">
        <v>779000</v>
      </c>
      <c r="AA1300">
        <v>372600</v>
      </c>
      <c r="AB1300">
        <v>592</v>
      </c>
      <c r="AD1300" t="s">
        <v>238</v>
      </c>
      <c r="AE1300">
        <v>2</v>
      </c>
      <c r="AF1300">
        <v>0</v>
      </c>
      <c r="AI1300">
        <v>10</v>
      </c>
      <c r="AJ1300">
        <v>10</v>
      </c>
      <c r="AK1300">
        <v>20</v>
      </c>
      <c r="AL1300">
        <v>345</v>
      </c>
      <c r="AM1300">
        <v>0</v>
      </c>
      <c r="AN1300">
        <v>0</v>
      </c>
      <c r="AO1300">
        <v>0</v>
      </c>
      <c r="AP1300" t="s">
        <v>69</v>
      </c>
      <c r="AT1300" t="s">
        <v>86</v>
      </c>
      <c r="AU1300" t="s">
        <v>86</v>
      </c>
      <c r="AV1300" t="s">
        <v>3893</v>
      </c>
      <c r="AW1300" t="s">
        <v>69</v>
      </c>
      <c r="AX1300" t="s">
        <v>126</v>
      </c>
      <c r="AY1300" t="s">
        <v>3894</v>
      </c>
      <c r="AZ1300" t="s">
        <v>264</v>
      </c>
      <c r="BA1300" t="s">
        <v>245</v>
      </c>
      <c r="BB1300" t="s">
        <v>243</v>
      </c>
      <c r="BC1300" t="s">
        <v>245</v>
      </c>
      <c r="BD1300" t="s">
        <v>3901</v>
      </c>
      <c r="BE1300" t="s">
        <v>3896</v>
      </c>
      <c r="BF1300" t="s">
        <v>291</v>
      </c>
      <c r="BG1300" t="s">
        <v>110</v>
      </c>
      <c r="BH1300" t="str">
        <f>IF(COUNTIF(工作表1!A:A, $C1300)&gt;0, "預購款", "非預購款")</f>
        <v>非預購款</v>
      </c>
    </row>
    <row r="1301" spans="1:60" x14ac:dyDescent="0.25">
      <c r="A1301" t="s">
        <v>3902</v>
      </c>
      <c r="B1301" t="s">
        <v>3731</v>
      </c>
      <c r="C1301" t="s">
        <v>3903</v>
      </c>
      <c r="D1301" t="s">
        <v>3904</v>
      </c>
      <c r="E1301" t="s">
        <v>3905</v>
      </c>
      <c r="F1301" t="s">
        <v>184</v>
      </c>
      <c r="G1301" t="s">
        <v>3906</v>
      </c>
      <c r="H1301" t="s">
        <v>119</v>
      </c>
      <c r="I1301" t="s">
        <v>134</v>
      </c>
      <c r="J1301" t="s">
        <v>135</v>
      </c>
      <c r="K1301" t="s">
        <v>69</v>
      </c>
      <c r="L1301" t="s">
        <v>3907</v>
      </c>
      <c r="M1301" t="s">
        <v>71</v>
      </c>
      <c r="N1301" t="s">
        <v>198</v>
      </c>
      <c r="O1301" t="s">
        <v>1307</v>
      </c>
      <c r="P1301" t="s">
        <v>1308</v>
      </c>
      <c r="R1301" t="s">
        <v>1309</v>
      </c>
      <c r="S1301" t="s">
        <v>222</v>
      </c>
      <c r="T1301" t="s">
        <v>76</v>
      </c>
      <c r="U1301" t="s">
        <v>502</v>
      </c>
      <c r="V1301" t="s">
        <v>2060</v>
      </c>
      <c r="W1301">
        <v>790</v>
      </c>
      <c r="X1301">
        <v>34.99</v>
      </c>
      <c r="Y1301">
        <v>99</v>
      </c>
      <c r="Z1301">
        <v>569000</v>
      </c>
      <c r="AA1301">
        <v>679400</v>
      </c>
      <c r="AB1301">
        <v>264</v>
      </c>
      <c r="AD1301" t="s">
        <v>238</v>
      </c>
      <c r="AE1301">
        <v>1</v>
      </c>
      <c r="AF1301">
        <v>0</v>
      </c>
      <c r="AI1301">
        <v>30</v>
      </c>
      <c r="AJ1301">
        <v>420</v>
      </c>
      <c r="AK1301">
        <v>450</v>
      </c>
      <c r="AL1301">
        <v>860</v>
      </c>
      <c r="AM1301">
        <v>0</v>
      </c>
      <c r="AN1301">
        <v>0</v>
      </c>
      <c r="AO1301">
        <v>0</v>
      </c>
      <c r="AP1301" t="s">
        <v>69</v>
      </c>
      <c r="AR1301" t="s">
        <v>86</v>
      </c>
      <c r="AS1301" t="s">
        <v>86</v>
      </c>
      <c r="AT1301" t="s">
        <v>86</v>
      </c>
      <c r="AU1301" t="s">
        <v>86</v>
      </c>
      <c r="AV1301" t="s">
        <v>81</v>
      </c>
      <c r="AW1301" t="s">
        <v>69</v>
      </c>
      <c r="AX1301" t="s">
        <v>126</v>
      </c>
      <c r="AY1301" t="s">
        <v>3085</v>
      </c>
      <c r="AZ1301" t="s">
        <v>310</v>
      </c>
      <c r="BA1301" t="s">
        <v>244</v>
      </c>
      <c r="BB1301" t="s">
        <v>244</v>
      </c>
      <c r="BC1301" t="s">
        <v>244</v>
      </c>
      <c r="BD1301" t="s">
        <v>3908</v>
      </c>
      <c r="BE1301" t="s">
        <v>3909</v>
      </c>
      <c r="BF1301" t="s">
        <v>86</v>
      </c>
      <c r="BG1301" t="s">
        <v>87</v>
      </c>
      <c r="BH1301" t="str">
        <f>IF(COUNTIF(工作表1!A:A, $C1301)&gt;0, "預購款", "非預購款")</f>
        <v>非預購款</v>
      </c>
    </row>
    <row r="1302" spans="1:60" x14ac:dyDescent="0.25">
      <c r="A1302" t="s">
        <v>3902</v>
      </c>
      <c r="B1302" t="s">
        <v>3731</v>
      </c>
      <c r="C1302" t="s">
        <v>3903</v>
      </c>
      <c r="D1302" t="s">
        <v>3904</v>
      </c>
      <c r="E1302" t="s">
        <v>3905</v>
      </c>
      <c r="F1302" t="s">
        <v>184</v>
      </c>
      <c r="G1302" t="s">
        <v>3906</v>
      </c>
      <c r="H1302" t="s">
        <v>130</v>
      </c>
      <c r="I1302" t="s">
        <v>134</v>
      </c>
      <c r="J1302" t="s">
        <v>135</v>
      </c>
      <c r="K1302" t="s">
        <v>69</v>
      </c>
      <c r="L1302" t="s">
        <v>3907</v>
      </c>
      <c r="M1302" t="s">
        <v>71</v>
      </c>
      <c r="N1302" t="s">
        <v>198</v>
      </c>
      <c r="O1302" t="s">
        <v>1307</v>
      </c>
      <c r="P1302" t="s">
        <v>1308</v>
      </c>
      <c r="R1302" t="s">
        <v>1309</v>
      </c>
      <c r="S1302" t="s">
        <v>222</v>
      </c>
      <c r="T1302" t="s">
        <v>76</v>
      </c>
      <c r="U1302" t="s">
        <v>502</v>
      </c>
      <c r="V1302" t="s">
        <v>2060</v>
      </c>
      <c r="W1302">
        <v>790</v>
      </c>
      <c r="X1302">
        <v>34.99</v>
      </c>
      <c r="Y1302">
        <v>99</v>
      </c>
      <c r="Z1302">
        <v>569000</v>
      </c>
      <c r="AA1302">
        <v>679400</v>
      </c>
      <c r="AB1302">
        <v>264</v>
      </c>
      <c r="AD1302" t="s">
        <v>238</v>
      </c>
      <c r="AE1302">
        <v>1</v>
      </c>
      <c r="AF1302">
        <v>0</v>
      </c>
      <c r="AI1302">
        <v>20</v>
      </c>
      <c r="AJ1302">
        <v>390</v>
      </c>
      <c r="AK1302">
        <v>410</v>
      </c>
      <c r="AL1302">
        <v>860</v>
      </c>
      <c r="AM1302">
        <v>0</v>
      </c>
      <c r="AN1302">
        <v>0</v>
      </c>
      <c r="AO1302">
        <v>0</v>
      </c>
      <c r="AP1302" t="s">
        <v>69</v>
      </c>
      <c r="AR1302" t="s">
        <v>86</v>
      </c>
      <c r="AS1302" t="s">
        <v>86</v>
      </c>
      <c r="AT1302" t="s">
        <v>86</v>
      </c>
      <c r="AU1302" t="s">
        <v>86</v>
      </c>
      <c r="AV1302" t="s">
        <v>81</v>
      </c>
      <c r="AW1302" t="s">
        <v>69</v>
      </c>
      <c r="AX1302" t="s">
        <v>126</v>
      </c>
      <c r="AY1302" t="s">
        <v>3085</v>
      </c>
      <c r="AZ1302" t="s">
        <v>310</v>
      </c>
      <c r="BA1302" t="s">
        <v>244</v>
      </c>
      <c r="BB1302" t="s">
        <v>244</v>
      </c>
      <c r="BC1302" t="s">
        <v>244</v>
      </c>
      <c r="BD1302" t="s">
        <v>3910</v>
      </c>
      <c r="BE1302" t="s">
        <v>3909</v>
      </c>
      <c r="BF1302" t="s">
        <v>86</v>
      </c>
      <c r="BG1302" t="s">
        <v>87</v>
      </c>
      <c r="BH1302" t="str">
        <f>IF(COUNTIF(工作表1!A:A, $C1302)&gt;0, "預購款", "非預購款")</f>
        <v>非預購款</v>
      </c>
    </row>
    <row r="1303" spans="1:60" x14ac:dyDescent="0.25">
      <c r="A1303" t="s">
        <v>1288</v>
      </c>
      <c r="B1303" t="s">
        <v>678</v>
      </c>
      <c r="C1303" t="s">
        <v>1289</v>
      </c>
      <c r="D1303" t="s">
        <v>1290</v>
      </c>
      <c r="E1303" t="s">
        <v>1291</v>
      </c>
      <c r="F1303" t="s">
        <v>184</v>
      </c>
      <c r="G1303" t="s">
        <v>1292</v>
      </c>
      <c r="H1303" t="s">
        <v>273</v>
      </c>
      <c r="I1303" t="s">
        <v>97</v>
      </c>
      <c r="J1303" t="s">
        <v>98</v>
      </c>
      <c r="K1303" t="s">
        <v>69</v>
      </c>
      <c r="L1303" t="s">
        <v>1293</v>
      </c>
      <c r="M1303" t="s">
        <v>71</v>
      </c>
      <c r="N1303" t="s">
        <v>100</v>
      </c>
      <c r="O1303" t="s">
        <v>1136</v>
      </c>
      <c r="P1303" t="s">
        <v>1137</v>
      </c>
      <c r="R1303" t="s">
        <v>1138</v>
      </c>
      <c r="S1303" t="s">
        <v>222</v>
      </c>
      <c r="T1303" t="s">
        <v>274</v>
      </c>
      <c r="U1303" t="s">
        <v>104</v>
      </c>
      <c r="V1303" t="s">
        <v>1220</v>
      </c>
      <c r="W1303">
        <v>490</v>
      </c>
      <c r="X1303">
        <v>22.99</v>
      </c>
      <c r="Y1303">
        <v>60</v>
      </c>
      <c r="Z1303">
        <v>355000</v>
      </c>
      <c r="AA1303">
        <v>61250</v>
      </c>
      <c r="AB1303">
        <v>102</v>
      </c>
      <c r="AD1303" t="s">
        <v>238</v>
      </c>
      <c r="AE1303">
        <v>1</v>
      </c>
      <c r="AF1303">
        <v>0</v>
      </c>
      <c r="AI1303">
        <v>0</v>
      </c>
      <c r="AJ1303">
        <v>60</v>
      </c>
      <c r="AK1303">
        <v>60</v>
      </c>
      <c r="AL1303">
        <v>125</v>
      </c>
      <c r="AM1303">
        <v>63</v>
      </c>
      <c r="AN1303">
        <v>0</v>
      </c>
      <c r="AO1303">
        <v>63</v>
      </c>
      <c r="AP1303" t="s">
        <v>80</v>
      </c>
      <c r="AQ1303" t="s">
        <v>190</v>
      </c>
      <c r="AT1303" t="s">
        <v>86</v>
      </c>
      <c r="AU1303" t="s">
        <v>86</v>
      </c>
      <c r="AV1303" t="s">
        <v>1294</v>
      </c>
      <c r="AW1303" t="s">
        <v>69</v>
      </c>
      <c r="AX1303" t="s">
        <v>126</v>
      </c>
      <c r="AY1303" t="s">
        <v>1295</v>
      </c>
      <c r="AZ1303" t="s">
        <v>244</v>
      </c>
      <c r="BA1303" t="s">
        <v>245</v>
      </c>
      <c r="BB1303" t="s">
        <v>264</v>
      </c>
      <c r="BC1303" t="s">
        <v>264</v>
      </c>
      <c r="BD1303" t="s">
        <v>1296</v>
      </c>
      <c r="BE1303" t="s">
        <v>3911</v>
      </c>
      <c r="BF1303" t="s">
        <v>279</v>
      </c>
      <c r="BG1303" t="s">
        <v>110</v>
      </c>
      <c r="BH1303" t="str">
        <f>IF(COUNTIF(工作表1!A:A, $C1303)&gt;0, "預購款", "非預購款")</f>
        <v>非預購款</v>
      </c>
    </row>
    <row r="1304" spans="1:60" x14ac:dyDescent="0.25">
      <c r="A1304" t="s">
        <v>1288</v>
      </c>
      <c r="B1304" t="s">
        <v>678</v>
      </c>
      <c r="C1304" t="s">
        <v>1289</v>
      </c>
      <c r="D1304" t="s">
        <v>1290</v>
      </c>
      <c r="E1304" t="s">
        <v>1291</v>
      </c>
      <c r="F1304" t="s">
        <v>184</v>
      </c>
      <c r="G1304" t="s">
        <v>1292</v>
      </c>
      <c r="H1304" t="s">
        <v>501</v>
      </c>
      <c r="I1304" t="s">
        <v>97</v>
      </c>
      <c r="J1304" t="s">
        <v>98</v>
      </c>
      <c r="K1304" t="s">
        <v>69</v>
      </c>
      <c r="L1304" t="s">
        <v>1293</v>
      </c>
      <c r="M1304" t="s">
        <v>71</v>
      </c>
      <c r="N1304" t="s">
        <v>100</v>
      </c>
      <c r="O1304" t="s">
        <v>1136</v>
      </c>
      <c r="P1304" t="s">
        <v>1137</v>
      </c>
      <c r="R1304" t="s">
        <v>1138</v>
      </c>
      <c r="S1304" t="s">
        <v>222</v>
      </c>
      <c r="T1304" t="s">
        <v>274</v>
      </c>
      <c r="U1304" t="s">
        <v>104</v>
      </c>
      <c r="V1304" t="s">
        <v>1220</v>
      </c>
      <c r="W1304">
        <v>490</v>
      </c>
      <c r="X1304">
        <v>22.99</v>
      </c>
      <c r="Y1304">
        <v>60</v>
      </c>
      <c r="Z1304">
        <v>355000</v>
      </c>
      <c r="AA1304">
        <v>61250</v>
      </c>
      <c r="AB1304">
        <v>102</v>
      </c>
      <c r="AD1304" t="s">
        <v>238</v>
      </c>
      <c r="AE1304">
        <v>1</v>
      </c>
      <c r="AF1304">
        <v>0</v>
      </c>
      <c r="AI1304">
        <v>0</v>
      </c>
      <c r="AJ1304">
        <v>15</v>
      </c>
      <c r="AK1304">
        <v>15</v>
      </c>
      <c r="AL1304">
        <v>125</v>
      </c>
      <c r="AM1304">
        <v>19</v>
      </c>
      <c r="AN1304">
        <v>0</v>
      </c>
      <c r="AO1304">
        <v>19</v>
      </c>
      <c r="AP1304" t="s">
        <v>80</v>
      </c>
      <c r="AQ1304" t="s">
        <v>190</v>
      </c>
      <c r="AT1304" t="s">
        <v>86</v>
      </c>
      <c r="AU1304" t="s">
        <v>86</v>
      </c>
      <c r="AV1304" t="s">
        <v>1294</v>
      </c>
      <c r="AW1304" t="s">
        <v>69</v>
      </c>
      <c r="AX1304" t="s">
        <v>126</v>
      </c>
      <c r="AY1304" t="s">
        <v>1295</v>
      </c>
      <c r="AZ1304" t="s">
        <v>244</v>
      </c>
      <c r="BA1304" t="s">
        <v>245</v>
      </c>
      <c r="BB1304" t="s">
        <v>264</v>
      </c>
      <c r="BC1304" t="s">
        <v>264</v>
      </c>
      <c r="BD1304" t="s">
        <v>1298</v>
      </c>
      <c r="BE1304" t="s">
        <v>3911</v>
      </c>
      <c r="BF1304" t="s">
        <v>279</v>
      </c>
      <c r="BG1304" t="s">
        <v>110</v>
      </c>
      <c r="BH1304" t="str">
        <f>IF(COUNTIF(工作表1!A:A, $C1304)&gt;0, "預購款", "非預購款")</f>
        <v>非預購款</v>
      </c>
    </row>
    <row r="1305" spans="1:60" x14ac:dyDescent="0.25">
      <c r="A1305" t="s">
        <v>1288</v>
      </c>
      <c r="B1305" t="s">
        <v>678</v>
      </c>
      <c r="C1305" t="s">
        <v>1289</v>
      </c>
      <c r="D1305" t="s">
        <v>1290</v>
      </c>
      <c r="E1305" t="s">
        <v>1291</v>
      </c>
      <c r="F1305" t="s">
        <v>184</v>
      </c>
      <c r="G1305" t="s">
        <v>1292</v>
      </c>
      <c r="H1305" t="s">
        <v>280</v>
      </c>
      <c r="I1305" t="s">
        <v>97</v>
      </c>
      <c r="J1305" t="s">
        <v>98</v>
      </c>
      <c r="K1305" t="s">
        <v>69</v>
      </c>
      <c r="L1305" t="s">
        <v>1293</v>
      </c>
      <c r="M1305" t="s">
        <v>71</v>
      </c>
      <c r="N1305" t="s">
        <v>100</v>
      </c>
      <c r="O1305" t="s">
        <v>1136</v>
      </c>
      <c r="P1305" t="s">
        <v>1137</v>
      </c>
      <c r="R1305" t="s">
        <v>1138</v>
      </c>
      <c r="S1305" t="s">
        <v>222</v>
      </c>
      <c r="T1305" t="s">
        <v>274</v>
      </c>
      <c r="U1305" t="s">
        <v>104</v>
      </c>
      <c r="V1305" t="s">
        <v>1220</v>
      </c>
      <c r="W1305">
        <v>490</v>
      </c>
      <c r="X1305">
        <v>22.99</v>
      </c>
      <c r="Y1305">
        <v>60</v>
      </c>
      <c r="Z1305">
        <v>355000</v>
      </c>
      <c r="AA1305">
        <v>61250</v>
      </c>
      <c r="AB1305">
        <v>102</v>
      </c>
      <c r="AD1305" t="s">
        <v>238</v>
      </c>
      <c r="AE1305">
        <v>1</v>
      </c>
      <c r="AF1305">
        <v>0</v>
      </c>
      <c r="AI1305">
        <v>0</v>
      </c>
      <c r="AJ1305">
        <v>50</v>
      </c>
      <c r="AK1305">
        <v>50</v>
      </c>
      <c r="AL1305">
        <v>125</v>
      </c>
      <c r="AM1305">
        <v>57</v>
      </c>
      <c r="AN1305">
        <v>0</v>
      </c>
      <c r="AO1305">
        <v>57</v>
      </c>
      <c r="AP1305" t="s">
        <v>80</v>
      </c>
      <c r="AQ1305" t="s">
        <v>190</v>
      </c>
      <c r="AT1305" t="s">
        <v>86</v>
      </c>
      <c r="AU1305" t="s">
        <v>86</v>
      </c>
      <c r="AV1305" t="s">
        <v>1294</v>
      </c>
      <c r="AW1305" t="s">
        <v>69</v>
      </c>
      <c r="AX1305" t="s">
        <v>126</v>
      </c>
      <c r="AY1305" t="s">
        <v>1295</v>
      </c>
      <c r="AZ1305" t="s">
        <v>244</v>
      </c>
      <c r="BA1305" t="s">
        <v>245</v>
      </c>
      <c r="BB1305" t="s">
        <v>264</v>
      </c>
      <c r="BC1305" t="s">
        <v>264</v>
      </c>
      <c r="BD1305" t="s">
        <v>1299</v>
      </c>
      <c r="BE1305" t="s">
        <v>3911</v>
      </c>
      <c r="BF1305" t="s">
        <v>279</v>
      </c>
      <c r="BG1305" t="s">
        <v>110</v>
      </c>
      <c r="BH1305" t="str">
        <f>IF(COUNTIF(工作表1!A:A, $C1305)&gt;0, "預購款", "非預購款")</f>
        <v>非預購款</v>
      </c>
    </row>
    <row r="1306" spans="1:60" x14ac:dyDescent="0.25">
      <c r="A1306" t="s">
        <v>1089</v>
      </c>
      <c r="B1306" t="s">
        <v>535</v>
      </c>
      <c r="C1306" t="s">
        <v>1090</v>
      </c>
      <c r="D1306" t="s">
        <v>1091</v>
      </c>
      <c r="E1306" t="s">
        <v>1092</v>
      </c>
      <c r="F1306" t="s">
        <v>184</v>
      </c>
      <c r="G1306" t="s">
        <v>1093</v>
      </c>
      <c r="H1306" t="s">
        <v>119</v>
      </c>
      <c r="I1306" t="s">
        <v>120</v>
      </c>
      <c r="J1306" t="s">
        <v>121</v>
      </c>
      <c r="K1306" t="s">
        <v>69</v>
      </c>
      <c r="L1306" t="s">
        <v>1094</v>
      </c>
      <c r="M1306" t="s">
        <v>71</v>
      </c>
      <c r="N1306" t="s">
        <v>100</v>
      </c>
      <c r="O1306" t="s">
        <v>980</v>
      </c>
      <c r="P1306" t="s">
        <v>981</v>
      </c>
      <c r="R1306" t="s">
        <v>1095</v>
      </c>
      <c r="S1306" t="s">
        <v>222</v>
      </c>
      <c r="T1306" t="s">
        <v>76</v>
      </c>
      <c r="U1306" t="s">
        <v>104</v>
      </c>
      <c r="V1306" t="s">
        <v>965</v>
      </c>
      <c r="W1306">
        <v>390</v>
      </c>
      <c r="X1306">
        <v>16.989999999999998</v>
      </c>
      <c r="Y1306">
        <v>49</v>
      </c>
      <c r="Z1306">
        <v>279000</v>
      </c>
      <c r="AA1306">
        <v>992550</v>
      </c>
      <c r="AB1306">
        <v>192</v>
      </c>
      <c r="AD1306" t="s">
        <v>238</v>
      </c>
      <c r="AE1306">
        <v>4</v>
      </c>
      <c r="AF1306">
        <v>15</v>
      </c>
      <c r="AI1306">
        <v>85</v>
      </c>
      <c r="AJ1306">
        <v>390</v>
      </c>
      <c r="AK1306">
        <v>490</v>
      </c>
      <c r="AL1306">
        <v>2545</v>
      </c>
      <c r="AM1306">
        <v>0</v>
      </c>
      <c r="AN1306">
        <v>0</v>
      </c>
      <c r="AO1306">
        <v>0</v>
      </c>
      <c r="AP1306" t="s">
        <v>69</v>
      </c>
      <c r="AT1306" t="s">
        <v>240</v>
      </c>
      <c r="AU1306" t="s">
        <v>240</v>
      </c>
      <c r="AV1306" t="s">
        <v>1096</v>
      </c>
      <c r="AW1306" t="s">
        <v>69</v>
      </c>
      <c r="AX1306" t="s">
        <v>1097</v>
      </c>
      <c r="AY1306" t="s">
        <v>1098</v>
      </c>
      <c r="AZ1306" t="s">
        <v>243</v>
      </c>
      <c r="BA1306" t="s">
        <v>264</v>
      </c>
      <c r="BB1306" t="s">
        <v>244</v>
      </c>
      <c r="BC1306" t="s">
        <v>244</v>
      </c>
      <c r="BD1306" t="s">
        <v>3596</v>
      </c>
      <c r="BE1306" t="s">
        <v>3912</v>
      </c>
      <c r="BF1306" t="s">
        <v>86</v>
      </c>
      <c r="BG1306" t="s">
        <v>150</v>
      </c>
      <c r="BH1306" t="str">
        <f>IF(COUNTIF(工作表1!A:A, $C1306)&gt;0, "預購款", "非預購款")</f>
        <v>非預購款</v>
      </c>
    </row>
    <row r="1307" spans="1:60" x14ac:dyDescent="0.25">
      <c r="A1307" t="s">
        <v>1089</v>
      </c>
      <c r="B1307" t="s">
        <v>535</v>
      </c>
      <c r="C1307" t="s">
        <v>1090</v>
      </c>
      <c r="D1307" t="s">
        <v>1091</v>
      </c>
      <c r="E1307" t="s">
        <v>1092</v>
      </c>
      <c r="F1307" t="s">
        <v>184</v>
      </c>
      <c r="G1307" t="s">
        <v>1093</v>
      </c>
      <c r="H1307" t="s">
        <v>130</v>
      </c>
      <c r="I1307" t="s">
        <v>120</v>
      </c>
      <c r="J1307" t="s">
        <v>121</v>
      </c>
      <c r="K1307" t="s">
        <v>69</v>
      </c>
      <c r="L1307" t="s">
        <v>1094</v>
      </c>
      <c r="M1307" t="s">
        <v>71</v>
      </c>
      <c r="N1307" t="s">
        <v>100</v>
      </c>
      <c r="O1307" t="s">
        <v>980</v>
      </c>
      <c r="P1307" t="s">
        <v>981</v>
      </c>
      <c r="R1307" t="s">
        <v>1095</v>
      </c>
      <c r="S1307" t="s">
        <v>222</v>
      </c>
      <c r="T1307" t="s">
        <v>76</v>
      </c>
      <c r="U1307" t="s">
        <v>104</v>
      </c>
      <c r="V1307" t="s">
        <v>965</v>
      </c>
      <c r="W1307">
        <v>390</v>
      </c>
      <c r="X1307">
        <v>16.989999999999998</v>
      </c>
      <c r="Y1307">
        <v>49</v>
      </c>
      <c r="Z1307">
        <v>279000</v>
      </c>
      <c r="AA1307">
        <v>992550</v>
      </c>
      <c r="AB1307">
        <v>192</v>
      </c>
      <c r="AD1307" t="s">
        <v>238</v>
      </c>
      <c r="AE1307">
        <v>4</v>
      </c>
      <c r="AF1307">
        <v>15</v>
      </c>
      <c r="AI1307">
        <v>90</v>
      </c>
      <c r="AJ1307">
        <v>300</v>
      </c>
      <c r="AK1307">
        <v>405</v>
      </c>
      <c r="AL1307">
        <v>2545</v>
      </c>
      <c r="AM1307">
        <v>0</v>
      </c>
      <c r="AN1307">
        <v>0</v>
      </c>
      <c r="AO1307">
        <v>0</v>
      </c>
      <c r="AP1307" t="s">
        <v>69</v>
      </c>
      <c r="AT1307" t="s">
        <v>240</v>
      </c>
      <c r="AU1307" t="s">
        <v>240</v>
      </c>
      <c r="AV1307" t="s">
        <v>1096</v>
      </c>
      <c r="AW1307" t="s">
        <v>69</v>
      </c>
      <c r="AX1307" t="s">
        <v>1097</v>
      </c>
      <c r="AY1307" t="s">
        <v>1098</v>
      </c>
      <c r="AZ1307" t="s">
        <v>243</v>
      </c>
      <c r="BA1307" t="s">
        <v>264</v>
      </c>
      <c r="BB1307" t="s">
        <v>244</v>
      </c>
      <c r="BC1307" t="s">
        <v>244</v>
      </c>
      <c r="BD1307" t="s">
        <v>3598</v>
      </c>
      <c r="BE1307" t="s">
        <v>3912</v>
      </c>
      <c r="BF1307" t="s">
        <v>86</v>
      </c>
      <c r="BG1307" t="s">
        <v>150</v>
      </c>
      <c r="BH1307" t="str">
        <f>IF(COUNTIF(工作表1!A:A, $C1307)&gt;0, "預購款", "非預購款")</f>
        <v>非預購款</v>
      </c>
    </row>
    <row r="1308" spans="1:60" x14ac:dyDescent="0.25">
      <c r="A1308" t="s">
        <v>1089</v>
      </c>
      <c r="B1308" t="s">
        <v>535</v>
      </c>
      <c r="C1308" t="s">
        <v>1090</v>
      </c>
      <c r="D1308" t="s">
        <v>1091</v>
      </c>
      <c r="E1308" t="s">
        <v>1092</v>
      </c>
      <c r="F1308" t="s">
        <v>184</v>
      </c>
      <c r="G1308" t="s">
        <v>1093</v>
      </c>
      <c r="H1308" t="s">
        <v>132</v>
      </c>
      <c r="I1308" t="s">
        <v>120</v>
      </c>
      <c r="J1308" t="s">
        <v>121</v>
      </c>
      <c r="K1308" t="s">
        <v>69</v>
      </c>
      <c r="L1308" t="s">
        <v>1094</v>
      </c>
      <c r="M1308" t="s">
        <v>71</v>
      </c>
      <c r="N1308" t="s">
        <v>100</v>
      </c>
      <c r="O1308" t="s">
        <v>980</v>
      </c>
      <c r="P1308" t="s">
        <v>981</v>
      </c>
      <c r="R1308" t="s">
        <v>1095</v>
      </c>
      <c r="S1308" t="s">
        <v>222</v>
      </c>
      <c r="T1308" t="s">
        <v>76</v>
      </c>
      <c r="U1308" t="s">
        <v>104</v>
      </c>
      <c r="V1308" t="s">
        <v>965</v>
      </c>
      <c r="W1308">
        <v>390</v>
      </c>
      <c r="X1308">
        <v>16.989999999999998</v>
      </c>
      <c r="Y1308">
        <v>49</v>
      </c>
      <c r="Z1308">
        <v>279000</v>
      </c>
      <c r="AA1308">
        <v>992550</v>
      </c>
      <c r="AB1308">
        <v>192</v>
      </c>
      <c r="AD1308" t="s">
        <v>238</v>
      </c>
      <c r="AE1308">
        <v>4</v>
      </c>
      <c r="AF1308">
        <v>15</v>
      </c>
      <c r="AI1308">
        <v>95</v>
      </c>
      <c r="AJ1308">
        <v>90</v>
      </c>
      <c r="AK1308">
        <v>200</v>
      </c>
      <c r="AL1308">
        <v>2545</v>
      </c>
      <c r="AM1308">
        <v>0</v>
      </c>
      <c r="AN1308">
        <v>0</v>
      </c>
      <c r="AO1308">
        <v>0</v>
      </c>
      <c r="AP1308" t="s">
        <v>69</v>
      </c>
      <c r="AT1308" t="s">
        <v>240</v>
      </c>
      <c r="AU1308" t="s">
        <v>240</v>
      </c>
      <c r="AV1308" t="s">
        <v>1096</v>
      </c>
      <c r="AW1308" t="s">
        <v>69</v>
      </c>
      <c r="AX1308" t="s">
        <v>1097</v>
      </c>
      <c r="AY1308" t="s">
        <v>1098</v>
      </c>
      <c r="AZ1308" t="s">
        <v>243</v>
      </c>
      <c r="BA1308" t="s">
        <v>264</v>
      </c>
      <c r="BB1308" t="s">
        <v>244</v>
      </c>
      <c r="BC1308" t="s">
        <v>244</v>
      </c>
      <c r="BD1308" t="s">
        <v>3599</v>
      </c>
      <c r="BE1308" t="s">
        <v>3912</v>
      </c>
      <c r="BF1308" t="s">
        <v>86</v>
      </c>
      <c r="BG1308" t="s">
        <v>150</v>
      </c>
      <c r="BH1308" t="str">
        <f>IF(COUNTIF(工作表1!A:A, $C1308)&gt;0, "預購款", "非預購款")</f>
        <v>非預購款</v>
      </c>
    </row>
    <row r="1309" spans="1:60" x14ac:dyDescent="0.25">
      <c r="A1309" t="s">
        <v>1089</v>
      </c>
      <c r="B1309" t="s">
        <v>535</v>
      </c>
      <c r="C1309" t="s">
        <v>1090</v>
      </c>
      <c r="D1309" t="s">
        <v>1091</v>
      </c>
      <c r="E1309" t="s">
        <v>1092</v>
      </c>
      <c r="F1309" t="s">
        <v>184</v>
      </c>
      <c r="G1309" t="s">
        <v>1093</v>
      </c>
      <c r="H1309" t="s">
        <v>119</v>
      </c>
      <c r="I1309" t="s">
        <v>67</v>
      </c>
      <c r="J1309" t="s">
        <v>68</v>
      </c>
      <c r="K1309" t="s">
        <v>69</v>
      </c>
      <c r="L1309" t="s">
        <v>1094</v>
      </c>
      <c r="M1309" t="s">
        <v>71</v>
      </c>
      <c r="N1309" t="s">
        <v>100</v>
      </c>
      <c r="O1309" t="s">
        <v>980</v>
      </c>
      <c r="P1309" t="s">
        <v>981</v>
      </c>
      <c r="R1309" t="s">
        <v>1095</v>
      </c>
      <c r="S1309" t="s">
        <v>222</v>
      </c>
      <c r="T1309" t="s">
        <v>76</v>
      </c>
      <c r="U1309" t="s">
        <v>104</v>
      </c>
      <c r="V1309" t="s">
        <v>965</v>
      </c>
      <c r="W1309">
        <v>390</v>
      </c>
      <c r="X1309">
        <v>16.989999999999998</v>
      </c>
      <c r="Y1309">
        <v>49</v>
      </c>
      <c r="Z1309">
        <v>279000</v>
      </c>
      <c r="AA1309">
        <v>992550</v>
      </c>
      <c r="AB1309">
        <v>192</v>
      </c>
      <c r="AD1309" t="s">
        <v>238</v>
      </c>
      <c r="AE1309">
        <v>4</v>
      </c>
      <c r="AF1309">
        <v>15</v>
      </c>
      <c r="AI1309">
        <v>105</v>
      </c>
      <c r="AJ1309">
        <v>360</v>
      </c>
      <c r="AK1309">
        <v>480</v>
      </c>
      <c r="AL1309">
        <v>2545</v>
      </c>
      <c r="AM1309">
        <v>0</v>
      </c>
      <c r="AN1309">
        <v>0</v>
      </c>
      <c r="AO1309">
        <v>0</v>
      </c>
      <c r="AP1309" t="s">
        <v>69</v>
      </c>
      <c r="AT1309" t="s">
        <v>240</v>
      </c>
      <c r="AU1309" t="s">
        <v>240</v>
      </c>
      <c r="AV1309" t="s">
        <v>1096</v>
      </c>
      <c r="AW1309" t="s">
        <v>69</v>
      </c>
      <c r="AX1309" t="s">
        <v>1097</v>
      </c>
      <c r="AY1309" t="s">
        <v>1098</v>
      </c>
      <c r="AZ1309" t="s">
        <v>243</v>
      </c>
      <c r="BA1309" t="s">
        <v>264</v>
      </c>
      <c r="BB1309" t="s">
        <v>244</v>
      </c>
      <c r="BC1309" t="s">
        <v>244</v>
      </c>
      <c r="BD1309" t="s">
        <v>3600</v>
      </c>
      <c r="BE1309" t="s">
        <v>3912</v>
      </c>
      <c r="BF1309" t="s">
        <v>86</v>
      </c>
      <c r="BG1309" t="s">
        <v>150</v>
      </c>
      <c r="BH1309" t="str">
        <f>IF(COUNTIF(工作表1!A:A, $C1309)&gt;0, "預購款", "非預購款")</f>
        <v>非預購款</v>
      </c>
    </row>
    <row r="1310" spans="1:60" x14ac:dyDescent="0.25">
      <c r="A1310" t="s">
        <v>1089</v>
      </c>
      <c r="B1310" t="s">
        <v>535</v>
      </c>
      <c r="C1310" t="s">
        <v>1090</v>
      </c>
      <c r="D1310" t="s">
        <v>1091</v>
      </c>
      <c r="E1310" t="s">
        <v>1092</v>
      </c>
      <c r="F1310" t="s">
        <v>184</v>
      </c>
      <c r="G1310" t="s">
        <v>1093</v>
      </c>
      <c r="H1310" t="s">
        <v>130</v>
      </c>
      <c r="I1310" t="s">
        <v>67</v>
      </c>
      <c r="J1310" t="s">
        <v>68</v>
      </c>
      <c r="K1310" t="s">
        <v>69</v>
      </c>
      <c r="L1310" t="s">
        <v>1094</v>
      </c>
      <c r="M1310" t="s">
        <v>71</v>
      </c>
      <c r="N1310" t="s">
        <v>100</v>
      </c>
      <c r="O1310" t="s">
        <v>980</v>
      </c>
      <c r="P1310" t="s">
        <v>981</v>
      </c>
      <c r="R1310" t="s">
        <v>1095</v>
      </c>
      <c r="S1310" t="s">
        <v>222</v>
      </c>
      <c r="T1310" t="s">
        <v>76</v>
      </c>
      <c r="U1310" t="s">
        <v>104</v>
      </c>
      <c r="V1310" t="s">
        <v>965</v>
      </c>
      <c r="W1310">
        <v>390</v>
      </c>
      <c r="X1310">
        <v>16.989999999999998</v>
      </c>
      <c r="Y1310">
        <v>49</v>
      </c>
      <c r="Z1310">
        <v>279000</v>
      </c>
      <c r="AA1310">
        <v>992550</v>
      </c>
      <c r="AB1310">
        <v>192</v>
      </c>
      <c r="AD1310" t="s">
        <v>238</v>
      </c>
      <c r="AE1310">
        <v>4</v>
      </c>
      <c r="AF1310">
        <v>15</v>
      </c>
      <c r="AI1310">
        <v>20</v>
      </c>
      <c r="AJ1310">
        <v>155</v>
      </c>
      <c r="AK1310">
        <v>190</v>
      </c>
      <c r="AL1310">
        <v>2545</v>
      </c>
      <c r="AM1310">
        <v>0</v>
      </c>
      <c r="AN1310">
        <v>0</v>
      </c>
      <c r="AO1310">
        <v>0</v>
      </c>
      <c r="AP1310" t="s">
        <v>69</v>
      </c>
      <c r="AT1310" t="s">
        <v>240</v>
      </c>
      <c r="AU1310" t="s">
        <v>240</v>
      </c>
      <c r="AV1310" t="s">
        <v>1096</v>
      </c>
      <c r="AW1310" t="s">
        <v>69</v>
      </c>
      <c r="AX1310" t="s">
        <v>1097</v>
      </c>
      <c r="AY1310" t="s">
        <v>1098</v>
      </c>
      <c r="AZ1310" t="s">
        <v>243</v>
      </c>
      <c r="BA1310" t="s">
        <v>264</v>
      </c>
      <c r="BB1310" t="s">
        <v>244</v>
      </c>
      <c r="BC1310" t="s">
        <v>244</v>
      </c>
      <c r="BD1310" t="s">
        <v>3601</v>
      </c>
      <c r="BE1310" t="s">
        <v>3912</v>
      </c>
      <c r="BF1310" t="s">
        <v>86</v>
      </c>
      <c r="BG1310" t="s">
        <v>150</v>
      </c>
      <c r="BH1310" t="str">
        <f>IF(COUNTIF(工作表1!A:A, $C1310)&gt;0, "預購款", "非預購款")</f>
        <v>非預購款</v>
      </c>
    </row>
    <row r="1311" spans="1:60" x14ac:dyDescent="0.25">
      <c r="A1311" t="s">
        <v>1089</v>
      </c>
      <c r="B1311" t="s">
        <v>535</v>
      </c>
      <c r="C1311" t="s">
        <v>1090</v>
      </c>
      <c r="D1311" t="s">
        <v>1091</v>
      </c>
      <c r="E1311" t="s">
        <v>1092</v>
      </c>
      <c r="F1311" t="s">
        <v>184</v>
      </c>
      <c r="G1311" t="s">
        <v>1093</v>
      </c>
      <c r="H1311" t="s">
        <v>132</v>
      </c>
      <c r="I1311" t="s">
        <v>67</v>
      </c>
      <c r="J1311" t="s">
        <v>68</v>
      </c>
      <c r="K1311" t="s">
        <v>69</v>
      </c>
      <c r="L1311" t="s">
        <v>1094</v>
      </c>
      <c r="M1311" t="s">
        <v>71</v>
      </c>
      <c r="N1311" t="s">
        <v>100</v>
      </c>
      <c r="O1311" t="s">
        <v>980</v>
      </c>
      <c r="P1311" t="s">
        <v>981</v>
      </c>
      <c r="R1311" t="s">
        <v>1095</v>
      </c>
      <c r="S1311" t="s">
        <v>222</v>
      </c>
      <c r="T1311" t="s">
        <v>76</v>
      </c>
      <c r="U1311" t="s">
        <v>104</v>
      </c>
      <c r="V1311" t="s">
        <v>965</v>
      </c>
      <c r="W1311">
        <v>390</v>
      </c>
      <c r="X1311">
        <v>16.989999999999998</v>
      </c>
      <c r="Y1311">
        <v>49</v>
      </c>
      <c r="Z1311">
        <v>279000</v>
      </c>
      <c r="AA1311">
        <v>992550</v>
      </c>
      <c r="AB1311">
        <v>192</v>
      </c>
      <c r="AD1311" t="s">
        <v>238</v>
      </c>
      <c r="AE1311">
        <v>4</v>
      </c>
      <c r="AF1311">
        <v>15</v>
      </c>
      <c r="AI1311">
        <v>40</v>
      </c>
      <c r="AJ1311">
        <v>45</v>
      </c>
      <c r="AK1311">
        <v>100</v>
      </c>
      <c r="AL1311">
        <v>2545</v>
      </c>
      <c r="AM1311">
        <v>0</v>
      </c>
      <c r="AN1311">
        <v>0</v>
      </c>
      <c r="AO1311">
        <v>0</v>
      </c>
      <c r="AP1311" t="s">
        <v>69</v>
      </c>
      <c r="AT1311" t="s">
        <v>240</v>
      </c>
      <c r="AU1311" t="s">
        <v>240</v>
      </c>
      <c r="AV1311" t="s">
        <v>1096</v>
      </c>
      <c r="AW1311" t="s">
        <v>69</v>
      </c>
      <c r="AX1311" t="s">
        <v>1097</v>
      </c>
      <c r="AY1311" t="s">
        <v>1098</v>
      </c>
      <c r="AZ1311" t="s">
        <v>243</v>
      </c>
      <c r="BA1311" t="s">
        <v>264</v>
      </c>
      <c r="BB1311" t="s">
        <v>244</v>
      </c>
      <c r="BC1311" t="s">
        <v>244</v>
      </c>
      <c r="BD1311" t="s">
        <v>3602</v>
      </c>
      <c r="BE1311" t="s">
        <v>3912</v>
      </c>
      <c r="BF1311" t="s">
        <v>86</v>
      </c>
      <c r="BG1311" t="s">
        <v>150</v>
      </c>
      <c r="BH1311" t="str">
        <f>IF(COUNTIF(工作表1!A:A, $C1311)&gt;0, "預購款", "非預購款")</f>
        <v>非預購款</v>
      </c>
    </row>
    <row r="1312" spans="1:60" x14ac:dyDescent="0.25">
      <c r="A1312" t="s">
        <v>1089</v>
      </c>
      <c r="B1312" t="s">
        <v>535</v>
      </c>
      <c r="C1312" t="s">
        <v>1090</v>
      </c>
      <c r="D1312" t="s">
        <v>1091</v>
      </c>
      <c r="E1312" t="s">
        <v>1092</v>
      </c>
      <c r="F1312" t="s">
        <v>184</v>
      </c>
      <c r="G1312" t="s">
        <v>1093</v>
      </c>
      <c r="H1312" t="s">
        <v>119</v>
      </c>
      <c r="I1312" t="s">
        <v>162</v>
      </c>
      <c r="J1312" t="s">
        <v>163</v>
      </c>
      <c r="K1312" t="s">
        <v>69</v>
      </c>
      <c r="L1312" t="s">
        <v>1094</v>
      </c>
      <c r="M1312" t="s">
        <v>71</v>
      </c>
      <c r="N1312" t="s">
        <v>100</v>
      </c>
      <c r="O1312" t="s">
        <v>980</v>
      </c>
      <c r="P1312" t="s">
        <v>981</v>
      </c>
      <c r="R1312" t="s">
        <v>1095</v>
      </c>
      <c r="S1312" t="s">
        <v>222</v>
      </c>
      <c r="T1312" t="s">
        <v>76</v>
      </c>
      <c r="U1312" t="s">
        <v>104</v>
      </c>
      <c r="V1312" t="s">
        <v>965</v>
      </c>
      <c r="W1312">
        <v>390</v>
      </c>
      <c r="X1312">
        <v>16.989999999999998</v>
      </c>
      <c r="Y1312">
        <v>49</v>
      </c>
      <c r="Z1312">
        <v>279000</v>
      </c>
      <c r="AA1312">
        <v>992550</v>
      </c>
      <c r="AB1312">
        <v>192</v>
      </c>
      <c r="AD1312" t="s">
        <v>238</v>
      </c>
      <c r="AE1312">
        <v>4</v>
      </c>
      <c r="AF1312">
        <v>25</v>
      </c>
      <c r="AI1312">
        <v>10</v>
      </c>
      <c r="AJ1312">
        <v>100</v>
      </c>
      <c r="AK1312">
        <v>135</v>
      </c>
      <c r="AL1312">
        <v>2545</v>
      </c>
      <c r="AM1312">
        <v>0</v>
      </c>
      <c r="AN1312">
        <v>0</v>
      </c>
      <c r="AO1312">
        <v>0</v>
      </c>
      <c r="AP1312" t="s">
        <v>69</v>
      </c>
      <c r="AR1312" t="s">
        <v>86</v>
      </c>
      <c r="AS1312" t="s">
        <v>86</v>
      </c>
      <c r="AT1312" t="s">
        <v>264</v>
      </c>
      <c r="AU1312" t="s">
        <v>264</v>
      </c>
      <c r="AV1312" t="s">
        <v>1096</v>
      </c>
      <c r="AW1312" t="s">
        <v>69</v>
      </c>
      <c r="AX1312" t="s">
        <v>1097</v>
      </c>
      <c r="AY1312" t="s">
        <v>1098</v>
      </c>
      <c r="AZ1312" t="s">
        <v>243</v>
      </c>
      <c r="BA1312" t="s">
        <v>264</v>
      </c>
      <c r="BB1312" t="s">
        <v>244</v>
      </c>
      <c r="BC1312" t="s">
        <v>244</v>
      </c>
      <c r="BD1312" t="s">
        <v>1099</v>
      </c>
      <c r="BE1312" t="s">
        <v>3912</v>
      </c>
      <c r="BF1312" t="s">
        <v>86</v>
      </c>
      <c r="BG1312" t="s">
        <v>150</v>
      </c>
      <c r="BH1312" t="str">
        <f>IF(COUNTIF(工作表1!A:A, $C1312)&gt;0, "預購款", "非預購款")</f>
        <v>非預購款</v>
      </c>
    </row>
    <row r="1313" spans="1:60" x14ac:dyDescent="0.25">
      <c r="A1313" t="s">
        <v>1089</v>
      </c>
      <c r="B1313" t="s">
        <v>535</v>
      </c>
      <c r="C1313" t="s">
        <v>1090</v>
      </c>
      <c r="D1313" t="s">
        <v>1091</v>
      </c>
      <c r="E1313" t="s">
        <v>1092</v>
      </c>
      <c r="F1313" t="s">
        <v>184</v>
      </c>
      <c r="G1313" t="s">
        <v>1093</v>
      </c>
      <c r="H1313" t="s">
        <v>130</v>
      </c>
      <c r="I1313" t="s">
        <v>162</v>
      </c>
      <c r="J1313" t="s">
        <v>163</v>
      </c>
      <c r="K1313" t="s">
        <v>69</v>
      </c>
      <c r="L1313" t="s">
        <v>1094</v>
      </c>
      <c r="M1313" t="s">
        <v>71</v>
      </c>
      <c r="N1313" t="s">
        <v>100</v>
      </c>
      <c r="O1313" t="s">
        <v>980</v>
      </c>
      <c r="P1313" t="s">
        <v>981</v>
      </c>
      <c r="R1313" t="s">
        <v>1095</v>
      </c>
      <c r="S1313" t="s">
        <v>222</v>
      </c>
      <c r="T1313" t="s">
        <v>76</v>
      </c>
      <c r="U1313" t="s">
        <v>104</v>
      </c>
      <c r="V1313" t="s">
        <v>965</v>
      </c>
      <c r="W1313">
        <v>390</v>
      </c>
      <c r="X1313">
        <v>16.989999999999998</v>
      </c>
      <c r="Y1313">
        <v>49</v>
      </c>
      <c r="Z1313">
        <v>279000</v>
      </c>
      <c r="AA1313">
        <v>992550</v>
      </c>
      <c r="AB1313">
        <v>192</v>
      </c>
      <c r="AD1313" t="s">
        <v>238</v>
      </c>
      <c r="AE1313">
        <v>4</v>
      </c>
      <c r="AF1313">
        <v>15</v>
      </c>
      <c r="AI1313">
        <v>30</v>
      </c>
      <c r="AJ1313">
        <v>80</v>
      </c>
      <c r="AK1313">
        <v>125</v>
      </c>
      <c r="AL1313">
        <v>2545</v>
      </c>
      <c r="AM1313">
        <v>0</v>
      </c>
      <c r="AN1313">
        <v>0</v>
      </c>
      <c r="AO1313">
        <v>0</v>
      </c>
      <c r="AP1313" t="s">
        <v>69</v>
      </c>
      <c r="AR1313" t="s">
        <v>86</v>
      </c>
      <c r="AS1313" t="s">
        <v>86</v>
      </c>
      <c r="AT1313" t="s">
        <v>264</v>
      </c>
      <c r="AU1313" t="s">
        <v>264</v>
      </c>
      <c r="AV1313" t="s">
        <v>1096</v>
      </c>
      <c r="AW1313" t="s">
        <v>69</v>
      </c>
      <c r="AX1313" t="s">
        <v>1097</v>
      </c>
      <c r="AY1313" t="s">
        <v>1098</v>
      </c>
      <c r="AZ1313" t="s">
        <v>243</v>
      </c>
      <c r="BA1313" t="s">
        <v>264</v>
      </c>
      <c r="BB1313" t="s">
        <v>244</v>
      </c>
      <c r="BC1313" t="s">
        <v>244</v>
      </c>
      <c r="BD1313" t="s">
        <v>1101</v>
      </c>
      <c r="BE1313" t="s">
        <v>3912</v>
      </c>
      <c r="BF1313" t="s">
        <v>86</v>
      </c>
      <c r="BG1313" t="s">
        <v>150</v>
      </c>
      <c r="BH1313" t="str">
        <f>IF(COUNTIF(工作表1!A:A, $C1313)&gt;0, "預購款", "非預購款")</f>
        <v>非預購款</v>
      </c>
    </row>
    <row r="1314" spans="1:60" x14ac:dyDescent="0.25">
      <c r="A1314" t="s">
        <v>1089</v>
      </c>
      <c r="B1314" t="s">
        <v>535</v>
      </c>
      <c r="C1314" t="s">
        <v>1090</v>
      </c>
      <c r="D1314" t="s">
        <v>1091</v>
      </c>
      <c r="E1314" t="s">
        <v>1092</v>
      </c>
      <c r="F1314" t="s">
        <v>184</v>
      </c>
      <c r="G1314" t="s">
        <v>1093</v>
      </c>
      <c r="H1314" t="s">
        <v>119</v>
      </c>
      <c r="I1314" t="s">
        <v>171</v>
      </c>
      <c r="J1314" t="s">
        <v>172</v>
      </c>
      <c r="K1314" t="s">
        <v>69</v>
      </c>
      <c r="L1314" t="s">
        <v>1094</v>
      </c>
      <c r="M1314" t="s">
        <v>71</v>
      </c>
      <c r="N1314" t="s">
        <v>100</v>
      </c>
      <c r="O1314" t="s">
        <v>980</v>
      </c>
      <c r="P1314" t="s">
        <v>981</v>
      </c>
      <c r="R1314" t="s">
        <v>1095</v>
      </c>
      <c r="S1314" t="s">
        <v>222</v>
      </c>
      <c r="T1314" t="s">
        <v>76</v>
      </c>
      <c r="U1314" t="s">
        <v>104</v>
      </c>
      <c r="V1314" t="s">
        <v>965</v>
      </c>
      <c r="W1314">
        <v>390</v>
      </c>
      <c r="X1314">
        <v>16.989999999999998</v>
      </c>
      <c r="Y1314">
        <v>49</v>
      </c>
      <c r="Z1314">
        <v>279000</v>
      </c>
      <c r="AA1314">
        <v>992550</v>
      </c>
      <c r="AB1314">
        <v>192</v>
      </c>
      <c r="AD1314" t="s">
        <v>238</v>
      </c>
      <c r="AE1314">
        <v>4</v>
      </c>
      <c r="AF1314">
        <v>10</v>
      </c>
      <c r="AI1314">
        <v>20</v>
      </c>
      <c r="AJ1314">
        <v>120</v>
      </c>
      <c r="AK1314">
        <v>150</v>
      </c>
      <c r="AL1314">
        <v>2545</v>
      </c>
      <c r="AM1314">
        <v>0</v>
      </c>
      <c r="AN1314">
        <v>0</v>
      </c>
      <c r="AO1314">
        <v>0</v>
      </c>
      <c r="AP1314" t="s">
        <v>69</v>
      </c>
      <c r="AR1314" t="s">
        <v>86</v>
      </c>
      <c r="AS1314" t="s">
        <v>86</v>
      </c>
      <c r="AT1314" t="s">
        <v>264</v>
      </c>
      <c r="AU1314" t="s">
        <v>264</v>
      </c>
      <c r="AV1314" t="s">
        <v>1096</v>
      </c>
      <c r="AW1314" t="s">
        <v>69</v>
      </c>
      <c r="AX1314" t="s">
        <v>1097</v>
      </c>
      <c r="AY1314" t="s">
        <v>1098</v>
      </c>
      <c r="AZ1314" t="s">
        <v>243</v>
      </c>
      <c r="BA1314" t="s">
        <v>264</v>
      </c>
      <c r="BB1314" t="s">
        <v>244</v>
      </c>
      <c r="BC1314" t="s">
        <v>244</v>
      </c>
      <c r="BD1314" t="s">
        <v>1103</v>
      </c>
      <c r="BE1314" t="s">
        <v>3912</v>
      </c>
      <c r="BF1314" t="s">
        <v>86</v>
      </c>
      <c r="BG1314" t="s">
        <v>150</v>
      </c>
      <c r="BH1314" t="str">
        <f>IF(COUNTIF(工作表1!A:A, $C1314)&gt;0, "預購款", "非預購款")</f>
        <v>非預購款</v>
      </c>
    </row>
    <row r="1315" spans="1:60" x14ac:dyDescent="0.25">
      <c r="A1315" t="s">
        <v>1089</v>
      </c>
      <c r="B1315" t="s">
        <v>535</v>
      </c>
      <c r="C1315" t="s">
        <v>1090</v>
      </c>
      <c r="D1315" t="s">
        <v>1091</v>
      </c>
      <c r="E1315" t="s">
        <v>1092</v>
      </c>
      <c r="F1315" t="s">
        <v>184</v>
      </c>
      <c r="G1315" t="s">
        <v>1093</v>
      </c>
      <c r="H1315" t="s">
        <v>130</v>
      </c>
      <c r="I1315" t="s">
        <v>171</v>
      </c>
      <c r="J1315" t="s">
        <v>172</v>
      </c>
      <c r="K1315" t="s">
        <v>69</v>
      </c>
      <c r="L1315" t="s">
        <v>1094</v>
      </c>
      <c r="M1315" t="s">
        <v>71</v>
      </c>
      <c r="N1315" t="s">
        <v>100</v>
      </c>
      <c r="O1315" t="s">
        <v>980</v>
      </c>
      <c r="P1315" t="s">
        <v>981</v>
      </c>
      <c r="R1315" t="s">
        <v>1095</v>
      </c>
      <c r="S1315" t="s">
        <v>222</v>
      </c>
      <c r="T1315" t="s">
        <v>76</v>
      </c>
      <c r="U1315" t="s">
        <v>104</v>
      </c>
      <c r="V1315" t="s">
        <v>965</v>
      </c>
      <c r="W1315">
        <v>390</v>
      </c>
      <c r="X1315">
        <v>16.989999999999998</v>
      </c>
      <c r="Y1315">
        <v>49</v>
      </c>
      <c r="Z1315">
        <v>279000</v>
      </c>
      <c r="AA1315">
        <v>992550</v>
      </c>
      <c r="AB1315">
        <v>192</v>
      </c>
      <c r="AD1315" t="s">
        <v>238</v>
      </c>
      <c r="AE1315">
        <v>4</v>
      </c>
      <c r="AF1315">
        <v>0</v>
      </c>
      <c r="AI1315">
        <v>20</v>
      </c>
      <c r="AJ1315">
        <v>160</v>
      </c>
      <c r="AK1315">
        <v>180</v>
      </c>
      <c r="AL1315">
        <v>2545</v>
      </c>
      <c r="AM1315">
        <v>0</v>
      </c>
      <c r="AN1315">
        <v>0</v>
      </c>
      <c r="AO1315">
        <v>0</v>
      </c>
      <c r="AP1315" t="s">
        <v>69</v>
      </c>
      <c r="AR1315" t="s">
        <v>86</v>
      </c>
      <c r="AS1315" t="s">
        <v>86</v>
      </c>
      <c r="AT1315" t="s">
        <v>264</v>
      </c>
      <c r="AU1315" t="s">
        <v>264</v>
      </c>
      <c r="AV1315" t="s">
        <v>1096</v>
      </c>
      <c r="AW1315" t="s">
        <v>69</v>
      </c>
      <c r="AX1315" t="s">
        <v>1097</v>
      </c>
      <c r="AY1315" t="s">
        <v>1098</v>
      </c>
      <c r="AZ1315" t="s">
        <v>243</v>
      </c>
      <c r="BA1315" t="s">
        <v>264</v>
      </c>
      <c r="BB1315" t="s">
        <v>244</v>
      </c>
      <c r="BC1315" t="s">
        <v>244</v>
      </c>
      <c r="BD1315" t="s">
        <v>1104</v>
      </c>
      <c r="BE1315" t="s">
        <v>3912</v>
      </c>
      <c r="BF1315" t="s">
        <v>86</v>
      </c>
      <c r="BG1315" t="s">
        <v>150</v>
      </c>
      <c r="BH1315" t="str">
        <f>IF(COUNTIF(工作表1!A:A, $C1315)&gt;0, "預購款", "非預購款")</f>
        <v>非預購款</v>
      </c>
    </row>
    <row r="1316" spans="1:60" x14ac:dyDescent="0.25">
      <c r="A1316" t="s">
        <v>1089</v>
      </c>
      <c r="B1316" t="s">
        <v>535</v>
      </c>
      <c r="C1316" t="s">
        <v>1090</v>
      </c>
      <c r="D1316" t="s">
        <v>1091</v>
      </c>
      <c r="E1316" t="s">
        <v>1092</v>
      </c>
      <c r="F1316" t="s">
        <v>184</v>
      </c>
      <c r="G1316" t="s">
        <v>1093</v>
      </c>
      <c r="H1316" t="s">
        <v>132</v>
      </c>
      <c r="I1316" t="s">
        <v>171</v>
      </c>
      <c r="J1316" t="s">
        <v>172</v>
      </c>
      <c r="K1316" t="s">
        <v>69</v>
      </c>
      <c r="L1316" t="s">
        <v>1094</v>
      </c>
      <c r="M1316" t="s">
        <v>71</v>
      </c>
      <c r="N1316" t="s">
        <v>100</v>
      </c>
      <c r="O1316" t="s">
        <v>980</v>
      </c>
      <c r="P1316" t="s">
        <v>981</v>
      </c>
      <c r="R1316" t="s">
        <v>1095</v>
      </c>
      <c r="S1316" t="s">
        <v>222</v>
      </c>
      <c r="T1316" t="s">
        <v>76</v>
      </c>
      <c r="U1316" t="s">
        <v>104</v>
      </c>
      <c r="V1316" t="s">
        <v>965</v>
      </c>
      <c r="W1316">
        <v>390</v>
      </c>
      <c r="X1316">
        <v>16.989999999999998</v>
      </c>
      <c r="Y1316">
        <v>49</v>
      </c>
      <c r="Z1316">
        <v>279000</v>
      </c>
      <c r="AA1316">
        <v>992550</v>
      </c>
      <c r="AB1316">
        <v>192</v>
      </c>
      <c r="AD1316" t="s">
        <v>238</v>
      </c>
      <c r="AE1316">
        <v>4</v>
      </c>
      <c r="AF1316">
        <v>0</v>
      </c>
      <c r="AI1316">
        <v>30</v>
      </c>
      <c r="AJ1316">
        <v>20</v>
      </c>
      <c r="AK1316">
        <v>50</v>
      </c>
      <c r="AL1316">
        <v>2545</v>
      </c>
      <c r="AM1316">
        <v>0</v>
      </c>
      <c r="AN1316">
        <v>0</v>
      </c>
      <c r="AO1316">
        <v>0</v>
      </c>
      <c r="AP1316" t="s">
        <v>69</v>
      </c>
      <c r="AR1316" t="s">
        <v>86</v>
      </c>
      <c r="AS1316" t="s">
        <v>86</v>
      </c>
      <c r="AT1316" t="s">
        <v>264</v>
      </c>
      <c r="AU1316" t="s">
        <v>264</v>
      </c>
      <c r="AV1316" t="s">
        <v>1096</v>
      </c>
      <c r="AW1316" t="s">
        <v>69</v>
      </c>
      <c r="AX1316" t="s">
        <v>1097</v>
      </c>
      <c r="AY1316" t="s">
        <v>1098</v>
      </c>
      <c r="AZ1316" t="s">
        <v>243</v>
      </c>
      <c r="BA1316" t="s">
        <v>264</v>
      </c>
      <c r="BB1316" t="s">
        <v>244</v>
      </c>
      <c r="BC1316" t="s">
        <v>244</v>
      </c>
      <c r="BD1316" t="s">
        <v>1105</v>
      </c>
      <c r="BE1316" t="s">
        <v>3912</v>
      </c>
      <c r="BF1316" t="s">
        <v>86</v>
      </c>
      <c r="BG1316" t="s">
        <v>150</v>
      </c>
      <c r="BH1316" t="str">
        <f>IF(COUNTIF(工作表1!A:A, $C1316)&gt;0, "預購款", "非預購款")</f>
        <v>非預購款</v>
      </c>
    </row>
    <row r="1317" spans="1:60" x14ac:dyDescent="0.25">
      <c r="A1317" t="s">
        <v>3008</v>
      </c>
      <c r="B1317" t="s">
        <v>226</v>
      </c>
      <c r="C1317" t="s">
        <v>3009</v>
      </c>
      <c r="D1317" t="s">
        <v>3010</v>
      </c>
      <c r="E1317" t="s">
        <v>3011</v>
      </c>
      <c r="F1317" t="s">
        <v>179</v>
      </c>
      <c r="G1317" t="s">
        <v>3012</v>
      </c>
      <c r="H1317" t="s">
        <v>119</v>
      </c>
      <c r="I1317" t="s">
        <v>97</v>
      </c>
      <c r="J1317" t="s">
        <v>98</v>
      </c>
      <c r="K1317" t="s">
        <v>69</v>
      </c>
      <c r="L1317" t="s">
        <v>3013</v>
      </c>
      <c r="M1317" t="s">
        <v>71</v>
      </c>
      <c r="N1317" t="s">
        <v>198</v>
      </c>
      <c r="O1317" t="s">
        <v>2893</v>
      </c>
      <c r="P1317" t="s">
        <v>2894</v>
      </c>
      <c r="R1317" t="s">
        <v>2518</v>
      </c>
      <c r="S1317" t="s">
        <v>183</v>
      </c>
      <c r="T1317" t="s">
        <v>76</v>
      </c>
      <c r="U1317" t="s">
        <v>104</v>
      </c>
      <c r="V1317" t="s">
        <v>593</v>
      </c>
      <c r="W1317">
        <v>590</v>
      </c>
      <c r="X1317">
        <v>29.99</v>
      </c>
      <c r="Y1317">
        <v>75</v>
      </c>
      <c r="Z1317">
        <v>429000</v>
      </c>
      <c r="AA1317">
        <v>762870</v>
      </c>
      <c r="AB1317">
        <v>216</v>
      </c>
      <c r="AD1317" t="s">
        <v>238</v>
      </c>
      <c r="AE1317">
        <v>2</v>
      </c>
      <c r="AF1317">
        <v>20</v>
      </c>
      <c r="AI1317">
        <v>0</v>
      </c>
      <c r="AJ1317">
        <v>380</v>
      </c>
      <c r="AK1317">
        <v>400</v>
      </c>
      <c r="AL1317">
        <v>1293</v>
      </c>
      <c r="AM1317">
        <v>403</v>
      </c>
      <c r="AN1317">
        <v>0</v>
      </c>
      <c r="AO1317">
        <v>403</v>
      </c>
      <c r="AP1317" t="s">
        <v>80</v>
      </c>
      <c r="AQ1317" t="s">
        <v>190</v>
      </c>
      <c r="AR1317" t="s">
        <v>86</v>
      </c>
      <c r="AS1317" t="s">
        <v>86</v>
      </c>
      <c r="AT1317" t="s">
        <v>86</v>
      </c>
      <c r="AU1317" t="s">
        <v>86</v>
      </c>
      <c r="AV1317" t="s">
        <v>3014</v>
      </c>
      <c r="AW1317" t="s">
        <v>69</v>
      </c>
      <c r="AX1317" t="s">
        <v>218</v>
      </c>
      <c r="AY1317" t="s">
        <v>3015</v>
      </c>
      <c r="AZ1317" t="s">
        <v>243</v>
      </c>
      <c r="BA1317" t="s">
        <v>264</v>
      </c>
      <c r="BB1317" t="s">
        <v>244</v>
      </c>
      <c r="BC1317" t="s">
        <v>244</v>
      </c>
      <c r="BD1317" t="s">
        <v>3016</v>
      </c>
      <c r="BE1317" t="s">
        <v>3913</v>
      </c>
      <c r="BF1317" t="s">
        <v>86</v>
      </c>
      <c r="BG1317" t="s">
        <v>150</v>
      </c>
      <c r="BH1317" t="str">
        <f>IF(COUNTIF(工作表1!A:A, $C1317)&gt;0, "預購款", "非預購款")</f>
        <v>非預購款</v>
      </c>
    </row>
    <row r="1318" spans="1:60" x14ac:dyDescent="0.25">
      <c r="A1318" t="s">
        <v>3008</v>
      </c>
      <c r="B1318" t="s">
        <v>226</v>
      </c>
      <c r="C1318" t="s">
        <v>3009</v>
      </c>
      <c r="D1318" t="s">
        <v>3010</v>
      </c>
      <c r="E1318" t="s">
        <v>3011</v>
      </c>
      <c r="F1318" t="s">
        <v>179</v>
      </c>
      <c r="G1318" t="s">
        <v>3012</v>
      </c>
      <c r="H1318" t="s">
        <v>130</v>
      </c>
      <c r="I1318" t="s">
        <v>97</v>
      </c>
      <c r="J1318" t="s">
        <v>98</v>
      </c>
      <c r="K1318" t="s">
        <v>69</v>
      </c>
      <c r="L1318" t="s">
        <v>3013</v>
      </c>
      <c r="M1318" t="s">
        <v>71</v>
      </c>
      <c r="N1318" t="s">
        <v>198</v>
      </c>
      <c r="O1318" t="s">
        <v>2893</v>
      </c>
      <c r="P1318" t="s">
        <v>2894</v>
      </c>
      <c r="R1318" t="s">
        <v>2518</v>
      </c>
      <c r="S1318" t="s">
        <v>183</v>
      </c>
      <c r="T1318" t="s">
        <v>76</v>
      </c>
      <c r="U1318" t="s">
        <v>104</v>
      </c>
      <c r="V1318" t="s">
        <v>593</v>
      </c>
      <c r="W1318">
        <v>590</v>
      </c>
      <c r="X1318">
        <v>29.99</v>
      </c>
      <c r="Y1318">
        <v>75</v>
      </c>
      <c r="Z1318">
        <v>429000</v>
      </c>
      <c r="AA1318">
        <v>762870</v>
      </c>
      <c r="AB1318">
        <v>216</v>
      </c>
      <c r="AD1318" t="s">
        <v>238</v>
      </c>
      <c r="AE1318">
        <v>2</v>
      </c>
      <c r="AF1318">
        <v>15</v>
      </c>
      <c r="AI1318">
        <v>0</v>
      </c>
      <c r="AJ1318">
        <v>225</v>
      </c>
      <c r="AK1318">
        <v>240</v>
      </c>
      <c r="AL1318">
        <v>1293</v>
      </c>
      <c r="AM1318">
        <v>238</v>
      </c>
      <c r="AN1318">
        <v>0</v>
      </c>
      <c r="AO1318">
        <v>238</v>
      </c>
      <c r="AP1318" t="s">
        <v>80</v>
      </c>
      <c r="AQ1318" t="s">
        <v>190</v>
      </c>
      <c r="AR1318" t="s">
        <v>86</v>
      </c>
      <c r="AS1318" t="s">
        <v>86</v>
      </c>
      <c r="AT1318" t="s">
        <v>86</v>
      </c>
      <c r="AU1318" t="s">
        <v>86</v>
      </c>
      <c r="AV1318" t="s">
        <v>3014</v>
      </c>
      <c r="AW1318" t="s">
        <v>69</v>
      </c>
      <c r="AX1318" t="s">
        <v>218</v>
      </c>
      <c r="AY1318" t="s">
        <v>3015</v>
      </c>
      <c r="AZ1318" t="s">
        <v>243</v>
      </c>
      <c r="BA1318" t="s">
        <v>264</v>
      </c>
      <c r="BB1318" t="s">
        <v>244</v>
      </c>
      <c r="BC1318" t="s">
        <v>244</v>
      </c>
      <c r="BD1318" t="s">
        <v>3017</v>
      </c>
      <c r="BE1318" t="s">
        <v>3913</v>
      </c>
      <c r="BF1318" t="s">
        <v>86</v>
      </c>
      <c r="BG1318" t="s">
        <v>150</v>
      </c>
      <c r="BH1318" t="str">
        <f>IF(COUNTIF(工作表1!A:A, $C1318)&gt;0, "預購款", "非預購款")</f>
        <v>非預購款</v>
      </c>
    </row>
    <row r="1319" spans="1:60" x14ac:dyDescent="0.25">
      <c r="A1319" t="s">
        <v>3008</v>
      </c>
      <c r="B1319" t="s">
        <v>226</v>
      </c>
      <c r="C1319" t="s">
        <v>3009</v>
      </c>
      <c r="D1319" t="s">
        <v>3010</v>
      </c>
      <c r="E1319" t="s">
        <v>3011</v>
      </c>
      <c r="F1319" t="s">
        <v>179</v>
      </c>
      <c r="G1319" t="s">
        <v>3012</v>
      </c>
      <c r="H1319" t="s">
        <v>132</v>
      </c>
      <c r="I1319" t="s">
        <v>97</v>
      </c>
      <c r="J1319" t="s">
        <v>98</v>
      </c>
      <c r="K1319" t="s">
        <v>69</v>
      </c>
      <c r="L1319" t="s">
        <v>3013</v>
      </c>
      <c r="M1319" t="s">
        <v>71</v>
      </c>
      <c r="N1319" t="s">
        <v>198</v>
      </c>
      <c r="O1319" t="s">
        <v>2893</v>
      </c>
      <c r="P1319" t="s">
        <v>2894</v>
      </c>
      <c r="R1319" t="s">
        <v>2518</v>
      </c>
      <c r="S1319" t="s">
        <v>183</v>
      </c>
      <c r="T1319" t="s">
        <v>76</v>
      </c>
      <c r="U1319" t="s">
        <v>104</v>
      </c>
      <c r="V1319" t="s">
        <v>593</v>
      </c>
      <c r="W1319">
        <v>590</v>
      </c>
      <c r="X1319">
        <v>29.99</v>
      </c>
      <c r="Y1319">
        <v>75</v>
      </c>
      <c r="Z1319">
        <v>429000</v>
      </c>
      <c r="AA1319">
        <v>762870</v>
      </c>
      <c r="AB1319">
        <v>216</v>
      </c>
      <c r="AD1319" t="s">
        <v>238</v>
      </c>
      <c r="AE1319">
        <v>2</v>
      </c>
      <c r="AF1319">
        <v>5</v>
      </c>
      <c r="AI1319">
        <v>0</v>
      </c>
      <c r="AJ1319">
        <v>140</v>
      </c>
      <c r="AK1319">
        <v>145</v>
      </c>
      <c r="AL1319">
        <v>1293</v>
      </c>
      <c r="AM1319">
        <v>138</v>
      </c>
      <c r="AN1319">
        <v>0</v>
      </c>
      <c r="AO1319">
        <v>138</v>
      </c>
      <c r="AP1319" t="s">
        <v>80</v>
      </c>
      <c r="AQ1319" t="s">
        <v>190</v>
      </c>
      <c r="AR1319" t="s">
        <v>86</v>
      </c>
      <c r="AS1319" t="s">
        <v>86</v>
      </c>
      <c r="AT1319" t="s">
        <v>86</v>
      </c>
      <c r="AU1319" t="s">
        <v>86</v>
      </c>
      <c r="AV1319" t="s">
        <v>3014</v>
      </c>
      <c r="AW1319" t="s">
        <v>69</v>
      </c>
      <c r="AX1319" t="s">
        <v>218</v>
      </c>
      <c r="AY1319" t="s">
        <v>3015</v>
      </c>
      <c r="AZ1319" t="s">
        <v>243</v>
      </c>
      <c r="BA1319" t="s">
        <v>264</v>
      </c>
      <c r="BB1319" t="s">
        <v>244</v>
      </c>
      <c r="BC1319" t="s">
        <v>244</v>
      </c>
      <c r="BD1319" t="s">
        <v>3018</v>
      </c>
      <c r="BE1319" t="s">
        <v>3913</v>
      </c>
      <c r="BF1319" t="s">
        <v>86</v>
      </c>
      <c r="BG1319" t="s">
        <v>150</v>
      </c>
      <c r="BH1319" t="str">
        <f>IF(COUNTIF(工作表1!A:A, $C1319)&gt;0, "預購款", "非預購款")</f>
        <v>非預購款</v>
      </c>
    </row>
    <row r="1320" spans="1:60" x14ac:dyDescent="0.25">
      <c r="A1320" t="s">
        <v>3008</v>
      </c>
      <c r="B1320" t="s">
        <v>226</v>
      </c>
      <c r="C1320" t="s">
        <v>3009</v>
      </c>
      <c r="D1320" t="s">
        <v>3010</v>
      </c>
      <c r="E1320" t="s">
        <v>3011</v>
      </c>
      <c r="F1320" t="s">
        <v>179</v>
      </c>
      <c r="G1320" t="s">
        <v>3012</v>
      </c>
      <c r="H1320" t="s">
        <v>119</v>
      </c>
      <c r="I1320" t="s">
        <v>1228</v>
      </c>
      <c r="J1320" t="s">
        <v>1229</v>
      </c>
      <c r="K1320" t="s">
        <v>69</v>
      </c>
      <c r="L1320" t="s">
        <v>3013</v>
      </c>
      <c r="M1320" t="s">
        <v>71</v>
      </c>
      <c r="N1320" t="s">
        <v>198</v>
      </c>
      <c r="O1320" t="s">
        <v>2893</v>
      </c>
      <c r="P1320" t="s">
        <v>2894</v>
      </c>
      <c r="R1320" t="s">
        <v>2518</v>
      </c>
      <c r="S1320" t="s">
        <v>183</v>
      </c>
      <c r="T1320" t="s">
        <v>76</v>
      </c>
      <c r="U1320" t="s">
        <v>104</v>
      </c>
      <c r="V1320" t="s">
        <v>593</v>
      </c>
      <c r="W1320">
        <v>590</v>
      </c>
      <c r="X1320">
        <v>29.99</v>
      </c>
      <c r="Y1320">
        <v>75</v>
      </c>
      <c r="Z1320">
        <v>429000</v>
      </c>
      <c r="AA1320">
        <v>762870</v>
      </c>
      <c r="AB1320">
        <v>216</v>
      </c>
      <c r="AD1320" t="s">
        <v>238</v>
      </c>
      <c r="AE1320">
        <v>2</v>
      </c>
      <c r="AF1320">
        <v>10</v>
      </c>
      <c r="AI1320">
        <v>10</v>
      </c>
      <c r="AJ1320">
        <v>240</v>
      </c>
      <c r="AK1320">
        <v>260</v>
      </c>
      <c r="AL1320">
        <v>1293</v>
      </c>
      <c r="AM1320">
        <v>268</v>
      </c>
      <c r="AN1320">
        <v>0</v>
      </c>
      <c r="AO1320">
        <v>268</v>
      </c>
      <c r="AP1320" t="s">
        <v>80</v>
      </c>
      <c r="AQ1320" t="s">
        <v>190</v>
      </c>
      <c r="AR1320" t="s">
        <v>86</v>
      </c>
      <c r="AS1320" t="s">
        <v>86</v>
      </c>
      <c r="AT1320" t="s">
        <v>86</v>
      </c>
      <c r="AU1320" t="s">
        <v>86</v>
      </c>
      <c r="AV1320" t="s">
        <v>3014</v>
      </c>
      <c r="AW1320" t="s">
        <v>69</v>
      </c>
      <c r="AX1320" t="s">
        <v>218</v>
      </c>
      <c r="AY1320" t="s">
        <v>3015</v>
      </c>
      <c r="AZ1320" t="s">
        <v>243</v>
      </c>
      <c r="BA1320" t="s">
        <v>264</v>
      </c>
      <c r="BB1320" t="s">
        <v>244</v>
      </c>
      <c r="BC1320" t="s">
        <v>244</v>
      </c>
      <c r="BD1320" t="s">
        <v>3019</v>
      </c>
      <c r="BE1320" t="s">
        <v>3913</v>
      </c>
      <c r="BF1320" t="s">
        <v>86</v>
      </c>
      <c r="BG1320" t="s">
        <v>150</v>
      </c>
      <c r="BH1320" t="str">
        <f>IF(COUNTIF(工作表1!A:A, $C1320)&gt;0, "預購款", "非預購款")</f>
        <v>非預購款</v>
      </c>
    </row>
    <row r="1321" spans="1:60" x14ac:dyDescent="0.25">
      <c r="A1321" t="s">
        <v>3008</v>
      </c>
      <c r="B1321" t="s">
        <v>226</v>
      </c>
      <c r="C1321" t="s">
        <v>3009</v>
      </c>
      <c r="D1321" t="s">
        <v>3010</v>
      </c>
      <c r="E1321" t="s">
        <v>3011</v>
      </c>
      <c r="F1321" t="s">
        <v>179</v>
      </c>
      <c r="G1321" t="s">
        <v>3012</v>
      </c>
      <c r="H1321" t="s">
        <v>130</v>
      </c>
      <c r="I1321" t="s">
        <v>1228</v>
      </c>
      <c r="J1321" t="s">
        <v>1229</v>
      </c>
      <c r="K1321" t="s">
        <v>69</v>
      </c>
      <c r="L1321" t="s">
        <v>3013</v>
      </c>
      <c r="M1321" t="s">
        <v>71</v>
      </c>
      <c r="N1321" t="s">
        <v>198</v>
      </c>
      <c r="O1321" t="s">
        <v>2893</v>
      </c>
      <c r="P1321" t="s">
        <v>2894</v>
      </c>
      <c r="R1321" t="s">
        <v>2518</v>
      </c>
      <c r="S1321" t="s">
        <v>183</v>
      </c>
      <c r="T1321" t="s">
        <v>76</v>
      </c>
      <c r="U1321" t="s">
        <v>104</v>
      </c>
      <c r="V1321" t="s">
        <v>593</v>
      </c>
      <c r="W1321">
        <v>590</v>
      </c>
      <c r="X1321">
        <v>29.99</v>
      </c>
      <c r="Y1321">
        <v>75</v>
      </c>
      <c r="Z1321">
        <v>429000</v>
      </c>
      <c r="AA1321">
        <v>762870</v>
      </c>
      <c r="AB1321">
        <v>216</v>
      </c>
      <c r="AD1321" t="s">
        <v>238</v>
      </c>
      <c r="AE1321">
        <v>2</v>
      </c>
      <c r="AF1321">
        <v>6</v>
      </c>
      <c r="AI1321">
        <v>10</v>
      </c>
      <c r="AJ1321">
        <v>150</v>
      </c>
      <c r="AK1321">
        <v>166</v>
      </c>
      <c r="AL1321">
        <v>1293</v>
      </c>
      <c r="AM1321">
        <v>156</v>
      </c>
      <c r="AN1321">
        <v>0</v>
      </c>
      <c r="AO1321">
        <v>156</v>
      </c>
      <c r="AP1321" t="s">
        <v>80</v>
      </c>
      <c r="AQ1321" t="s">
        <v>190</v>
      </c>
      <c r="AR1321" t="s">
        <v>86</v>
      </c>
      <c r="AS1321" t="s">
        <v>86</v>
      </c>
      <c r="AT1321" t="s">
        <v>86</v>
      </c>
      <c r="AU1321" t="s">
        <v>86</v>
      </c>
      <c r="AV1321" t="s">
        <v>3014</v>
      </c>
      <c r="AW1321" t="s">
        <v>69</v>
      </c>
      <c r="AX1321" t="s">
        <v>218</v>
      </c>
      <c r="AY1321" t="s">
        <v>3015</v>
      </c>
      <c r="AZ1321" t="s">
        <v>243</v>
      </c>
      <c r="BA1321" t="s">
        <v>264</v>
      </c>
      <c r="BB1321" t="s">
        <v>244</v>
      </c>
      <c r="BC1321" t="s">
        <v>244</v>
      </c>
      <c r="BD1321" t="s">
        <v>3020</v>
      </c>
      <c r="BE1321" t="s">
        <v>3913</v>
      </c>
      <c r="BF1321" t="s">
        <v>86</v>
      </c>
      <c r="BG1321" t="s">
        <v>150</v>
      </c>
      <c r="BH1321" t="str">
        <f>IF(COUNTIF(工作表1!A:A, $C1321)&gt;0, "預購款", "非預購款")</f>
        <v>非預購款</v>
      </c>
    </row>
    <row r="1322" spans="1:60" x14ac:dyDescent="0.25">
      <c r="A1322" t="s">
        <v>3008</v>
      </c>
      <c r="B1322" t="s">
        <v>226</v>
      </c>
      <c r="C1322" t="s">
        <v>3009</v>
      </c>
      <c r="D1322" t="s">
        <v>3010</v>
      </c>
      <c r="E1322" t="s">
        <v>3011</v>
      </c>
      <c r="F1322" t="s">
        <v>179</v>
      </c>
      <c r="G1322" t="s">
        <v>3012</v>
      </c>
      <c r="H1322" t="s">
        <v>132</v>
      </c>
      <c r="I1322" t="s">
        <v>1228</v>
      </c>
      <c r="J1322" t="s">
        <v>1229</v>
      </c>
      <c r="K1322" t="s">
        <v>69</v>
      </c>
      <c r="L1322" t="s">
        <v>3013</v>
      </c>
      <c r="M1322" t="s">
        <v>71</v>
      </c>
      <c r="N1322" t="s">
        <v>198</v>
      </c>
      <c r="O1322" t="s">
        <v>2893</v>
      </c>
      <c r="P1322" t="s">
        <v>2894</v>
      </c>
      <c r="R1322" t="s">
        <v>2518</v>
      </c>
      <c r="S1322" t="s">
        <v>183</v>
      </c>
      <c r="T1322" t="s">
        <v>76</v>
      </c>
      <c r="U1322" t="s">
        <v>104</v>
      </c>
      <c r="V1322" t="s">
        <v>593</v>
      </c>
      <c r="W1322">
        <v>590</v>
      </c>
      <c r="X1322">
        <v>29.99</v>
      </c>
      <c r="Y1322">
        <v>75</v>
      </c>
      <c r="Z1322">
        <v>429000</v>
      </c>
      <c r="AA1322">
        <v>762870</v>
      </c>
      <c r="AB1322">
        <v>216</v>
      </c>
      <c r="AD1322" t="s">
        <v>238</v>
      </c>
      <c r="AE1322">
        <v>2</v>
      </c>
      <c r="AF1322">
        <v>2</v>
      </c>
      <c r="AI1322">
        <v>10</v>
      </c>
      <c r="AJ1322">
        <v>70</v>
      </c>
      <c r="AK1322">
        <v>82</v>
      </c>
      <c r="AL1322">
        <v>1293</v>
      </c>
      <c r="AM1322">
        <v>93</v>
      </c>
      <c r="AN1322">
        <v>0</v>
      </c>
      <c r="AO1322">
        <v>93</v>
      </c>
      <c r="AP1322" t="s">
        <v>80</v>
      </c>
      <c r="AQ1322" t="s">
        <v>190</v>
      </c>
      <c r="AR1322" t="s">
        <v>86</v>
      </c>
      <c r="AS1322" t="s">
        <v>86</v>
      </c>
      <c r="AT1322" t="s">
        <v>86</v>
      </c>
      <c r="AU1322" t="s">
        <v>86</v>
      </c>
      <c r="AV1322" t="s">
        <v>3014</v>
      </c>
      <c r="AW1322" t="s">
        <v>69</v>
      </c>
      <c r="AX1322" t="s">
        <v>218</v>
      </c>
      <c r="AY1322" t="s">
        <v>3015</v>
      </c>
      <c r="AZ1322" t="s">
        <v>243</v>
      </c>
      <c r="BA1322" t="s">
        <v>264</v>
      </c>
      <c r="BB1322" t="s">
        <v>244</v>
      </c>
      <c r="BC1322" t="s">
        <v>244</v>
      </c>
      <c r="BD1322" t="s">
        <v>3021</v>
      </c>
      <c r="BE1322" t="s">
        <v>3913</v>
      </c>
      <c r="BF1322" t="s">
        <v>86</v>
      </c>
      <c r="BG1322" t="s">
        <v>150</v>
      </c>
      <c r="BH1322" t="str">
        <f>IF(COUNTIF(工作表1!A:A, $C1322)&gt;0, "預購款", "非預購款")</f>
        <v>非預購款</v>
      </c>
    </row>
    <row r="1323" spans="1:60" x14ac:dyDescent="0.25">
      <c r="A1323" t="s">
        <v>3778</v>
      </c>
      <c r="B1323" t="s">
        <v>226</v>
      </c>
      <c r="C1323" t="s">
        <v>3779</v>
      </c>
      <c r="D1323" t="s">
        <v>3780</v>
      </c>
      <c r="E1323" t="s">
        <v>3781</v>
      </c>
      <c r="F1323" t="s">
        <v>3416</v>
      </c>
      <c r="G1323" t="s">
        <v>3782</v>
      </c>
      <c r="H1323" t="s">
        <v>119</v>
      </c>
      <c r="I1323" t="s">
        <v>97</v>
      </c>
      <c r="J1323" t="s">
        <v>98</v>
      </c>
      <c r="K1323" t="s">
        <v>69</v>
      </c>
      <c r="L1323" t="s">
        <v>3783</v>
      </c>
      <c r="M1323" t="s">
        <v>71</v>
      </c>
      <c r="N1323" t="s">
        <v>198</v>
      </c>
      <c r="O1323" t="s">
        <v>1307</v>
      </c>
      <c r="P1323" t="s">
        <v>1308</v>
      </c>
      <c r="R1323" t="s">
        <v>1309</v>
      </c>
      <c r="S1323" t="s">
        <v>190</v>
      </c>
      <c r="T1323" t="s">
        <v>258</v>
      </c>
      <c r="U1323" t="s">
        <v>104</v>
      </c>
      <c r="V1323" t="s">
        <v>1519</v>
      </c>
      <c r="W1323">
        <v>590</v>
      </c>
      <c r="X1323">
        <v>29.99</v>
      </c>
      <c r="Y1323">
        <v>75</v>
      </c>
      <c r="Z1323">
        <v>429000</v>
      </c>
      <c r="AA1323">
        <v>247800</v>
      </c>
      <c r="AB1323">
        <v>140</v>
      </c>
      <c r="AD1323" t="s">
        <v>238</v>
      </c>
      <c r="AE1323">
        <v>2</v>
      </c>
      <c r="AF1323">
        <v>0</v>
      </c>
      <c r="AI1323">
        <v>0</v>
      </c>
      <c r="AJ1323">
        <v>40</v>
      </c>
      <c r="AK1323">
        <v>40</v>
      </c>
      <c r="AL1323">
        <v>420</v>
      </c>
      <c r="AM1323">
        <v>0</v>
      </c>
      <c r="AN1323">
        <v>0</v>
      </c>
      <c r="AO1323">
        <v>0</v>
      </c>
      <c r="AP1323" t="s">
        <v>69</v>
      </c>
      <c r="AT1323" t="s">
        <v>264</v>
      </c>
      <c r="AU1323" t="s">
        <v>264</v>
      </c>
      <c r="AV1323" t="s">
        <v>569</v>
      </c>
      <c r="AW1323" t="s">
        <v>69</v>
      </c>
      <c r="AX1323" t="s">
        <v>583</v>
      </c>
      <c r="AY1323" t="s">
        <v>3662</v>
      </c>
      <c r="AZ1323" t="s">
        <v>245</v>
      </c>
      <c r="BA1323" t="s">
        <v>264</v>
      </c>
      <c r="BB1323" t="s">
        <v>244</v>
      </c>
      <c r="BC1323" t="s">
        <v>244</v>
      </c>
      <c r="BD1323" t="s">
        <v>3784</v>
      </c>
      <c r="BE1323" t="s">
        <v>3914</v>
      </c>
      <c r="BF1323" t="s">
        <v>240</v>
      </c>
      <c r="BG1323" t="s">
        <v>150</v>
      </c>
      <c r="BH1323" t="str">
        <f>IF(COUNTIF(工作表1!A:A, $C1323)&gt;0, "預購款", "非預購款")</f>
        <v>預購款</v>
      </c>
    </row>
    <row r="1324" spans="1:60" x14ac:dyDescent="0.25">
      <c r="A1324" t="s">
        <v>3778</v>
      </c>
      <c r="B1324" t="s">
        <v>226</v>
      </c>
      <c r="C1324" t="s">
        <v>3779</v>
      </c>
      <c r="D1324" t="s">
        <v>3780</v>
      </c>
      <c r="E1324" t="s">
        <v>3781</v>
      </c>
      <c r="F1324" t="s">
        <v>3416</v>
      </c>
      <c r="G1324" t="s">
        <v>3782</v>
      </c>
      <c r="H1324" t="s">
        <v>130</v>
      </c>
      <c r="I1324" t="s">
        <v>97</v>
      </c>
      <c r="J1324" t="s">
        <v>98</v>
      </c>
      <c r="K1324" t="s">
        <v>69</v>
      </c>
      <c r="L1324" t="s">
        <v>3783</v>
      </c>
      <c r="M1324" t="s">
        <v>71</v>
      </c>
      <c r="N1324" t="s">
        <v>198</v>
      </c>
      <c r="O1324" t="s">
        <v>1307</v>
      </c>
      <c r="P1324" t="s">
        <v>1308</v>
      </c>
      <c r="R1324" t="s">
        <v>1309</v>
      </c>
      <c r="S1324" t="s">
        <v>190</v>
      </c>
      <c r="T1324" t="s">
        <v>258</v>
      </c>
      <c r="U1324" t="s">
        <v>104</v>
      </c>
      <c r="V1324" t="s">
        <v>1519</v>
      </c>
      <c r="W1324">
        <v>590</v>
      </c>
      <c r="X1324">
        <v>29.99</v>
      </c>
      <c r="Y1324">
        <v>75</v>
      </c>
      <c r="Z1324">
        <v>429000</v>
      </c>
      <c r="AA1324">
        <v>247800</v>
      </c>
      <c r="AB1324">
        <v>140</v>
      </c>
      <c r="AD1324" t="s">
        <v>238</v>
      </c>
      <c r="AE1324">
        <v>2</v>
      </c>
      <c r="AF1324">
        <v>0</v>
      </c>
      <c r="AI1324">
        <v>0</v>
      </c>
      <c r="AJ1324">
        <v>80</v>
      </c>
      <c r="AK1324">
        <v>80</v>
      </c>
      <c r="AL1324">
        <v>420</v>
      </c>
      <c r="AM1324">
        <v>0</v>
      </c>
      <c r="AN1324">
        <v>0</v>
      </c>
      <c r="AO1324">
        <v>0</v>
      </c>
      <c r="AP1324" t="s">
        <v>69</v>
      </c>
      <c r="AT1324" t="s">
        <v>264</v>
      </c>
      <c r="AU1324" t="s">
        <v>264</v>
      </c>
      <c r="AV1324" t="s">
        <v>569</v>
      </c>
      <c r="AW1324" t="s">
        <v>69</v>
      </c>
      <c r="AX1324" t="s">
        <v>583</v>
      </c>
      <c r="AY1324" t="s">
        <v>3662</v>
      </c>
      <c r="AZ1324" t="s">
        <v>245</v>
      </c>
      <c r="BA1324" t="s">
        <v>264</v>
      </c>
      <c r="BB1324" t="s">
        <v>244</v>
      </c>
      <c r="BC1324" t="s">
        <v>244</v>
      </c>
      <c r="BD1324" t="s">
        <v>3786</v>
      </c>
      <c r="BE1324" t="s">
        <v>3914</v>
      </c>
      <c r="BF1324" t="s">
        <v>240</v>
      </c>
      <c r="BG1324" t="s">
        <v>150</v>
      </c>
      <c r="BH1324" t="str">
        <f>IF(COUNTIF(工作表1!A:A, $C1324)&gt;0, "預購款", "非預購款")</f>
        <v>預購款</v>
      </c>
    </row>
    <row r="1325" spans="1:60" x14ac:dyDescent="0.25">
      <c r="A1325" t="s">
        <v>3778</v>
      </c>
      <c r="B1325" t="s">
        <v>226</v>
      </c>
      <c r="C1325" t="s">
        <v>3779</v>
      </c>
      <c r="D1325" t="s">
        <v>3780</v>
      </c>
      <c r="E1325" t="s">
        <v>3781</v>
      </c>
      <c r="F1325" t="s">
        <v>3416</v>
      </c>
      <c r="G1325" t="s">
        <v>3782</v>
      </c>
      <c r="H1325" t="s">
        <v>132</v>
      </c>
      <c r="I1325" t="s">
        <v>97</v>
      </c>
      <c r="J1325" t="s">
        <v>98</v>
      </c>
      <c r="K1325" t="s">
        <v>69</v>
      </c>
      <c r="L1325" t="s">
        <v>3783</v>
      </c>
      <c r="M1325" t="s">
        <v>71</v>
      </c>
      <c r="N1325" t="s">
        <v>198</v>
      </c>
      <c r="O1325" t="s">
        <v>1307</v>
      </c>
      <c r="P1325" t="s">
        <v>1308</v>
      </c>
      <c r="R1325" t="s">
        <v>1309</v>
      </c>
      <c r="S1325" t="s">
        <v>190</v>
      </c>
      <c r="T1325" t="s">
        <v>258</v>
      </c>
      <c r="U1325" t="s">
        <v>104</v>
      </c>
      <c r="V1325" t="s">
        <v>1519</v>
      </c>
      <c r="W1325">
        <v>590</v>
      </c>
      <c r="X1325">
        <v>29.99</v>
      </c>
      <c r="Y1325">
        <v>75</v>
      </c>
      <c r="Z1325">
        <v>429000</v>
      </c>
      <c r="AA1325">
        <v>247800</v>
      </c>
      <c r="AB1325">
        <v>140</v>
      </c>
      <c r="AD1325" t="s">
        <v>238</v>
      </c>
      <c r="AE1325">
        <v>2</v>
      </c>
      <c r="AF1325">
        <v>0</v>
      </c>
      <c r="AI1325">
        <v>0</v>
      </c>
      <c r="AJ1325">
        <v>60</v>
      </c>
      <c r="AK1325">
        <v>60</v>
      </c>
      <c r="AL1325">
        <v>420</v>
      </c>
      <c r="AM1325">
        <v>0</v>
      </c>
      <c r="AN1325">
        <v>0</v>
      </c>
      <c r="AO1325">
        <v>0</v>
      </c>
      <c r="AP1325" t="s">
        <v>69</v>
      </c>
      <c r="AT1325" t="s">
        <v>264</v>
      </c>
      <c r="AU1325" t="s">
        <v>264</v>
      </c>
      <c r="AV1325" t="s">
        <v>569</v>
      </c>
      <c r="AW1325" t="s">
        <v>69</v>
      </c>
      <c r="AX1325" t="s">
        <v>583</v>
      </c>
      <c r="AY1325" t="s">
        <v>3662</v>
      </c>
      <c r="AZ1325" t="s">
        <v>245</v>
      </c>
      <c r="BA1325" t="s">
        <v>264</v>
      </c>
      <c r="BB1325" t="s">
        <v>244</v>
      </c>
      <c r="BC1325" t="s">
        <v>244</v>
      </c>
      <c r="BD1325" t="s">
        <v>3787</v>
      </c>
      <c r="BE1325" t="s">
        <v>3914</v>
      </c>
      <c r="BF1325" t="s">
        <v>240</v>
      </c>
      <c r="BG1325" t="s">
        <v>150</v>
      </c>
      <c r="BH1325" t="str">
        <f>IF(COUNTIF(工作表1!A:A, $C1325)&gt;0, "預購款", "非預購款")</f>
        <v>預購款</v>
      </c>
    </row>
    <row r="1326" spans="1:60" x14ac:dyDescent="0.25">
      <c r="A1326" t="s">
        <v>3778</v>
      </c>
      <c r="B1326" t="s">
        <v>226</v>
      </c>
      <c r="C1326" t="s">
        <v>3779</v>
      </c>
      <c r="D1326" t="s">
        <v>3780</v>
      </c>
      <c r="E1326" t="s">
        <v>3781</v>
      </c>
      <c r="F1326" t="s">
        <v>3416</v>
      </c>
      <c r="G1326" t="s">
        <v>3782</v>
      </c>
      <c r="H1326" t="s">
        <v>119</v>
      </c>
      <c r="I1326" t="s">
        <v>422</v>
      </c>
      <c r="J1326" t="s">
        <v>423</v>
      </c>
      <c r="K1326" t="s">
        <v>69</v>
      </c>
      <c r="L1326" t="s">
        <v>3783</v>
      </c>
      <c r="M1326" t="s">
        <v>71</v>
      </c>
      <c r="N1326" t="s">
        <v>198</v>
      </c>
      <c r="O1326" t="s">
        <v>1307</v>
      </c>
      <c r="P1326" t="s">
        <v>1308</v>
      </c>
      <c r="R1326" t="s">
        <v>1309</v>
      </c>
      <c r="S1326" t="s">
        <v>190</v>
      </c>
      <c r="T1326" t="s">
        <v>258</v>
      </c>
      <c r="U1326" t="s">
        <v>104</v>
      </c>
      <c r="V1326" t="s">
        <v>1519</v>
      </c>
      <c r="W1326">
        <v>590</v>
      </c>
      <c r="X1326">
        <v>29.99</v>
      </c>
      <c r="Y1326">
        <v>75</v>
      </c>
      <c r="Z1326">
        <v>429000</v>
      </c>
      <c r="AA1326">
        <v>247800</v>
      </c>
      <c r="AB1326">
        <v>140</v>
      </c>
      <c r="AD1326" t="s">
        <v>238</v>
      </c>
      <c r="AE1326">
        <v>2</v>
      </c>
      <c r="AF1326">
        <v>0</v>
      </c>
      <c r="AI1326">
        <v>0</v>
      </c>
      <c r="AJ1326">
        <v>40</v>
      </c>
      <c r="AK1326">
        <v>40</v>
      </c>
      <c r="AL1326">
        <v>420</v>
      </c>
      <c r="AM1326">
        <v>0</v>
      </c>
      <c r="AN1326">
        <v>0</v>
      </c>
      <c r="AO1326">
        <v>0</v>
      </c>
      <c r="AP1326" t="s">
        <v>69</v>
      </c>
      <c r="AT1326" t="s">
        <v>264</v>
      </c>
      <c r="AU1326" t="s">
        <v>264</v>
      </c>
      <c r="AV1326" t="s">
        <v>569</v>
      </c>
      <c r="AW1326" t="s">
        <v>69</v>
      </c>
      <c r="AX1326" t="s">
        <v>583</v>
      </c>
      <c r="AY1326" t="s">
        <v>3662</v>
      </c>
      <c r="AZ1326" t="s">
        <v>245</v>
      </c>
      <c r="BA1326" t="s">
        <v>264</v>
      </c>
      <c r="BB1326" t="s">
        <v>244</v>
      </c>
      <c r="BC1326" t="s">
        <v>244</v>
      </c>
      <c r="BD1326" t="s">
        <v>3788</v>
      </c>
      <c r="BE1326" t="s">
        <v>3914</v>
      </c>
      <c r="BF1326" t="s">
        <v>240</v>
      </c>
      <c r="BG1326" t="s">
        <v>150</v>
      </c>
      <c r="BH1326" t="str">
        <f>IF(COUNTIF(工作表1!A:A, $C1326)&gt;0, "預購款", "非預購款")</f>
        <v>預購款</v>
      </c>
    </row>
    <row r="1327" spans="1:60" x14ac:dyDescent="0.25">
      <c r="A1327" t="s">
        <v>3778</v>
      </c>
      <c r="B1327" t="s">
        <v>226</v>
      </c>
      <c r="C1327" t="s">
        <v>3779</v>
      </c>
      <c r="D1327" t="s">
        <v>3780</v>
      </c>
      <c r="E1327" t="s">
        <v>3781</v>
      </c>
      <c r="F1327" t="s">
        <v>3416</v>
      </c>
      <c r="G1327" t="s">
        <v>3782</v>
      </c>
      <c r="H1327" t="s">
        <v>130</v>
      </c>
      <c r="I1327" t="s">
        <v>422</v>
      </c>
      <c r="J1327" t="s">
        <v>423</v>
      </c>
      <c r="K1327" t="s">
        <v>69</v>
      </c>
      <c r="L1327" t="s">
        <v>3783</v>
      </c>
      <c r="M1327" t="s">
        <v>71</v>
      </c>
      <c r="N1327" t="s">
        <v>198</v>
      </c>
      <c r="O1327" t="s">
        <v>1307</v>
      </c>
      <c r="P1327" t="s">
        <v>1308</v>
      </c>
      <c r="R1327" t="s">
        <v>1309</v>
      </c>
      <c r="S1327" t="s">
        <v>190</v>
      </c>
      <c r="T1327" t="s">
        <v>258</v>
      </c>
      <c r="U1327" t="s">
        <v>104</v>
      </c>
      <c r="V1327" t="s">
        <v>1519</v>
      </c>
      <c r="W1327">
        <v>590</v>
      </c>
      <c r="X1327">
        <v>29.99</v>
      </c>
      <c r="Y1327">
        <v>75</v>
      </c>
      <c r="Z1327">
        <v>429000</v>
      </c>
      <c r="AA1327">
        <v>247800</v>
      </c>
      <c r="AB1327">
        <v>140</v>
      </c>
      <c r="AD1327" t="s">
        <v>238</v>
      </c>
      <c r="AE1327">
        <v>2</v>
      </c>
      <c r="AF1327">
        <v>0</v>
      </c>
      <c r="AI1327">
        <v>40</v>
      </c>
      <c r="AJ1327">
        <v>80</v>
      </c>
      <c r="AK1327">
        <v>120</v>
      </c>
      <c r="AL1327">
        <v>420</v>
      </c>
      <c r="AM1327">
        <v>0</v>
      </c>
      <c r="AN1327">
        <v>0</v>
      </c>
      <c r="AO1327">
        <v>0</v>
      </c>
      <c r="AP1327" t="s">
        <v>69</v>
      </c>
      <c r="AT1327" t="s">
        <v>264</v>
      </c>
      <c r="AU1327" t="s">
        <v>264</v>
      </c>
      <c r="AV1327" t="s">
        <v>569</v>
      </c>
      <c r="AW1327" t="s">
        <v>69</v>
      </c>
      <c r="AX1327" t="s">
        <v>583</v>
      </c>
      <c r="AY1327" t="s">
        <v>3662</v>
      </c>
      <c r="AZ1327" t="s">
        <v>245</v>
      </c>
      <c r="BA1327" t="s">
        <v>264</v>
      </c>
      <c r="BB1327" t="s">
        <v>244</v>
      </c>
      <c r="BC1327" t="s">
        <v>244</v>
      </c>
      <c r="BD1327" t="s">
        <v>3789</v>
      </c>
      <c r="BE1327" t="s">
        <v>3914</v>
      </c>
      <c r="BF1327" t="s">
        <v>240</v>
      </c>
      <c r="BG1327" t="s">
        <v>150</v>
      </c>
      <c r="BH1327" t="str">
        <f>IF(COUNTIF(工作表1!A:A, $C1327)&gt;0, "預購款", "非預購款")</f>
        <v>預購款</v>
      </c>
    </row>
    <row r="1328" spans="1:60" x14ac:dyDescent="0.25">
      <c r="A1328" t="s">
        <v>3778</v>
      </c>
      <c r="B1328" t="s">
        <v>226</v>
      </c>
      <c r="C1328" t="s">
        <v>3779</v>
      </c>
      <c r="D1328" t="s">
        <v>3780</v>
      </c>
      <c r="E1328" t="s">
        <v>3781</v>
      </c>
      <c r="F1328" t="s">
        <v>3416</v>
      </c>
      <c r="G1328" t="s">
        <v>3782</v>
      </c>
      <c r="H1328" t="s">
        <v>132</v>
      </c>
      <c r="I1328" t="s">
        <v>422</v>
      </c>
      <c r="J1328" t="s">
        <v>423</v>
      </c>
      <c r="K1328" t="s">
        <v>69</v>
      </c>
      <c r="L1328" t="s">
        <v>3783</v>
      </c>
      <c r="M1328" t="s">
        <v>71</v>
      </c>
      <c r="N1328" t="s">
        <v>198</v>
      </c>
      <c r="O1328" t="s">
        <v>1307</v>
      </c>
      <c r="P1328" t="s">
        <v>1308</v>
      </c>
      <c r="R1328" t="s">
        <v>1309</v>
      </c>
      <c r="S1328" t="s">
        <v>190</v>
      </c>
      <c r="T1328" t="s">
        <v>258</v>
      </c>
      <c r="U1328" t="s">
        <v>104</v>
      </c>
      <c r="V1328" t="s">
        <v>1519</v>
      </c>
      <c r="W1328">
        <v>590</v>
      </c>
      <c r="X1328">
        <v>29.99</v>
      </c>
      <c r="Y1328">
        <v>75</v>
      </c>
      <c r="Z1328">
        <v>429000</v>
      </c>
      <c r="AA1328">
        <v>247800</v>
      </c>
      <c r="AB1328">
        <v>140</v>
      </c>
      <c r="AD1328" t="s">
        <v>238</v>
      </c>
      <c r="AE1328">
        <v>2</v>
      </c>
      <c r="AF1328">
        <v>0</v>
      </c>
      <c r="AI1328">
        <v>20</v>
      </c>
      <c r="AJ1328">
        <v>60</v>
      </c>
      <c r="AK1328">
        <v>80</v>
      </c>
      <c r="AL1328">
        <v>420</v>
      </c>
      <c r="AM1328">
        <v>0</v>
      </c>
      <c r="AN1328">
        <v>0</v>
      </c>
      <c r="AO1328">
        <v>0</v>
      </c>
      <c r="AP1328" t="s">
        <v>69</v>
      </c>
      <c r="AT1328" t="s">
        <v>264</v>
      </c>
      <c r="AU1328" t="s">
        <v>264</v>
      </c>
      <c r="AV1328" t="s">
        <v>569</v>
      </c>
      <c r="AW1328" t="s">
        <v>69</v>
      </c>
      <c r="AX1328" t="s">
        <v>583</v>
      </c>
      <c r="AY1328" t="s">
        <v>3662</v>
      </c>
      <c r="AZ1328" t="s">
        <v>245</v>
      </c>
      <c r="BA1328" t="s">
        <v>264</v>
      </c>
      <c r="BB1328" t="s">
        <v>244</v>
      </c>
      <c r="BC1328" t="s">
        <v>244</v>
      </c>
      <c r="BD1328" t="s">
        <v>3790</v>
      </c>
      <c r="BE1328" t="s">
        <v>3914</v>
      </c>
      <c r="BF1328" t="s">
        <v>240</v>
      </c>
      <c r="BG1328" t="s">
        <v>150</v>
      </c>
      <c r="BH1328" t="str">
        <f>IF(COUNTIF(工作表1!A:A, $C1328)&gt;0, "預購款", "非預購款")</f>
        <v>預購款</v>
      </c>
    </row>
    <row r="1329" spans="1:60" x14ac:dyDescent="0.25">
      <c r="A1329" t="s">
        <v>3666</v>
      </c>
      <c r="B1329" t="s">
        <v>226</v>
      </c>
      <c r="C1329" t="s">
        <v>3667</v>
      </c>
      <c r="D1329" t="s">
        <v>3668</v>
      </c>
      <c r="E1329" t="s">
        <v>3669</v>
      </c>
      <c r="F1329" t="s">
        <v>3416</v>
      </c>
      <c r="G1329" t="s">
        <v>3670</v>
      </c>
      <c r="H1329" t="s">
        <v>66</v>
      </c>
      <c r="I1329" t="s">
        <v>120</v>
      </c>
      <c r="J1329" t="s">
        <v>121</v>
      </c>
      <c r="K1329" t="s">
        <v>69</v>
      </c>
      <c r="L1329" t="s">
        <v>3671</v>
      </c>
      <c r="M1329" t="s">
        <v>71</v>
      </c>
      <c r="N1329" t="s">
        <v>198</v>
      </c>
      <c r="O1329" t="s">
        <v>1307</v>
      </c>
      <c r="P1329" t="s">
        <v>1308</v>
      </c>
      <c r="R1329" t="s">
        <v>1309</v>
      </c>
      <c r="S1329" t="s">
        <v>190</v>
      </c>
      <c r="T1329" t="s">
        <v>258</v>
      </c>
      <c r="U1329" t="s">
        <v>104</v>
      </c>
      <c r="V1329" t="s">
        <v>1620</v>
      </c>
      <c r="W1329">
        <v>790</v>
      </c>
      <c r="X1329">
        <v>34.99</v>
      </c>
      <c r="Y1329">
        <v>99</v>
      </c>
      <c r="Z1329">
        <v>569000</v>
      </c>
      <c r="AA1329">
        <v>122450</v>
      </c>
      <c r="AB1329">
        <v>285</v>
      </c>
      <c r="AD1329" t="s">
        <v>238</v>
      </c>
      <c r="AE1329">
        <v>2</v>
      </c>
      <c r="AF1329">
        <v>0</v>
      </c>
      <c r="AI1329">
        <v>30</v>
      </c>
      <c r="AJ1329">
        <v>50</v>
      </c>
      <c r="AK1329">
        <v>80</v>
      </c>
      <c r="AL1329">
        <v>155</v>
      </c>
      <c r="AM1329">
        <v>0</v>
      </c>
      <c r="AN1329">
        <v>0</v>
      </c>
      <c r="AO1329">
        <v>0</v>
      </c>
      <c r="AP1329" t="s">
        <v>69</v>
      </c>
      <c r="AT1329" t="s">
        <v>240</v>
      </c>
      <c r="AU1329" t="s">
        <v>240</v>
      </c>
      <c r="AV1329" t="s">
        <v>3661</v>
      </c>
      <c r="AW1329" t="s">
        <v>69</v>
      </c>
      <c r="AX1329" t="s">
        <v>583</v>
      </c>
      <c r="AY1329" t="s">
        <v>631</v>
      </c>
      <c r="AZ1329" t="s">
        <v>245</v>
      </c>
      <c r="BA1329" t="s">
        <v>310</v>
      </c>
      <c r="BB1329" t="s">
        <v>244</v>
      </c>
      <c r="BC1329" t="s">
        <v>244</v>
      </c>
      <c r="BD1329" t="s">
        <v>3672</v>
      </c>
      <c r="BE1329" t="s">
        <v>3915</v>
      </c>
      <c r="BF1329" t="s">
        <v>240</v>
      </c>
      <c r="BG1329" t="s">
        <v>150</v>
      </c>
      <c r="BH1329" t="str">
        <f>IF(COUNTIF(工作表1!A:A, $C1329)&gt;0, "預購款", "非預購款")</f>
        <v>預購款</v>
      </c>
    </row>
    <row r="1330" spans="1:60" x14ac:dyDescent="0.25">
      <c r="A1330" t="s">
        <v>3666</v>
      </c>
      <c r="B1330" t="s">
        <v>226</v>
      </c>
      <c r="C1330" t="s">
        <v>3667</v>
      </c>
      <c r="D1330" t="s">
        <v>3668</v>
      </c>
      <c r="E1330" t="s">
        <v>3669</v>
      </c>
      <c r="F1330" t="s">
        <v>3416</v>
      </c>
      <c r="G1330" t="s">
        <v>3670</v>
      </c>
      <c r="H1330" t="s">
        <v>66</v>
      </c>
      <c r="I1330" t="s">
        <v>97</v>
      </c>
      <c r="J1330" t="s">
        <v>98</v>
      </c>
      <c r="K1330" t="s">
        <v>69</v>
      </c>
      <c r="L1330" t="s">
        <v>3671</v>
      </c>
      <c r="M1330" t="s">
        <v>71</v>
      </c>
      <c r="N1330" t="s">
        <v>198</v>
      </c>
      <c r="O1330" t="s">
        <v>1307</v>
      </c>
      <c r="P1330" t="s">
        <v>1308</v>
      </c>
      <c r="R1330" t="s">
        <v>1309</v>
      </c>
      <c r="S1330" t="s">
        <v>190</v>
      </c>
      <c r="T1330" t="s">
        <v>258</v>
      </c>
      <c r="U1330" t="s">
        <v>104</v>
      </c>
      <c r="V1330" t="s">
        <v>1620</v>
      </c>
      <c r="W1330">
        <v>790</v>
      </c>
      <c r="X1330">
        <v>34.99</v>
      </c>
      <c r="Y1330">
        <v>99</v>
      </c>
      <c r="Z1330">
        <v>569000</v>
      </c>
      <c r="AA1330">
        <v>122450</v>
      </c>
      <c r="AB1330">
        <v>285</v>
      </c>
      <c r="AD1330" t="s">
        <v>238</v>
      </c>
      <c r="AE1330">
        <v>2</v>
      </c>
      <c r="AF1330">
        <v>0</v>
      </c>
      <c r="AI1330">
        <v>0</v>
      </c>
      <c r="AJ1330">
        <v>75</v>
      </c>
      <c r="AK1330">
        <v>75</v>
      </c>
      <c r="AL1330">
        <v>155</v>
      </c>
      <c r="AM1330">
        <v>0</v>
      </c>
      <c r="AN1330">
        <v>0</v>
      </c>
      <c r="AO1330">
        <v>0</v>
      </c>
      <c r="AP1330" t="s">
        <v>69</v>
      </c>
      <c r="AT1330" t="s">
        <v>240</v>
      </c>
      <c r="AU1330" t="s">
        <v>240</v>
      </c>
      <c r="AV1330" t="s">
        <v>3661</v>
      </c>
      <c r="AW1330" t="s">
        <v>69</v>
      </c>
      <c r="AX1330" t="s">
        <v>583</v>
      </c>
      <c r="AY1330" t="s">
        <v>631</v>
      </c>
      <c r="AZ1330" t="s">
        <v>245</v>
      </c>
      <c r="BA1330" t="s">
        <v>310</v>
      </c>
      <c r="BB1330" t="s">
        <v>244</v>
      </c>
      <c r="BC1330" t="s">
        <v>244</v>
      </c>
      <c r="BD1330" t="s">
        <v>3674</v>
      </c>
      <c r="BE1330" t="s">
        <v>3915</v>
      </c>
      <c r="BF1330" t="s">
        <v>240</v>
      </c>
      <c r="BG1330" t="s">
        <v>150</v>
      </c>
      <c r="BH1330" t="str">
        <f>IF(COUNTIF(工作表1!A:A, $C1330)&gt;0, "預購款", "非預購款")</f>
        <v>預購款</v>
      </c>
    </row>
    <row r="1331" spans="1:60" x14ac:dyDescent="0.25">
      <c r="A1331" t="s">
        <v>3675</v>
      </c>
      <c r="B1331" t="s">
        <v>226</v>
      </c>
      <c r="C1331" t="s">
        <v>3676</v>
      </c>
      <c r="D1331" t="s">
        <v>3677</v>
      </c>
      <c r="E1331" t="s">
        <v>3678</v>
      </c>
      <c r="F1331" t="s">
        <v>3416</v>
      </c>
      <c r="G1331" t="s">
        <v>3679</v>
      </c>
      <c r="H1331" t="s">
        <v>632</v>
      </c>
      <c r="I1331" t="s">
        <v>120</v>
      </c>
      <c r="J1331" t="s">
        <v>121</v>
      </c>
      <c r="K1331" t="s">
        <v>69</v>
      </c>
      <c r="L1331" t="s">
        <v>3671</v>
      </c>
      <c r="M1331" t="s">
        <v>71</v>
      </c>
      <c r="N1331" t="s">
        <v>198</v>
      </c>
      <c r="O1331" t="s">
        <v>1307</v>
      </c>
      <c r="P1331" t="s">
        <v>1308</v>
      </c>
      <c r="R1331" t="s">
        <v>1309</v>
      </c>
      <c r="S1331" t="s">
        <v>190</v>
      </c>
      <c r="T1331" t="s">
        <v>274</v>
      </c>
      <c r="U1331" t="s">
        <v>104</v>
      </c>
      <c r="V1331" t="s">
        <v>1620</v>
      </c>
      <c r="W1331">
        <v>890</v>
      </c>
      <c r="X1331">
        <v>39.99</v>
      </c>
      <c r="Y1331">
        <v>115</v>
      </c>
      <c r="Z1331">
        <v>639000</v>
      </c>
      <c r="AA1331">
        <v>129050</v>
      </c>
      <c r="AB1331">
        <v>300</v>
      </c>
      <c r="AD1331" t="s">
        <v>238</v>
      </c>
      <c r="AE1331">
        <v>1</v>
      </c>
      <c r="AF1331">
        <v>0</v>
      </c>
      <c r="AI1331">
        <v>30</v>
      </c>
      <c r="AJ1331">
        <v>115</v>
      </c>
      <c r="AK1331">
        <v>145</v>
      </c>
      <c r="AL1331">
        <v>145</v>
      </c>
      <c r="AM1331">
        <v>0</v>
      </c>
      <c r="AN1331">
        <v>0</v>
      </c>
      <c r="AO1331">
        <v>0</v>
      </c>
      <c r="AP1331" t="s">
        <v>69</v>
      </c>
      <c r="AT1331" t="s">
        <v>240</v>
      </c>
      <c r="AU1331" t="s">
        <v>240</v>
      </c>
      <c r="AV1331" t="s">
        <v>3680</v>
      </c>
      <c r="AW1331" t="s">
        <v>69</v>
      </c>
      <c r="AX1331" t="s">
        <v>611</v>
      </c>
      <c r="AY1331" t="s">
        <v>634</v>
      </c>
      <c r="AZ1331" t="s">
        <v>245</v>
      </c>
      <c r="BA1331" t="s">
        <v>310</v>
      </c>
      <c r="BB1331" t="s">
        <v>244</v>
      </c>
      <c r="BC1331" t="s">
        <v>244</v>
      </c>
      <c r="BD1331" t="s">
        <v>3681</v>
      </c>
      <c r="BE1331" t="s">
        <v>3916</v>
      </c>
      <c r="BF1331" t="s">
        <v>279</v>
      </c>
      <c r="BG1331" t="s">
        <v>150</v>
      </c>
      <c r="BH1331" t="str">
        <f>IF(COUNTIF(工作表1!A:A, $C1331)&gt;0, "預購款", "非預購款")</f>
        <v>預購款</v>
      </c>
    </row>
    <row r="1332" spans="1:60" x14ac:dyDescent="0.25">
      <c r="A1332" t="s">
        <v>3682</v>
      </c>
      <c r="B1332" t="s">
        <v>283</v>
      </c>
      <c r="C1332" t="s">
        <v>3683</v>
      </c>
      <c r="D1332" t="s">
        <v>3684</v>
      </c>
      <c r="E1332" t="s">
        <v>3685</v>
      </c>
      <c r="F1332" t="s">
        <v>3416</v>
      </c>
      <c r="G1332" t="s">
        <v>3686</v>
      </c>
      <c r="H1332" t="s">
        <v>119</v>
      </c>
      <c r="I1332" t="s">
        <v>97</v>
      </c>
      <c r="J1332" t="s">
        <v>98</v>
      </c>
      <c r="K1332" t="s">
        <v>69</v>
      </c>
      <c r="L1332" t="s">
        <v>3687</v>
      </c>
      <c r="M1332" t="s">
        <v>71</v>
      </c>
      <c r="N1332" t="s">
        <v>198</v>
      </c>
      <c r="O1332" t="s">
        <v>1307</v>
      </c>
      <c r="P1332" t="s">
        <v>1308</v>
      </c>
      <c r="R1332" t="s">
        <v>1309</v>
      </c>
      <c r="S1332" t="s">
        <v>190</v>
      </c>
      <c r="T1332" t="s">
        <v>258</v>
      </c>
      <c r="U1332" t="s">
        <v>150</v>
      </c>
      <c r="V1332" t="s">
        <v>166</v>
      </c>
      <c r="W1332">
        <v>790</v>
      </c>
      <c r="X1332">
        <v>34.99</v>
      </c>
      <c r="Y1332">
        <v>99</v>
      </c>
      <c r="Z1332">
        <v>569000</v>
      </c>
      <c r="AA1332">
        <v>237000</v>
      </c>
      <c r="AB1332">
        <v>180</v>
      </c>
      <c r="AD1332" t="s">
        <v>238</v>
      </c>
      <c r="AE1332">
        <v>1</v>
      </c>
      <c r="AF1332">
        <v>0</v>
      </c>
      <c r="AI1332">
        <v>30</v>
      </c>
      <c r="AJ1332">
        <v>80</v>
      </c>
      <c r="AK1332">
        <v>110</v>
      </c>
      <c r="AL1332">
        <v>300</v>
      </c>
      <c r="AM1332">
        <v>120</v>
      </c>
      <c r="AN1332">
        <v>0</v>
      </c>
      <c r="AO1332">
        <v>120</v>
      </c>
      <c r="AP1332" t="s">
        <v>69</v>
      </c>
      <c r="AT1332" t="s">
        <v>240</v>
      </c>
      <c r="AU1332" t="s">
        <v>240</v>
      </c>
      <c r="AV1332" t="s">
        <v>569</v>
      </c>
      <c r="AW1332" t="s">
        <v>69</v>
      </c>
      <c r="AX1332" t="s">
        <v>583</v>
      </c>
      <c r="AY1332" t="s">
        <v>3688</v>
      </c>
      <c r="AZ1332" t="s">
        <v>243</v>
      </c>
      <c r="BA1332" t="s">
        <v>245</v>
      </c>
      <c r="BB1332" t="s">
        <v>244</v>
      </c>
      <c r="BC1332" t="s">
        <v>264</v>
      </c>
      <c r="BD1332" t="s">
        <v>3689</v>
      </c>
      <c r="BE1332" t="s">
        <v>3917</v>
      </c>
      <c r="BF1332" t="s">
        <v>240</v>
      </c>
      <c r="BG1332" t="s">
        <v>87</v>
      </c>
      <c r="BH1332" t="str">
        <f>IF(COUNTIF(工作表1!A:A, $C1332)&gt;0, "預購款", "非預購款")</f>
        <v>預購款</v>
      </c>
    </row>
    <row r="1333" spans="1:60" x14ac:dyDescent="0.25">
      <c r="A1333" t="s">
        <v>3682</v>
      </c>
      <c r="B1333" t="s">
        <v>283</v>
      </c>
      <c r="C1333" t="s">
        <v>3683</v>
      </c>
      <c r="D1333" t="s">
        <v>3684</v>
      </c>
      <c r="E1333" t="s">
        <v>3685</v>
      </c>
      <c r="F1333" t="s">
        <v>3416</v>
      </c>
      <c r="G1333" t="s">
        <v>3686</v>
      </c>
      <c r="H1333" t="s">
        <v>130</v>
      </c>
      <c r="I1333" t="s">
        <v>97</v>
      </c>
      <c r="J1333" t="s">
        <v>98</v>
      </c>
      <c r="K1333" t="s">
        <v>69</v>
      </c>
      <c r="L1333" t="s">
        <v>3687</v>
      </c>
      <c r="M1333" t="s">
        <v>71</v>
      </c>
      <c r="N1333" t="s">
        <v>198</v>
      </c>
      <c r="O1333" t="s">
        <v>1307</v>
      </c>
      <c r="P1333" t="s">
        <v>1308</v>
      </c>
      <c r="R1333" t="s">
        <v>1309</v>
      </c>
      <c r="S1333" t="s">
        <v>190</v>
      </c>
      <c r="T1333" t="s">
        <v>258</v>
      </c>
      <c r="U1333" t="s">
        <v>150</v>
      </c>
      <c r="V1333" t="s">
        <v>166</v>
      </c>
      <c r="W1333">
        <v>790</v>
      </c>
      <c r="X1333">
        <v>34.99</v>
      </c>
      <c r="Y1333">
        <v>99</v>
      </c>
      <c r="Z1333">
        <v>569000</v>
      </c>
      <c r="AA1333">
        <v>237000</v>
      </c>
      <c r="AB1333">
        <v>180</v>
      </c>
      <c r="AD1333" t="s">
        <v>238</v>
      </c>
      <c r="AE1333">
        <v>1</v>
      </c>
      <c r="AF1333">
        <v>0</v>
      </c>
      <c r="AI1333">
        <v>50</v>
      </c>
      <c r="AJ1333">
        <v>60</v>
      </c>
      <c r="AK1333">
        <v>110</v>
      </c>
      <c r="AL1333">
        <v>300</v>
      </c>
      <c r="AM1333">
        <v>120</v>
      </c>
      <c r="AN1333">
        <v>0</v>
      </c>
      <c r="AO1333">
        <v>120</v>
      </c>
      <c r="AP1333" t="s">
        <v>69</v>
      </c>
      <c r="AT1333" t="s">
        <v>240</v>
      </c>
      <c r="AU1333" t="s">
        <v>240</v>
      </c>
      <c r="AV1333" t="s">
        <v>569</v>
      </c>
      <c r="AW1333" t="s">
        <v>69</v>
      </c>
      <c r="AX1333" t="s">
        <v>583</v>
      </c>
      <c r="AY1333" t="s">
        <v>3688</v>
      </c>
      <c r="AZ1333" t="s">
        <v>243</v>
      </c>
      <c r="BA1333" t="s">
        <v>245</v>
      </c>
      <c r="BB1333" t="s">
        <v>244</v>
      </c>
      <c r="BC1333" t="s">
        <v>264</v>
      </c>
      <c r="BD1333" t="s">
        <v>3691</v>
      </c>
      <c r="BE1333" t="s">
        <v>3917</v>
      </c>
      <c r="BF1333" t="s">
        <v>240</v>
      </c>
      <c r="BG1333" t="s">
        <v>87</v>
      </c>
      <c r="BH1333" t="str">
        <f>IF(COUNTIF(工作表1!A:A, $C1333)&gt;0, "預購款", "非預購款")</f>
        <v>預購款</v>
      </c>
    </row>
    <row r="1334" spans="1:60" x14ac:dyDescent="0.25">
      <c r="A1334" t="s">
        <v>3682</v>
      </c>
      <c r="B1334" t="s">
        <v>283</v>
      </c>
      <c r="C1334" t="s">
        <v>3683</v>
      </c>
      <c r="D1334" t="s">
        <v>3684</v>
      </c>
      <c r="E1334" t="s">
        <v>3685</v>
      </c>
      <c r="F1334" t="s">
        <v>3416</v>
      </c>
      <c r="G1334" t="s">
        <v>3686</v>
      </c>
      <c r="H1334" t="s">
        <v>132</v>
      </c>
      <c r="I1334" t="s">
        <v>97</v>
      </c>
      <c r="J1334" t="s">
        <v>98</v>
      </c>
      <c r="K1334" t="s">
        <v>69</v>
      </c>
      <c r="L1334" t="s">
        <v>3687</v>
      </c>
      <c r="M1334" t="s">
        <v>71</v>
      </c>
      <c r="N1334" t="s">
        <v>198</v>
      </c>
      <c r="O1334" t="s">
        <v>1307</v>
      </c>
      <c r="P1334" t="s">
        <v>1308</v>
      </c>
      <c r="R1334" t="s">
        <v>1309</v>
      </c>
      <c r="S1334" t="s">
        <v>190</v>
      </c>
      <c r="T1334" t="s">
        <v>258</v>
      </c>
      <c r="U1334" t="s">
        <v>150</v>
      </c>
      <c r="V1334" t="s">
        <v>166</v>
      </c>
      <c r="W1334">
        <v>790</v>
      </c>
      <c r="X1334">
        <v>34.99</v>
      </c>
      <c r="Y1334">
        <v>99</v>
      </c>
      <c r="Z1334">
        <v>569000</v>
      </c>
      <c r="AA1334">
        <v>237000</v>
      </c>
      <c r="AB1334">
        <v>180</v>
      </c>
      <c r="AD1334" t="s">
        <v>238</v>
      </c>
      <c r="AE1334">
        <v>1</v>
      </c>
      <c r="AF1334">
        <v>0</v>
      </c>
      <c r="AI1334">
        <v>20</v>
      </c>
      <c r="AJ1334">
        <v>60</v>
      </c>
      <c r="AK1334">
        <v>80</v>
      </c>
      <c r="AL1334">
        <v>300</v>
      </c>
      <c r="AM1334">
        <v>90</v>
      </c>
      <c r="AN1334">
        <v>0</v>
      </c>
      <c r="AO1334">
        <v>90</v>
      </c>
      <c r="AP1334" t="s">
        <v>69</v>
      </c>
      <c r="AT1334" t="s">
        <v>240</v>
      </c>
      <c r="AU1334" t="s">
        <v>240</v>
      </c>
      <c r="AV1334" t="s">
        <v>569</v>
      </c>
      <c r="AW1334" t="s">
        <v>69</v>
      </c>
      <c r="AX1334" t="s">
        <v>583</v>
      </c>
      <c r="AY1334" t="s">
        <v>3688</v>
      </c>
      <c r="AZ1334" t="s">
        <v>243</v>
      </c>
      <c r="BA1334" t="s">
        <v>245</v>
      </c>
      <c r="BB1334" t="s">
        <v>244</v>
      </c>
      <c r="BC1334" t="s">
        <v>264</v>
      </c>
      <c r="BD1334" t="s">
        <v>3692</v>
      </c>
      <c r="BE1334" t="s">
        <v>3917</v>
      </c>
      <c r="BF1334" t="s">
        <v>240</v>
      </c>
      <c r="BG1334" t="s">
        <v>87</v>
      </c>
      <c r="BH1334" t="str">
        <f>IF(COUNTIF(工作表1!A:A, $C1334)&gt;0, "預購款", "非預購款")</f>
        <v>預購款</v>
      </c>
    </row>
    <row r="1335" spans="1:60" x14ac:dyDescent="0.25">
      <c r="A1335" t="s">
        <v>3694</v>
      </c>
      <c r="B1335" t="s">
        <v>315</v>
      </c>
      <c r="C1335" t="s">
        <v>3695</v>
      </c>
      <c r="D1335" t="s">
        <v>3696</v>
      </c>
      <c r="E1335" t="s">
        <v>3697</v>
      </c>
      <c r="F1335" t="s">
        <v>3416</v>
      </c>
      <c r="G1335" t="s">
        <v>3698</v>
      </c>
      <c r="H1335" t="s">
        <v>119</v>
      </c>
      <c r="I1335" t="s">
        <v>88</v>
      </c>
      <c r="J1335" t="s">
        <v>89</v>
      </c>
      <c r="K1335" t="s">
        <v>69</v>
      </c>
      <c r="L1335" t="s">
        <v>3699</v>
      </c>
      <c r="M1335" t="s">
        <v>71</v>
      </c>
      <c r="N1335" t="s">
        <v>198</v>
      </c>
      <c r="O1335" t="s">
        <v>1307</v>
      </c>
      <c r="P1335" t="s">
        <v>1308</v>
      </c>
      <c r="R1335" t="s">
        <v>1309</v>
      </c>
      <c r="S1335" t="s">
        <v>190</v>
      </c>
      <c r="T1335" t="s">
        <v>258</v>
      </c>
      <c r="U1335" t="s">
        <v>146</v>
      </c>
      <c r="V1335" t="s">
        <v>321</v>
      </c>
      <c r="W1335">
        <v>990</v>
      </c>
      <c r="X1335">
        <v>39.99</v>
      </c>
      <c r="Y1335">
        <v>129</v>
      </c>
      <c r="Z1335">
        <v>709000</v>
      </c>
      <c r="AA1335">
        <v>217800</v>
      </c>
      <c r="AB1335">
        <v>320</v>
      </c>
      <c r="AD1335" t="s">
        <v>238</v>
      </c>
      <c r="AE1335">
        <v>1</v>
      </c>
      <c r="AF1335">
        <v>0</v>
      </c>
      <c r="AI1335">
        <v>0</v>
      </c>
      <c r="AJ1335">
        <v>80</v>
      </c>
      <c r="AK1335">
        <v>80</v>
      </c>
      <c r="AL1335">
        <v>220</v>
      </c>
      <c r="AM1335">
        <v>0</v>
      </c>
      <c r="AN1335">
        <v>0</v>
      </c>
      <c r="AO1335">
        <v>0</v>
      </c>
      <c r="AP1335" t="s">
        <v>69</v>
      </c>
      <c r="AT1335" t="s">
        <v>86</v>
      </c>
      <c r="AU1335" t="s">
        <v>86</v>
      </c>
      <c r="AV1335" t="s">
        <v>569</v>
      </c>
      <c r="AW1335" t="s">
        <v>69</v>
      </c>
      <c r="AX1335" t="s">
        <v>583</v>
      </c>
      <c r="AY1335" t="s">
        <v>3700</v>
      </c>
      <c r="AZ1335" t="s">
        <v>264</v>
      </c>
      <c r="BA1335" t="s">
        <v>245</v>
      </c>
      <c r="BB1335" t="s">
        <v>245</v>
      </c>
      <c r="BC1335" t="s">
        <v>244</v>
      </c>
      <c r="BD1335" t="s">
        <v>3701</v>
      </c>
      <c r="BE1335" t="s">
        <v>3918</v>
      </c>
      <c r="BF1335" t="s">
        <v>240</v>
      </c>
      <c r="BG1335" t="s">
        <v>110</v>
      </c>
      <c r="BH1335" t="str">
        <f>IF(COUNTIF(工作表1!A:A, $C1335)&gt;0, "預購款", "非預購款")</f>
        <v>預購款</v>
      </c>
    </row>
    <row r="1336" spans="1:60" x14ac:dyDescent="0.25">
      <c r="A1336" t="s">
        <v>3694</v>
      </c>
      <c r="B1336" t="s">
        <v>315</v>
      </c>
      <c r="C1336" t="s">
        <v>3695</v>
      </c>
      <c r="D1336" t="s">
        <v>3696</v>
      </c>
      <c r="E1336" t="s">
        <v>3697</v>
      </c>
      <c r="F1336" t="s">
        <v>3416</v>
      </c>
      <c r="G1336" t="s">
        <v>3698</v>
      </c>
      <c r="H1336" t="s">
        <v>130</v>
      </c>
      <c r="I1336" t="s">
        <v>88</v>
      </c>
      <c r="J1336" t="s">
        <v>89</v>
      </c>
      <c r="K1336" t="s">
        <v>69</v>
      </c>
      <c r="L1336" t="s">
        <v>3699</v>
      </c>
      <c r="M1336" t="s">
        <v>71</v>
      </c>
      <c r="N1336" t="s">
        <v>198</v>
      </c>
      <c r="O1336" t="s">
        <v>1307</v>
      </c>
      <c r="P1336" t="s">
        <v>1308</v>
      </c>
      <c r="R1336" t="s">
        <v>1309</v>
      </c>
      <c r="S1336" t="s">
        <v>190</v>
      </c>
      <c r="T1336" t="s">
        <v>258</v>
      </c>
      <c r="U1336" t="s">
        <v>146</v>
      </c>
      <c r="V1336" t="s">
        <v>321</v>
      </c>
      <c r="W1336">
        <v>990</v>
      </c>
      <c r="X1336">
        <v>39.99</v>
      </c>
      <c r="Y1336">
        <v>129</v>
      </c>
      <c r="Z1336">
        <v>709000</v>
      </c>
      <c r="AA1336">
        <v>217800</v>
      </c>
      <c r="AB1336">
        <v>320</v>
      </c>
      <c r="AD1336" t="s">
        <v>238</v>
      </c>
      <c r="AE1336">
        <v>1</v>
      </c>
      <c r="AF1336">
        <v>0</v>
      </c>
      <c r="AI1336">
        <v>0</v>
      </c>
      <c r="AJ1336">
        <v>80</v>
      </c>
      <c r="AK1336">
        <v>80</v>
      </c>
      <c r="AL1336">
        <v>220</v>
      </c>
      <c r="AM1336">
        <v>0</v>
      </c>
      <c r="AN1336">
        <v>0</v>
      </c>
      <c r="AO1336">
        <v>0</v>
      </c>
      <c r="AP1336" t="s">
        <v>69</v>
      </c>
      <c r="AT1336" t="s">
        <v>86</v>
      </c>
      <c r="AU1336" t="s">
        <v>86</v>
      </c>
      <c r="AV1336" t="s">
        <v>569</v>
      </c>
      <c r="AW1336" t="s">
        <v>69</v>
      </c>
      <c r="AX1336" t="s">
        <v>583</v>
      </c>
      <c r="AY1336" t="s">
        <v>3700</v>
      </c>
      <c r="AZ1336" t="s">
        <v>264</v>
      </c>
      <c r="BA1336" t="s">
        <v>245</v>
      </c>
      <c r="BB1336" t="s">
        <v>245</v>
      </c>
      <c r="BC1336" t="s">
        <v>244</v>
      </c>
      <c r="BD1336" t="s">
        <v>3703</v>
      </c>
      <c r="BE1336" t="s">
        <v>3918</v>
      </c>
      <c r="BF1336" t="s">
        <v>240</v>
      </c>
      <c r="BG1336" t="s">
        <v>110</v>
      </c>
      <c r="BH1336" t="str">
        <f>IF(COUNTIF(工作表1!A:A, $C1336)&gt;0, "預購款", "非預購款")</f>
        <v>預購款</v>
      </c>
    </row>
    <row r="1337" spans="1:60" x14ac:dyDescent="0.25">
      <c r="A1337" t="s">
        <v>3694</v>
      </c>
      <c r="B1337" t="s">
        <v>315</v>
      </c>
      <c r="C1337" t="s">
        <v>3695</v>
      </c>
      <c r="D1337" t="s">
        <v>3696</v>
      </c>
      <c r="E1337" t="s">
        <v>3697</v>
      </c>
      <c r="F1337" t="s">
        <v>3416</v>
      </c>
      <c r="G1337" t="s">
        <v>3698</v>
      </c>
      <c r="H1337" t="s">
        <v>132</v>
      </c>
      <c r="I1337" t="s">
        <v>88</v>
      </c>
      <c r="J1337" t="s">
        <v>89</v>
      </c>
      <c r="K1337" t="s">
        <v>69</v>
      </c>
      <c r="L1337" t="s">
        <v>3699</v>
      </c>
      <c r="M1337" t="s">
        <v>71</v>
      </c>
      <c r="N1337" t="s">
        <v>198</v>
      </c>
      <c r="O1337" t="s">
        <v>1307</v>
      </c>
      <c r="P1337" t="s">
        <v>1308</v>
      </c>
      <c r="R1337" t="s">
        <v>1309</v>
      </c>
      <c r="S1337" t="s">
        <v>190</v>
      </c>
      <c r="T1337" t="s">
        <v>258</v>
      </c>
      <c r="U1337" t="s">
        <v>146</v>
      </c>
      <c r="V1337" t="s">
        <v>321</v>
      </c>
      <c r="W1337">
        <v>990</v>
      </c>
      <c r="X1337">
        <v>39.99</v>
      </c>
      <c r="Y1337">
        <v>129</v>
      </c>
      <c r="Z1337">
        <v>709000</v>
      </c>
      <c r="AA1337">
        <v>217800</v>
      </c>
      <c r="AB1337">
        <v>320</v>
      </c>
      <c r="AD1337" t="s">
        <v>238</v>
      </c>
      <c r="AE1337">
        <v>1</v>
      </c>
      <c r="AF1337">
        <v>0</v>
      </c>
      <c r="AI1337">
        <v>0</v>
      </c>
      <c r="AJ1337">
        <v>60</v>
      </c>
      <c r="AK1337">
        <v>60</v>
      </c>
      <c r="AL1337">
        <v>220</v>
      </c>
      <c r="AM1337">
        <v>0</v>
      </c>
      <c r="AN1337">
        <v>0</v>
      </c>
      <c r="AO1337">
        <v>0</v>
      </c>
      <c r="AP1337" t="s">
        <v>69</v>
      </c>
      <c r="AT1337" t="s">
        <v>86</v>
      </c>
      <c r="AU1337" t="s">
        <v>86</v>
      </c>
      <c r="AV1337" t="s">
        <v>569</v>
      </c>
      <c r="AW1337" t="s">
        <v>69</v>
      </c>
      <c r="AX1337" t="s">
        <v>583</v>
      </c>
      <c r="AY1337" t="s">
        <v>3700</v>
      </c>
      <c r="AZ1337" t="s">
        <v>264</v>
      </c>
      <c r="BA1337" t="s">
        <v>245</v>
      </c>
      <c r="BB1337" t="s">
        <v>245</v>
      </c>
      <c r="BC1337" t="s">
        <v>244</v>
      </c>
      <c r="BD1337" t="s">
        <v>3704</v>
      </c>
      <c r="BE1337" t="s">
        <v>3918</v>
      </c>
      <c r="BF1337" t="s">
        <v>240</v>
      </c>
      <c r="BG1337" t="s">
        <v>110</v>
      </c>
      <c r="BH1337" t="str">
        <f>IF(COUNTIF(工作表1!A:A, $C1337)&gt;0, "預購款", "非預購款")</f>
        <v>預購款</v>
      </c>
    </row>
    <row r="1338" spans="1:60" x14ac:dyDescent="0.25">
      <c r="A1338" t="s">
        <v>3705</v>
      </c>
      <c r="B1338" t="s">
        <v>315</v>
      </c>
      <c r="C1338" t="s">
        <v>3706</v>
      </c>
      <c r="D1338" t="s">
        <v>3707</v>
      </c>
      <c r="E1338" t="s">
        <v>3708</v>
      </c>
      <c r="F1338" t="s">
        <v>3416</v>
      </c>
      <c r="G1338" t="s">
        <v>3709</v>
      </c>
      <c r="H1338" t="s">
        <v>273</v>
      </c>
      <c r="I1338" t="s">
        <v>88</v>
      </c>
      <c r="J1338" t="s">
        <v>89</v>
      </c>
      <c r="K1338" t="s">
        <v>69</v>
      </c>
      <c r="L1338" t="s">
        <v>3699</v>
      </c>
      <c r="M1338" t="s">
        <v>71</v>
      </c>
      <c r="N1338" t="s">
        <v>198</v>
      </c>
      <c r="O1338" t="s">
        <v>1307</v>
      </c>
      <c r="P1338" t="s">
        <v>1308</v>
      </c>
      <c r="R1338" t="s">
        <v>1309</v>
      </c>
      <c r="S1338" t="s">
        <v>190</v>
      </c>
      <c r="T1338" t="s">
        <v>274</v>
      </c>
      <c r="U1338" t="s">
        <v>146</v>
      </c>
      <c r="V1338" t="s">
        <v>321</v>
      </c>
      <c r="W1338">
        <v>1080</v>
      </c>
      <c r="X1338">
        <v>44.99</v>
      </c>
      <c r="Y1338">
        <v>139</v>
      </c>
      <c r="Z1338">
        <v>779000</v>
      </c>
      <c r="AA1338">
        <v>172800</v>
      </c>
      <c r="AB1338">
        <v>380</v>
      </c>
      <c r="AD1338" t="s">
        <v>238</v>
      </c>
      <c r="AE1338">
        <v>1</v>
      </c>
      <c r="AF1338">
        <v>0</v>
      </c>
      <c r="AI1338">
        <v>30</v>
      </c>
      <c r="AJ1338">
        <v>50</v>
      </c>
      <c r="AK1338">
        <v>80</v>
      </c>
      <c r="AL1338">
        <v>160</v>
      </c>
      <c r="AM1338">
        <v>0</v>
      </c>
      <c r="AN1338">
        <v>0</v>
      </c>
      <c r="AO1338">
        <v>0</v>
      </c>
      <c r="AP1338" t="s">
        <v>69</v>
      </c>
      <c r="AT1338" t="s">
        <v>86</v>
      </c>
      <c r="AU1338" t="s">
        <v>86</v>
      </c>
      <c r="AV1338" t="s">
        <v>3710</v>
      </c>
      <c r="AW1338" t="s">
        <v>69</v>
      </c>
      <c r="AX1338" t="s">
        <v>3711</v>
      </c>
      <c r="AY1338" t="s">
        <v>3712</v>
      </c>
      <c r="AZ1338" t="s">
        <v>264</v>
      </c>
      <c r="BA1338" t="s">
        <v>245</v>
      </c>
      <c r="BB1338" t="s">
        <v>245</v>
      </c>
      <c r="BC1338" t="s">
        <v>244</v>
      </c>
      <c r="BD1338" t="s">
        <v>3713</v>
      </c>
      <c r="BE1338" t="s">
        <v>3919</v>
      </c>
      <c r="BF1338" t="s">
        <v>279</v>
      </c>
      <c r="BG1338" t="s">
        <v>110</v>
      </c>
      <c r="BH1338" t="str">
        <f>IF(COUNTIF(工作表1!A:A, $C1338)&gt;0, "預購款", "非預購款")</f>
        <v>預購款</v>
      </c>
    </row>
    <row r="1339" spans="1:60" x14ac:dyDescent="0.25">
      <c r="A1339" t="s">
        <v>3705</v>
      </c>
      <c r="B1339" t="s">
        <v>315</v>
      </c>
      <c r="C1339" t="s">
        <v>3706</v>
      </c>
      <c r="D1339" t="s">
        <v>3707</v>
      </c>
      <c r="E1339" t="s">
        <v>3708</v>
      </c>
      <c r="F1339" t="s">
        <v>3416</v>
      </c>
      <c r="G1339" t="s">
        <v>3709</v>
      </c>
      <c r="H1339" t="s">
        <v>501</v>
      </c>
      <c r="I1339" t="s">
        <v>88</v>
      </c>
      <c r="J1339" t="s">
        <v>89</v>
      </c>
      <c r="K1339" t="s">
        <v>69</v>
      </c>
      <c r="L1339" t="s">
        <v>3699</v>
      </c>
      <c r="M1339" t="s">
        <v>71</v>
      </c>
      <c r="N1339" t="s">
        <v>198</v>
      </c>
      <c r="O1339" t="s">
        <v>1307</v>
      </c>
      <c r="P1339" t="s">
        <v>1308</v>
      </c>
      <c r="R1339" t="s">
        <v>1309</v>
      </c>
      <c r="S1339" t="s">
        <v>190</v>
      </c>
      <c r="T1339" t="s">
        <v>274</v>
      </c>
      <c r="U1339" t="s">
        <v>146</v>
      </c>
      <c r="V1339" t="s">
        <v>321</v>
      </c>
      <c r="W1339">
        <v>1080</v>
      </c>
      <c r="X1339">
        <v>44.99</v>
      </c>
      <c r="Y1339">
        <v>139</v>
      </c>
      <c r="Z1339">
        <v>779000</v>
      </c>
      <c r="AA1339">
        <v>172800</v>
      </c>
      <c r="AB1339">
        <v>380</v>
      </c>
      <c r="AD1339" t="s">
        <v>238</v>
      </c>
      <c r="AE1339">
        <v>1</v>
      </c>
      <c r="AF1339">
        <v>0</v>
      </c>
      <c r="AI1339">
        <v>0</v>
      </c>
      <c r="AJ1339">
        <v>30</v>
      </c>
      <c r="AK1339">
        <v>30</v>
      </c>
      <c r="AL1339">
        <v>160</v>
      </c>
      <c r="AM1339">
        <v>0</v>
      </c>
      <c r="AN1339">
        <v>0</v>
      </c>
      <c r="AO1339">
        <v>0</v>
      </c>
      <c r="AP1339" t="s">
        <v>69</v>
      </c>
      <c r="AT1339" t="s">
        <v>86</v>
      </c>
      <c r="AU1339" t="s">
        <v>86</v>
      </c>
      <c r="AV1339" t="s">
        <v>3710</v>
      </c>
      <c r="AW1339" t="s">
        <v>69</v>
      </c>
      <c r="AX1339" t="s">
        <v>3711</v>
      </c>
      <c r="AY1339" t="s">
        <v>3712</v>
      </c>
      <c r="AZ1339" t="s">
        <v>264</v>
      </c>
      <c r="BA1339" t="s">
        <v>245</v>
      </c>
      <c r="BB1339" t="s">
        <v>245</v>
      </c>
      <c r="BC1339" t="s">
        <v>244</v>
      </c>
      <c r="BD1339" t="s">
        <v>3715</v>
      </c>
      <c r="BE1339" t="s">
        <v>3919</v>
      </c>
      <c r="BF1339" t="s">
        <v>279</v>
      </c>
      <c r="BG1339" t="s">
        <v>110</v>
      </c>
      <c r="BH1339" t="str">
        <f>IF(COUNTIF(工作表1!A:A, $C1339)&gt;0, "預購款", "非預購款")</f>
        <v>預購款</v>
      </c>
    </row>
    <row r="1340" spans="1:60" x14ac:dyDescent="0.25">
      <c r="A1340" t="s">
        <v>3705</v>
      </c>
      <c r="B1340" t="s">
        <v>315</v>
      </c>
      <c r="C1340" t="s">
        <v>3706</v>
      </c>
      <c r="D1340" t="s">
        <v>3707</v>
      </c>
      <c r="E1340" t="s">
        <v>3708</v>
      </c>
      <c r="F1340" t="s">
        <v>3416</v>
      </c>
      <c r="G1340" t="s">
        <v>3709</v>
      </c>
      <c r="H1340" t="s">
        <v>280</v>
      </c>
      <c r="I1340" t="s">
        <v>88</v>
      </c>
      <c r="J1340" t="s">
        <v>89</v>
      </c>
      <c r="K1340" t="s">
        <v>69</v>
      </c>
      <c r="L1340" t="s">
        <v>3699</v>
      </c>
      <c r="M1340" t="s">
        <v>71</v>
      </c>
      <c r="N1340" t="s">
        <v>198</v>
      </c>
      <c r="O1340" t="s">
        <v>1307</v>
      </c>
      <c r="P1340" t="s">
        <v>1308</v>
      </c>
      <c r="R1340" t="s">
        <v>1309</v>
      </c>
      <c r="S1340" t="s">
        <v>190</v>
      </c>
      <c r="T1340" t="s">
        <v>274</v>
      </c>
      <c r="U1340" t="s">
        <v>146</v>
      </c>
      <c r="V1340" t="s">
        <v>321</v>
      </c>
      <c r="W1340">
        <v>1080</v>
      </c>
      <c r="X1340">
        <v>44.99</v>
      </c>
      <c r="Y1340">
        <v>139</v>
      </c>
      <c r="Z1340">
        <v>779000</v>
      </c>
      <c r="AA1340">
        <v>172800</v>
      </c>
      <c r="AB1340">
        <v>380</v>
      </c>
      <c r="AD1340" t="s">
        <v>238</v>
      </c>
      <c r="AE1340">
        <v>1</v>
      </c>
      <c r="AF1340">
        <v>0</v>
      </c>
      <c r="AI1340">
        <v>0</v>
      </c>
      <c r="AJ1340">
        <v>50</v>
      </c>
      <c r="AK1340">
        <v>50</v>
      </c>
      <c r="AL1340">
        <v>160</v>
      </c>
      <c r="AM1340">
        <v>0</v>
      </c>
      <c r="AN1340">
        <v>0</v>
      </c>
      <c r="AO1340">
        <v>0</v>
      </c>
      <c r="AP1340" t="s">
        <v>69</v>
      </c>
      <c r="AT1340" t="s">
        <v>86</v>
      </c>
      <c r="AU1340" t="s">
        <v>86</v>
      </c>
      <c r="AV1340" t="s">
        <v>3710</v>
      </c>
      <c r="AW1340" t="s">
        <v>69</v>
      </c>
      <c r="AX1340" t="s">
        <v>3711</v>
      </c>
      <c r="AY1340" t="s">
        <v>3712</v>
      </c>
      <c r="AZ1340" t="s">
        <v>264</v>
      </c>
      <c r="BA1340" t="s">
        <v>245</v>
      </c>
      <c r="BB1340" t="s">
        <v>245</v>
      </c>
      <c r="BC1340" t="s">
        <v>244</v>
      </c>
      <c r="BD1340" t="s">
        <v>3716</v>
      </c>
      <c r="BE1340" t="s">
        <v>3919</v>
      </c>
      <c r="BF1340" t="s">
        <v>279</v>
      </c>
      <c r="BG1340" t="s">
        <v>110</v>
      </c>
      <c r="BH1340" t="str">
        <f>IF(COUNTIF(工作表1!A:A, $C1340)&gt;0, "預購款", "非預購款")</f>
        <v>預購款</v>
      </c>
    </row>
    <row r="1341" spans="1:60" x14ac:dyDescent="0.25">
      <c r="A1341" t="s">
        <v>3920</v>
      </c>
      <c r="B1341" t="s">
        <v>315</v>
      </c>
      <c r="C1341" t="s">
        <v>3921</v>
      </c>
      <c r="D1341" t="s">
        <v>3922</v>
      </c>
      <c r="E1341" t="s">
        <v>3923</v>
      </c>
      <c r="F1341" t="s">
        <v>3416</v>
      </c>
      <c r="G1341" t="s">
        <v>3924</v>
      </c>
      <c r="H1341" t="s">
        <v>66</v>
      </c>
      <c r="I1341" t="s">
        <v>111</v>
      </c>
      <c r="J1341" t="s">
        <v>112</v>
      </c>
      <c r="K1341" t="s">
        <v>69</v>
      </c>
      <c r="L1341" t="s">
        <v>3925</v>
      </c>
      <c r="M1341" t="s">
        <v>71</v>
      </c>
      <c r="N1341" t="s">
        <v>100</v>
      </c>
      <c r="O1341" t="s">
        <v>1307</v>
      </c>
      <c r="P1341" t="s">
        <v>1308</v>
      </c>
      <c r="R1341" t="s">
        <v>1309</v>
      </c>
      <c r="S1341" t="s">
        <v>190</v>
      </c>
      <c r="T1341" t="s">
        <v>258</v>
      </c>
      <c r="U1341" t="s">
        <v>527</v>
      </c>
      <c r="V1341" t="s">
        <v>1311</v>
      </c>
      <c r="W1341">
        <v>590</v>
      </c>
      <c r="X1341">
        <v>29.99</v>
      </c>
      <c r="Y1341">
        <v>75</v>
      </c>
      <c r="Z1341">
        <v>429000</v>
      </c>
      <c r="AA1341">
        <v>826000</v>
      </c>
      <c r="AB1341">
        <v>140</v>
      </c>
      <c r="AD1341" t="s">
        <v>238</v>
      </c>
      <c r="AE1341">
        <v>2</v>
      </c>
      <c r="AF1341">
        <v>0</v>
      </c>
      <c r="AI1341">
        <v>200</v>
      </c>
      <c r="AJ1341">
        <v>500</v>
      </c>
      <c r="AK1341">
        <v>700</v>
      </c>
      <c r="AL1341">
        <v>1400</v>
      </c>
      <c r="AM1341">
        <v>0</v>
      </c>
      <c r="AN1341">
        <v>0</v>
      </c>
      <c r="AO1341">
        <v>0</v>
      </c>
      <c r="AP1341" t="s">
        <v>69</v>
      </c>
      <c r="AT1341" t="s">
        <v>86</v>
      </c>
      <c r="AU1341" t="s">
        <v>264</v>
      </c>
      <c r="AV1341" t="s">
        <v>3926</v>
      </c>
      <c r="AW1341" t="s">
        <v>69</v>
      </c>
      <c r="AX1341" t="s">
        <v>3927</v>
      </c>
      <c r="AY1341" t="s">
        <v>3928</v>
      </c>
      <c r="BD1341" t="s">
        <v>3929</v>
      </c>
      <c r="BE1341" t="s">
        <v>3930</v>
      </c>
      <c r="BF1341" t="s">
        <v>240</v>
      </c>
      <c r="BH1341" t="str">
        <f>IF(COUNTIF(工作表1!A:A, $C1341)&gt;0, "預購款", "非預購款")</f>
        <v>預購款</v>
      </c>
    </row>
    <row r="1342" spans="1:60" x14ac:dyDescent="0.25">
      <c r="A1342" t="s">
        <v>3920</v>
      </c>
      <c r="B1342" t="s">
        <v>315</v>
      </c>
      <c r="C1342" t="s">
        <v>3921</v>
      </c>
      <c r="D1342" t="s">
        <v>3922</v>
      </c>
      <c r="E1342" t="s">
        <v>3923</v>
      </c>
      <c r="F1342" t="s">
        <v>3416</v>
      </c>
      <c r="G1342" t="s">
        <v>3924</v>
      </c>
      <c r="H1342" t="s">
        <v>66</v>
      </c>
      <c r="I1342" t="s">
        <v>214</v>
      </c>
      <c r="J1342" t="s">
        <v>215</v>
      </c>
      <c r="K1342" t="s">
        <v>69</v>
      </c>
      <c r="L1342" t="s">
        <v>3925</v>
      </c>
      <c r="M1342" t="s">
        <v>71</v>
      </c>
      <c r="N1342" t="s">
        <v>100</v>
      </c>
      <c r="O1342" t="s">
        <v>1307</v>
      </c>
      <c r="P1342" t="s">
        <v>1308</v>
      </c>
      <c r="R1342" t="s">
        <v>1309</v>
      </c>
      <c r="S1342" t="s">
        <v>190</v>
      </c>
      <c r="T1342" t="s">
        <v>258</v>
      </c>
      <c r="U1342" t="s">
        <v>527</v>
      </c>
      <c r="V1342" t="s">
        <v>1311</v>
      </c>
      <c r="W1342">
        <v>590</v>
      </c>
      <c r="X1342">
        <v>29.99</v>
      </c>
      <c r="Y1342">
        <v>75</v>
      </c>
      <c r="Z1342">
        <v>429000</v>
      </c>
      <c r="AA1342">
        <v>826000</v>
      </c>
      <c r="AB1342">
        <v>140</v>
      </c>
      <c r="AD1342" t="s">
        <v>238</v>
      </c>
      <c r="AE1342">
        <v>2</v>
      </c>
      <c r="AF1342">
        <v>0</v>
      </c>
      <c r="AI1342">
        <v>200</v>
      </c>
      <c r="AJ1342">
        <v>500</v>
      </c>
      <c r="AK1342">
        <v>700</v>
      </c>
      <c r="AL1342">
        <v>1400</v>
      </c>
      <c r="AM1342">
        <v>0</v>
      </c>
      <c r="AN1342">
        <v>0</v>
      </c>
      <c r="AO1342">
        <v>0</v>
      </c>
      <c r="AP1342" t="s">
        <v>69</v>
      </c>
      <c r="AT1342" t="s">
        <v>86</v>
      </c>
      <c r="AU1342" t="s">
        <v>264</v>
      </c>
      <c r="AV1342" t="s">
        <v>3926</v>
      </c>
      <c r="AW1342" t="s">
        <v>69</v>
      </c>
      <c r="AX1342" t="s">
        <v>3927</v>
      </c>
      <c r="AY1342" t="s">
        <v>3928</v>
      </c>
      <c r="BD1342" t="s">
        <v>3931</v>
      </c>
      <c r="BE1342" t="s">
        <v>3930</v>
      </c>
      <c r="BF1342" t="s">
        <v>240</v>
      </c>
      <c r="BH1342" t="str">
        <f>IF(COUNTIF(工作表1!A:A, $C1342)&gt;0, "預購款", "非預購款")</f>
        <v>預購款</v>
      </c>
    </row>
    <row r="1343" spans="1:60" x14ac:dyDescent="0.25">
      <c r="A1343" t="s">
        <v>3718</v>
      </c>
      <c r="B1343" t="s">
        <v>315</v>
      </c>
      <c r="C1343" t="s">
        <v>3719</v>
      </c>
      <c r="D1343" t="s">
        <v>3720</v>
      </c>
      <c r="E1343" t="s">
        <v>3721</v>
      </c>
      <c r="F1343" t="s">
        <v>3416</v>
      </c>
      <c r="G1343" t="s">
        <v>3722</v>
      </c>
      <c r="H1343" t="s">
        <v>66</v>
      </c>
      <c r="I1343" t="s">
        <v>67</v>
      </c>
      <c r="J1343" t="s">
        <v>68</v>
      </c>
      <c r="K1343" t="s">
        <v>69</v>
      </c>
      <c r="L1343" t="s">
        <v>3723</v>
      </c>
      <c r="M1343" t="s">
        <v>71</v>
      </c>
      <c r="N1343" t="s">
        <v>198</v>
      </c>
      <c r="O1343" t="s">
        <v>1307</v>
      </c>
      <c r="P1343" t="s">
        <v>1308</v>
      </c>
      <c r="R1343" t="s">
        <v>1309</v>
      </c>
      <c r="S1343" t="s">
        <v>190</v>
      </c>
      <c r="T1343" t="s">
        <v>258</v>
      </c>
      <c r="U1343" t="s">
        <v>527</v>
      </c>
      <c r="V1343" t="s">
        <v>1311</v>
      </c>
      <c r="W1343">
        <v>790</v>
      </c>
      <c r="X1343">
        <v>34.99</v>
      </c>
      <c r="Y1343">
        <v>99</v>
      </c>
      <c r="Z1343">
        <v>569000</v>
      </c>
      <c r="AA1343">
        <v>474000</v>
      </c>
      <c r="AB1343">
        <v>355</v>
      </c>
      <c r="AD1343" t="s">
        <v>238</v>
      </c>
      <c r="AE1343">
        <v>2</v>
      </c>
      <c r="AF1343">
        <v>0</v>
      </c>
      <c r="AI1343">
        <v>100</v>
      </c>
      <c r="AJ1343">
        <v>100</v>
      </c>
      <c r="AK1343">
        <v>200</v>
      </c>
      <c r="AL1343">
        <v>600</v>
      </c>
      <c r="AM1343">
        <v>0</v>
      </c>
      <c r="AN1343">
        <v>0</v>
      </c>
      <c r="AO1343">
        <v>0</v>
      </c>
      <c r="AP1343" t="s">
        <v>69</v>
      </c>
      <c r="AT1343" t="s">
        <v>86</v>
      </c>
      <c r="AU1343" t="s">
        <v>86</v>
      </c>
      <c r="AV1343" t="s">
        <v>569</v>
      </c>
      <c r="AW1343" t="s">
        <v>69</v>
      </c>
      <c r="AX1343" t="s">
        <v>583</v>
      </c>
      <c r="AY1343" t="s">
        <v>3724</v>
      </c>
      <c r="AZ1343" t="s">
        <v>245</v>
      </c>
      <c r="BA1343" t="s">
        <v>245</v>
      </c>
      <c r="BB1343" t="s">
        <v>245</v>
      </c>
      <c r="BC1343" t="s">
        <v>245</v>
      </c>
      <c r="BD1343" t="s">
        <v>3725</v>
      </c>
      <c r="BE1343" t="s">
        <v>3932</v>
      </c>
      <c r="BF1343" t="s">
        <v>240</v>
      </c>
      <c r="BG1343" t="s">
        <v>87</v>
      </c>
      <c r="BH1343" t="str">
        <f>IF(COUNTIF(工作表1!A:A, $C1343)&gt;0, "預購款", "非預購款")</f>
        <v>預購款</v>
      </c>
    </row>
    <row r="1344" spans="1:60" x14ac:dyDescent="0.25">
      <c r="A1344" t="s">
        <v>3718</v>
      </c>
      <c r="B1344" t="s">
        <v>315</v>
      </c>
      <c r="C1344" t="s">
        <v>3719</v>
      </c>
      <c r="D1344" t="s">
        <v>3720</v>
      </c>
      <c r="E1344" t="s">
        <v>3721</v>
      </c>
      <c r="F1344" t="s">
        <v>3416</v>
      </c>
      <c r="G1344" t="s">
        <v>3722</v>
      </c>
      <c r="H1344" t="s">
        <v>66</v>
      </c>
      <c r="I1344" t="s">
        <v>214</v>
      </c>
      <c r="J1344" t="s">
        <v>215</v>
      </c>
      <c r="K1344" t="s">
        <v>69</v>
      </c>
      <c r="L1344" t="s">
        <v>3723</v>
      </c>
      <c r="M1344" t="s">
        <v>71</v>
      </c>
      <c r="N1344" t="s">
        <v>198</v>
      </c>
      <c r="O1344" t="s">
        <v>1307</v>
      </c>
      <c r="P1344" t="s">
        <v>1308</v>
      </c>
      <c r="R1344" t="s">
        <v>1309</v>
      </c>
      <c r="S1344" t="s">
        <v>190</v>
      </c>
      <c r="T1344" t="s">
        <v>258</v>
      </c>
      <c r="U1344" t="s">
        <v>527</v>
      </c>
      <c r="V1344" t="s">
        <v>1311</v>
      </c>
      <c r="W1344">
        <v>790</v>
      </c>
      <c r="X1344">
        <v>34.99</v>
      </c>
      <c r="Y1344">
        <v>99</v>
      </c>
      <c r="Z1344">
        <v>569000</v>
      </c>
      <c r="AA1344">
        <v>474000</v>
      </c>
      <c r="AB1344">
        <v>355</v>
      </c>
      <c r="AD1344" t="s">
        <v>238</v>
      </c>
      <c r="AE1344">
        <v>2</v>
      </c>
      <c r="AF1344">
        <v>0</v>
      </c>
      <c r="AI1344">
        <v>300</v>
      </c>
      <c r="AJ1344">
        <v>100</v>
      </c>
      <c r="AK1344">
        <v>400</v>
      </c>
      <c r="AL1344">
        <v>600</v>
      </c>
      <c r="AM1344">
        <v>0</v>
      </c>
      <c r="AN1344">
        <v>0</v>
      </c>
      <c r="AO1344">
        <v>0</v>
      </c>
      <c r="AP1344" t="s">
        <v>69</v>
      </c>
      <c r="AT1344" t="s">
        <v>86</v>
      </c>
      <c r="AU1344" t="s">
        <v>86</v>
      </c>
      <c r="AV1344" t="s">
        <v>569</v>
      </c>
      <c r="AW1344" t="s">
        <v>69</v>
      </c>
      <c r="AX1344" t="s">
        <v>583</v>
      </c>
      <c r="AY1344" t="s">
        <v>3724</v>
      </c>
      <c r="AZ1344" t="s">
        <v>245</v>
      </c>
      <c r="BA1344" t="s">
        <v>245</v>
      </c>
      <c r="BB1344" t="s">
        <v>245</v>
      </c>
      <c r="BC1344" t="s">
        <v>245</v>
      </c>
      <c r="BD1344" t="s">
        <v>3727</v>
      </c>
      <c r="BE1344" t="s">
        <v>3932</v>
      </c>
      <c r="BF1344" t="s">
        <v>240</v>
      </c>
      <c r="BG1344" t="s">
        <v>87</v>
      </c>
      <c r="BH1344" t="str">
        <f>IF(COUNTIF(工作表1!A:A, $C1344)&gt;0, "預購款", "非預購款")</f>
        <v>預購款</v>
      </c>
    </row>
    <row r="1345" spans="1:60" x14ac:dyDescent="0.25">
      <c r="A1345" t="s">
        <v>1332</v>
      </c>
      <c r="B1345" t="s">
        <v>535</v>
      </c>
      <c r="C1345" t="s">
        <v>1333</v>
      </c>
      <c r="D1345" t="s">
        <v>1334</v>
      </c>
      <c r="E1345" t="s">
        <v>1335</v>
      </c>
      <c r="F1345" t="s">
        <v>3416</v>
      </c>
      <c r="G1345" t="s">
        <v>1336</v>
      </c>
      <c r="H1345" t="s">
        <v>66</v>
      </c>
      <c r="I1345" t="s">
        <v>1228</v>
      </c>
      <c r="J1345" t="s">
        <v>1229</v>
      </c>
      <c r="K1345" t="s">
        <v>69</v>
      </c>
      <c r="L1345" t="s">
        <v>1337</v>
      </c>
      <c r="M1345" t="s">
        <v>71</v>
      </c>
      <c r="N1345" t="s">
        <v>198</v>
      </c>
      <c r="O1345" t="s">
        <v>1307</v>
      </c>
      <c r="P1345" t="s">
        <v>1308</v>
      </c>
      <c r="R1345" t="s">
        <v>1309</v>
      </c>
      <c r="S1345" t="s">
        <v>190</v>
      </c>
      <c r="T1345" t="s">
        <v>258</v>
      </c>
      <c r="U1345" t="s">
        <v>527</v>
      </c>
      <c r="V1345" t="s">
        <v>554</v>
      </c>
      <c r="W1345">
        <v>690</v>
      </c>
      <c r="X1345">
        <v>29.99</v>
      </c>
      <c r="Y1345">
        <v>89</v>
      </c>
      <c r="Z1345">
        <v>499000</v>
      </c>
      <c r="AA1345">
        <v>138000</v>
      </c>
      <c r="AB1345">
        <v>90</v>
      </c>
      <c r="AD1345" t="s">
        <v>238</v>
      </c>
      <c r="AE1345">
        <v>1</v>
      </c>
      <c r="AF1345">
        <v>0</v>
      </c>
      <c r="AI1345">
        <v>100</v>
      </c>
      <c r="AJ1345">
        <v>100</v>
      </c>
      <c r="AK1345">
        <v>200</v>
      </c>
      <c r="AL1345">
        <v>200</v>
      </c>
      <c r="AM1345">
        <v>0</v>
      </c>
      <c r="AN1345">
        <v>0</v>
      </c>
      <c r="AO1345">
        <v>0</v>
      </c>
      <c r="AP1345" t="s">
        <v>69</v>
      </c>
      <c r="AT1345" t="s">
        <v>264</v>
      </c>
      <c r="AU1345" t="s">
        <v>264</v>
      </c>
      <c r="AV1345" t="s">
        <v>1338</v>
      </c>
      <c r="AW1345" t="s">
        <v>69</v>
      </c>
      <c r="AX1345" t="s">
        <v>1339</v>
      </c>
      <c r="AY1345" t="s">
        <v>1340</v>
      </c>
      <c r="BD1345" t="s">
        <v>1341</v>
      </c>
      <c r="BE1345" t="s">
        <v>3933</v>
      </c>
      <c r="BF1345" t="s">
        <v>240</v>
      </c>
      <c r="BH1345" t="str">
        <f>IF(COUNTIF(工作表1!A:A, $C1345)&gt;0, "預購款", "非預購款")</f>
        <v>預購款</v>
      </c>
    </row>
    <row r="1346" spans="1:60" x14ac:dyDescent="0.25">
      <c r="A1346" t="s">
        <v>1354</v>
      </c>
      <c r="B1346" t="s">
        <v>535</v>
      </c>
      <c r="C1346" t="s">
        <v>1355</v>
      </c>
      <c r="D1346" t="s">
        <v>1356</v>
      </c>
      <c r="E1346" t="s">
        <v>1357</v>
      </c>
      <c r="F1346" t="s">
        <v>3416</v>
      </c>
      <c r="G1346" t="s">
        <v>1358</v>
      </c>
      <c r="H1346" t="s">
        <v>66</v>
      </c>
      <c r="I1346" t="s">
        <v>1359</v>
      </c>
      <c r="J1346" t="s">
        <v>1360</v>
      </c>
      <c r="K1346" t="s">
        <v>69</v>
      </c>
      <c r="L1346" t="s">
        <v>1361</v>
      </c>
      <c r="M1346" t="s">
        <v>71</v>
      </c>
      <c r="N1346" t="s">
        <v>198</v>
      </c>
      <c r="O1346" t="s">
        <v>1307</v>
      </c>
      <c r="P1346" t="s">
        <v>1308</v>
      </c>
      <c r="R1346" t="s">
        <v>1309</v>
      </c>
      <c r="S1346" t="s">
        <v>190</v>
      </c>
      <c r="T1346" t="s">
        <v>258</v>
      </c>
      <c r="U1346" t="s">
        <v>527</v>
      </c>
      <c r="V1346" t="s">
        <v>554</v>
      </c>
      <c r="W1346">
        <v>790</v>
      </c>
      <c r="X1346">
        <v>34.99</v>
      </c>
      <c r="Y1346">
        <v>99</v>
      </c>
      <c r="Z1346">
        <v>569000</v>
      </c>
      <c r="AA1346">
        <v>79000</v>
      </c>
      <c r="AB1346">
        <v>130</v>
      </c>
      <c r="AD1346" t="s">
        <v>238</v>
      </c>
      <c r="AE1346">
        <v>1</v>
      </c>
      <c r="AF1346">
        <v>0</v>
      </c>
      <c r="AI1346">
        <v>0</v>
      </c>
      <c r="AJ1346">
        <v>100</v>
      </c>
      <c r="AK1346">
        <v>100</v>
      </c>
      <c r="AL1346">
        <v>100</v>
      </c>
      <c r="AM1346">
        <v>0</v>
      </c>
      <c r="AN1346">
        <v>0</v>
      </c>
      <c r="AO1346">
        <v>0</v>
      </c>
      <c r="AP1346" t="s">
        <v>69</v>
      </c>
      <c r="AT1346" t="s">
        <v>240</v>
      </c>
      <c r="AU1346" t="s">
        <v>264</v>
      </c>
      <c r="AV1346" t="s">
        <v>1362</v>
      </c>
      <c r="AW1346" t="s">
        <v>69</v>
      </c>
      <c r="AX1346" t="s">
        <v>1363</v>
      </c>
      <c r="AY1346" t="s">
        <v>1364</v>
      </c>
      <c r="BD1346" t="s">
        <v>1365</v>
      </c>
      <c r="BE1346" t="s">
        <v>3934</v>
      </c>
      <c r="BF1346" t="s">
        <v>240</v>
      </c>
      <c r="BH1346" t="str">
        <f>IF(COUNTIF(工作表1!A:A, $C1346)&gt;0, "預購款", "非預購款")</f>
        <v>預購款</v>
      </c>
    </row>
    <row r="1347" spans="1:60" x14ac:dyDescent="0.25">
      <c r="A1347" t="s">
        <v>3730</v>
      </c>
      <c r="B1347" t="s">
        <v>3731</v>
      </c>
      <c r="C1347" t="s">
        <v>3732</v>
      </c>
      <c r="D1347" t="s">
        <v>3733</v>
      </c>
      <c r="E1347" t="s">
        <v>3734</v>
      </c>
      <c r="F1347" t="s">
        <v>3416</v>
      </c>
      <c r="G1347" t="s">
        <v>3735</v>
      </c>
      <c r="H1347" t="s">
        <v>66</v>
      </c>
      <c r="I1347" t="s">
        <v>97</v>
      </c>
      <c r="J1347" t="s">
        <v>98</v>
      </c>
      <c r="K1347" t="s">
        <v>69</v>
      </c>
      <c r="L1347" t="s">
        <v>3736</v>
      </c>
      <c r="M1347" t="s">
        <v>71</v>
      </c>
      <c r="N1347" t="s">
        <v>198</v>
      </c>
      <c r="O1347" t="s">
        <v>1307</v>
      </c>
      <c r="P1347" t="s">
        <v>1308</v>
      </c>
      <c r="R1347" t="s">
        <v>1309</v>
      </c>
      <c r="S1347" t="s">
        <v>190</v>
      </c>
      <c r="T1347" t="s">
        <v>258</v>
      </c>
      <c r="U1347" t="s">
        <v>150</v>
      </c>
      <c r="V1347" t="s">
        <v>3737</v>
      </c>
      <c r="W1347">
        <v>890</v>
      </c>
      <c r="X1347">
        <v>39.99</v>
      </c>
      <c r="Y1347">
        <v>115</v>
      </c>
      <c r="Z1347">
        <v>639000</v>
      </c>
      <c r="AA1347">
        <v>124600</v>
      </c>
      <c r="AB1347">
        <v>330</v>
      </c>
      <c r="AD1347" t="s">
        <v>238</v>
      </c>
      <c r="AE1347">
        <v>2</v>
      </c>
      <c r="AF1347">
        <v>0</v>
      </c>
      <c r="AI1347">
        <v>0</v>
      </c>
      <c r="AJ1347">
        <v>80</v>
      </c>
      <c r="AK1347">
        <v>80</v>
      </c>
      <c r="AL1347">
        <v>140</v>
      </c>
      <c r="AM1347">
        <v>0</v>
      </c>
      <c r="AN1347">
        <v>0</v>
      </c>
      <c r="AO1347">
        <v>0</v>
      </c>
      <c r="AP1347" t="s">
        <v>69</v>
      </c>
      <c r="AT1347" t="s">
        <v>86</v>
      </c>
      <c r="AU1347" t="s">
        <v>261</v>
      </c>
      <c r="AV1347" t="s">
        <v>569</v>
      </c>
      <c r="AW1347" t="s">
        <v>69</v>
      </c>
      <c r="AX1347" t="s">
        <v>583</v>
      </c>
      <c r="AY1347" t="s">
        <v>676</v>
      </c>
      <c r="AZ1347" t="s">
        <v>243</v>
      </c>
      <c r="BA1347" t="s">
        <v>243</v>
      </c>
      <c r="BB1347" t="s">
        <v>243</v>
      </c>
      <c r="BC1347" t="s">
        <v>264</v>
      </c>
      <c r="BD1347" t="s">
        <v>3738</v>
      </c>
      <c r="BE1347" t="s">
        <v>3935</v>
      </c>
      <c r="BF1347" t="s">
        <v>240</v>
      </c>
      <c r="BG1347" t="s">
        <v>87</v>
      </c>
      <c r="BH1347" t="str">
        <f>IF(COUNTIF(工作表1!A:A, $C1347)&gt;0, "預購款", "非預購款")</f>
        <v>預購款</v>
      </c>
    </row>
    <row r="1348" spans="1:60" x14ac:dyDescent="0.25">
      <c r="A1348" t="s">
        <v>3730</v>
      </c>
      <c r="B1348" t="s">
        <v>3731</v>
      </c>
      <c r="C1348" t="s">
        <v>3732</v>
      </c>
      <c r="D1348" t="s">
        <v>3733</v>
      </c>
      <c r="E1348" t="s">
        <v>3734</v>
      </c>
      <c r="F1348" t="s">
        <v>3416</v>
      </c>
      <c r="G1348" t="s">
        <v>3735</v>
      </c>
      <c r="H1348" t="s">
        <v>66</v>
      </c>
      <c r="I1348" t="s">
        <v>422</v>
      </c>
      <c r="J1348" t="s">
        <v>423</v>
      </c>
      <c r="K1348" t="s">
        <v>69</v>
      </c>
      <c r="L1348" t="s">
        <v>3736</v>
      </c>
      <c r="M1348" t="s">
        <v>71</v>
      </c>
      <c r="N1348" t="s">
        <v>198</v>
      </c>
      <c r="O1348" t="s">
        <v>1307</v>
      </c>
      <c r="P1348" t="s">
        <v>1308</v>
      </c>
      <c r="R1348" t="s">
        <v>1309</v>
      </c>
      <c r="S1348" t="s">
        <v>190</v>
      </c>
      <c r="T1348" t="s">
        <v>258</v>
      </c>
      <c r="U1348" t="s">
        <v>150</v>
      </c>
      <c r="V1348" t="s">
        <v>3737</v>
      </c>
      <c r="W1348">
        <v>890</v>
      </c>
      <c r="X1348">
        <v>39.99</v>
      </c>
      <c r="Y1348">
        <v>115</v>
      </c>
      <c r="Z1348">
        <v>639000</v>
      </c>
      <c r="AA1348">
        <v>124600</v>
      </c>
      <c r="AB1348">
        <v>330</v>
      </c>
      <c r="AD1348" t="s">
        <v>238</v>
      </c>
      <c r="AE1348">
        <v>2</v>
      </c>
      <c r="AF1348">
        <v>0</v>
      </c>
      <c r="AI1348">
        <v>0</v>
      </c>
      <c r="AJ1348">
        <v>60</v>
      </c>
      <c r="AK1348">
        <v>60</v>
      </c>
      <c r="AL1348">
        <v>140</v>
      </c>
      <c r="AM1348">
        <v>0</v>
      </c>
      <c r="AN1348">
        <v>0</v>
      </c>
      <c r="AO1348">
        <v>0</v>
      </c>
      <c r="AP1348" t="s">
        <v>69</v>
      </c>
      <c r="AT1348" t="s">
        <v>86</v>
      </c>
      <c r="AU1348" t="s">
        <v>261</v>
      </c>
      <c r="AV1348" t="s">
        <v>569</v>
      </c>
      <c r="AW1348" t="s">
        <v>69</v>
      </c>
      <c r="AX1348" t="s">
        <v>583</v>
      </c>
      <c r="AY1348" t="s">
        <v>676</v>
      </c>
      <c r="AZ1348" t="s">
        <v>243</v>
      </c>
      <c r="BA1348" t="s">
        <v>243</v>
      </c>
      <c r="BB1348" t="s">
        <v>243</v>
      </c>
      <c r="BC1348" t="s">
        <v>264</v>
      </c>
      <c r="BD1348" t="s">
        <v>3740</v>
      </c>
      <c r="BE1348" t="s">
        <v>3935</v>
      </c>
      <c r="BF1348" t="s">
        <v>240</v>
      </c>
      <c r="BG1348" t="s">
        <v>87</v>
      </c>
      <c r="BH1348" t="str">
        <f>IF(COUNTIF(工作表1!A:A, $C1348)&gt;0, "預購款", "非預購款")</f>
        <v>預購款</v>
      </c>
    </row>
    <row r="1349" spans="1:60" x14ac:dyDescent="0.25">
      <c r="A1349" t="s">
        <v>3741</v>
      </c>
      <c r="B1349" t="s">
        <v>3731</v>
      </c>
      <c r="C1349" t="s">
        <v>3742</v>
      </c>
      <c r="D1349" t="s">
        <v>3743</v>
      </c>
      <c r="E1349" t="s">
        <v>3744</v>
      </c>
      <c r="F1349" t="s">
        <v>3416</v>
      </c>
      <c r="G1349" t="s">
        <v>3745</v>
      </c>
      <c r="H1349" t="s">
        <v>273</v>
      </c>
      <c r="I1349" t="s">
        <v>97</v>
      </c>
      <c r="J1349" t="s">
        <v>98</v>
      </c>
      <c r="K1349" t="s">
        <v>69</v>
      </c>
      <c r="L1349" t="s">
        <v>3736</v>
      </c>
      <c r="M1349" t="s">
        <v>71</v>
      </c>
      <c r="N1349" t="s">
        <v>198</v>
      </c>
      <c r="O1349" t="s">
        <v>1307</v>
      </c>
      <c r="P1349" t="s">
        <v>1308</v>
      </c>
      <c r="R1349" t="s">
        <v>1309</v>
      </c>
      <c r="S1349" t="s">
        <v>190</v>
      </c>
      <c r="T1349" t="s">
        <v>274</v>
      </c>
      <c r="U1349" t="s">
        <v>150</v>
      </c>
      <c r="V1349" t="s">
        <v>3737</v>
      </c>
      <c r="W1349">
        <v>990</v>
      </c>
      <c r="X1349">
        <v>39.99</v>
      </c>
      <c r="Y1349">
        <v>129</v>
      </c>
      <c r="Z1349">
        <v>709000</v>
      </c>
      <c r="AA1349">
        <v>198000</v>
      </c>
      <c r="AB1349">
        <v>300</v>
      </c>
      <c r="AD1349" t="s">
        <v>238</v>
      </c>
      <c r="AE1349">
        <v>2</v>
      </c>
      <c r="AF1349">
        <v>0</v>
      </c>
      <c r="AI1349">
        <v>0</v>
      </c>
      <c r="AJ1349">
        <v>50</v>
      </c>
      <c r="AK1349">
        <v>50</v>
      </c>
      <c r="AL1349">
        <v>200</v>
      </c>
      <c r="AM1349">
        <v>0</v>
      </c>
      <c r="AN1349">
        <v>0</v>
      </c>
      <c r="AO1349">
        <v>0</v>
      </c>
      <c r="AP1349" t="s">
        <v>69</v>
      </c>
      <c r="AT1349" t="s">
        <v>261</v>
      </c>
      <c r="AU1349" t="s">
        <v>261</v>
      </c>
      <c r="AV1349" t="s">
        <v>3746</v>
      </c>
      <c r="AW1349" t="s">
        <v>69</v>
      </c>
      <c r="AX1349" t="s">
        <v>611</v>
      </c>
      <c r="AY1349" t="s">
        <v>1126</v>
      </c>
      <c r="AZ1349" t="s">
        <v>243</v>
      </c>
      <c r="BA1349" t="s">
        <v>243</v>
      </c>
      <c r="BB1349" t="s">
        <v>243</v>
      </c>
      <c r="BC1349" t="s">
        <v>264</v>
      </c>
      <c r="BD1349" t="s">
        <v>3747</v>
      </c>
      <c r="BE1349" t="s">
        <v>3936</v>
      </c>
      <c r="BF1349" t="s">
        <v>279</v>
      </c>
      <c r="BG1349" t="s">
        <v>87</v>
      </c>
      <c r="BH1349" t="str">
        <f>IF(COUNTIF(工作表1!A:A, $C1349)&gt;0, "預購款", "非預購款")</f>
        <v>預購款</v>
      </c>
    </row>
    <row r="1350" spans="1:60" x14ac:dyDescent="0.25">
      <c r="A1350" t="s">
        <v>3741</v>
      </c>
      <c r="B1350" t="s">
        <v>3731</v>
      </c>
      <c r="C1350" t="s">
        <v>3742</v>
      </c>
      <c r="D1350" t="s">
        <v>3743</v>
      </c>
      <c r="E1350" t="s">
        <v>3744</v>
      </c>
      <c r="F1350" t="s">
        <v>3416</v>
      </c>
      <c r="G1350" t="s">
        <v>3745</v>
      </c>
      <c r="H1350" t="s">
        <v>280</v>
      </c>
      <c r="I1350" t="s">
        <v>97</v>
      </c>
      <c r="J1350" t="s">
        <v>98</v>
      </c>
      <c r="K1350" t="s">
        <v>69</v>
      </c>
      <c r="L1350" t="s">
        <v>3736</v>
      </c>
      <c r="M1350" t="s">
        <v>71</v>
      </c>
      <c r="N1350" t="s">
        <v>198</v>
      </c>
      <c r="O1350" t="s">
        <v>1307</v>
      </c>
      <c r="P1350" t="s">
        <v>1308</v>
      </c>
      <c r="R1350" t="s">
        <v>1309</v>
      </c>
      <c r="S1350" t="s">
        <v>190</v>
      </c>
      <c r="T1350" t="s">
        <v>274</v>
      </c>
      <c r="U1350" t="s">
        <v>150</v>
      </c>
      <c r="V1350" t="s">
        <v>3737</v>
      </c>
      <c r="W1350">
        <v>990</v>
      </c>
      <c r="X1350">
        <v>39.99</v>
      </c>
      <c r="Y1350">
        <v>129</v>
      </c>
      <c r="Z1350">
        <v>709000</v>
      </c>
      <c r="AA1350">
        <v>198000</v>
      </c>
      <c r="AB1350">
        <v>300</v>
      </c>
      <c r="AD1350" t="s">
        <v>238</v>
      </c>
      <c r="AE1350">
        <v>2</v>
      </c>
      <c r="AF1350">
        <v>0</v>
      </c>
      <c r="AI1350">
        <v>0</v>
      </c>
      <c r="AJ1350">
        <v>50</v>
      </c>
      <c r="AK1350">
        <v>50</v>
      </c>
      <c r="AL1350">
        <v>200</v>
      </c>
      <c r="AM1350">
        <v>0</v>
      </c>
      <c r="AN1350">
        <v>0</v>
      </c>
      <c r="AO1350">
        <v>0</v>
      </c>
      <c r="AP1350" t="s">
        <v>69</v>
      </c>
      <c r="AT1350" t="s">
        <v>261</v>
      </c>
      <c r="AU1350" t="s">
        <v>261</v>
      </c>
      <c r="AV1350" t="s">
        <v>3746</v>
      </c>
      <c r="AW1350" t="s">
        <v>69</v>
      </c>
      <c r="AX1350" t="s">
        <v>611</v>
      </c>
      <c r="AY1350" t="s">
        <v>1126</v>
      </c>
      <c r="AZ1350" t="s">
        <v>243</v>
      </c>
      <c r="BA1350" t="s">
        <v>243</v>
      </c>
      <c r="BB1350" t="s">
        <v>243</v>
      </c>
      <c r="BC1350" t="s">
        <v>264</v>
      </c>
      <c r="BD1350" t="s">
        <v>3749</v>
      </c>
      <c r="BE1350" t="s">
        <v>3936</v>
      </c>
      <c r="BF1350" t="s">
        <v>279</v>
      </c>
      <c r="BG1350" t="s">
        <v>87</v>
      </c>
      <c r="BH1350" t="str">
        <f>IF(COUNTIF(工作表1!A:A, $C1350)&gt;0, "預購款", "非預購款")</f>
        <v>預購款</v>
      </c>
    </row>
    <row r="1351" spans="1:60" x14ac:dyDescent="0.25">
      <c r="A1351" t="s">
        <v>3741</v>
      </c>
      <c r="B1351" t="s">
        <v>3731</v>
      </c>
      <c r="C1351" t="s">
        <v>3742</v>
      </c>
      <c r="D1351" t="s">
        <v>3743</v>
      </c>
      <c r="E1351" t="s">
        <v>3744</v>
      </c>
      <c r="F1351" t="s">
        <v>3416</v>
      </c>
      <c r="G1351" t="s">
        <v>3745</v>
      </c>
      <c r="H1351" t="s">
        <v>273</v>
      </c>
      <c r="I1351" t="s">
        <v>422</v>
      </c>
      <c r="J1351" t="s">
        <v>423</v>
      </c>
      <c r="K1351" t="s">
        <v>69</v>
      </c>
      <c r="L1351" t="s">
        <v>3736</v>
      </c>
      <c r="M1351" t="s">
        <v>71</v>
      </c>
      <c r="N1351" t="s">
        <v>198</v>
      </c>
      <c r="O1351" t="s">
        <v>1307</v>
      </c>
      <c r="P1351" t="s">
        <v>1308</v>
      </c>
      <c r="R1351" t="s">
        <v>1309</v>
      </c>
      <c r="S1351" t="s">
        <v>190</v>
      </c>
      <c r="T1351" t="s">
        <v>274</v>
      </c>
      <c r="U1351" t="s">
        <v>150</v>
      </c>
      <c r="V1351" t="s">
        <v>3737</v>
      </c>
      <c r="W1351">
        <v>990</v>
      </c>
      <c r="X1351">
        <v>39.99</v>
      </c>
      <c r="Y1351">
        <v>129</v>
      </c>
      <c r="Z1351">
        <v>709000</v>
      </c>
      <c r="AA1351">
        <v>198000</v>
      </c>
      <c r="AB1351">
        <v>300</v>
      </c>
      <c r="AD1351" t="s">
        <v>238</v>
      </c>
      <c r="AE1351">
        <v>2</v>
      </c>
      <c r="AF1351">
        <v>0</v>
      </c>
      <c r="AI1351">
        <v>0</v>
      </c>
      <c r="AJ1351">
        <v>50</v>
      </c>
      <c r="AK1351">
        <v>50</v>
      </c>
      <c r="AL1351">
        <v>200</v>
      </c>
      <c r="AM1351">
        <v>0</v>
      </c>
      <c r="AN1351">
        <v>0</v>
      </c>
      <c r="AO1351">
        <v>0</v>
      </c>
      <c r="AP1351" t="s">
        <v>69</v>
      </c>
      <c r="AT1351" t="s">
        <v>261</v>
      </c>
      <c r="AU1351" t="s">
        <v>261</v>
      </c>
      <c r="AV1351" t="s">
        <v>3746</v>
      </c>
      <c r="AW1351" t="s">
        <v>69</v>
      </c>
      <c r="AX1351" t="s">
        <v>611</v>
      </c>
      <c r="AY1351" t="s">
        <v>1126</v>
      </c>
      <c r="AZ1351" t="s">
        <v>243</v>
      </c>
      <c r="BA1351" t="s">
        <v>243</v>
      </c>
      <c r="BB1351" t="s">
        <v>243</v>
      </c>
      <c r="BC1351" t="s">
        <v>264</v>
      </c>
      <c r="BD1351" t="s">
        <v>3750</v>
      </c>
      <c r="BE1351" t="s">
        <v>3936</v>
      </c>
      <c r="BF1351" t="s">
        <v>279</v>
      </c>
      <c r="BG1351" t="s">
        <v>87</v>
      </c>
      <c r="BH1351" t="str">
        <f>IF(COUNTIF(工作表1!A:A, $C1351)&gt;0, "預購款", "非預購款")</f>
        <v>預購款</v>
      </c>
    </row>
    <row r="1352" spans="1:60" x14ac:dyDescent="0.25">
      <c r="A1352" t="s">
        <v>3741</v>
      </c>
      <c r="B1352" t="s">
        <v>3731</v>
      </c>
      <c r="C1352" t="s">
        <v>3742</v>
      </c>
      <c r="D1352" t="s">
        <v>3743</v>
      </c>
      <c r="E1352" t="s">
        <v>3744</v>
      </c>
      <c r="F1352" t="s">
        <v>3416</v>
      </c>
      <c r="G1352" t="s">
        <v>3745</v>
      </c>
      <c r="H1352" t="s">
        <v>280</v>
      </c>
      <c r="I1352" t="s">
        <v>422</v>
      </c>
      <c r="J1352" t="s">
        <v>423</v>
      </c>
      <c r="K1352" t="s">
        <v>69</v>
      </c>
      <c r="L1352" t="s">
        <v>3736</v>
      </c>
      <c r="M1352" t="s">
        <v>71</v>
      </c>
      <c r="N1352" t="s">
        <v>198</v>
      </c>
      <c r="O1352" t="s">
        <v>1307</v>
      </c>
      <c r="P1352" t="s">
        <v>1308</v>
      </c>
      <c r="R1352" t="s">
        <v>1309</v>
      </c>
      <c r="S1352" t="s">
        <v>190</v>
      </c>
      <c r="T1352" t="s">
        <v>274</v>
      </c>
      <c r="U1352" t="s">
        <v>150</v>
      </c>
      <c r="V1352" t="s">
        <v>3737</v>
      </c>
      <c r="W1352">
        <v>990</v>
      </c>
      <c r="X1352">
        <v>39.99</v>
      </c>
      <c r="Y1352">
        <v>129</v>
      </c>
      <c r="Z1352">
        <v>709000</v>
      </c>
      <c r="AA1352">
        <v>198000</v>
      </c>
      <c r="AB1352">
        <v>300</v>
      </c>
      <c r="AD1352" t="s">
        <v>238</v>
      </c>
      <c r="AE1352">
        <v>2</v>
      </c>
      <c r="AF1352">
        <v>0</v>
      </c>
      <c r="AI1352">
        <v>0</v>
      </c>
      <c r="AJ1352">
        <v>50</v>
      </c>
      <c r="AK1352">
        <v>50</v>
      </c>
      <c r="AL1352">
        <v>200</v>
      </c>
      <c r="AM1352">
        <v>0</v>
      </c>
      <c r="AN1352">
        <v>0</v>
      </c>
      <c r="AO1352">
        <v>0</v>
      </c>
      <c r="AP1352" t="s">
        <v>69</v>
      </c>
      <c r="AT1352" t="s">
        <v>261</v>
      </c>
      <c r="AU1352" t="s">
        <v>261</v>
      </c>
      <c r="AV1352" t="s">
        <v>3746</v>
      </c>
      <c r="AW1352" t="s">
        <v>69</v>
      </c>
      <c r="AX1352" t="s">
        <v>611</v>
      </c>
      <c r="AY1352" t="s">
        <v>1126</v>
      </c>
      <c r="AZ1352" t="s">
        <v>243</v>
      </c>
      <c r="BA1352" t="s">
        <v>243</v>
      </c>
      <c r="BB1352" t="s">
        <v>243</v>
      </c>
      <c r="BC1352" t="s">
        <v>264</v>
      </c>
      <c r="BD1352" t="s">
        <v>3751</v>
      </c>
      <c r="BE1352" t="s">
        <v>3936</v>
      </c>
      <c r="BF1352" t="s">
        <v>279</v>
      </c>
      <c r="BG1352" t="s">
        <v>87</v>
      </c>
      <c r="BH1352" t="str">
        <f>IF(COUNTIF(工作表1!A:A, $C1352)&gt;0, "預購款", "非預購款")</f>
        <v>預購款</v>
      </c>
    </row>
    <row r="1353" spans="1:60" x14ac:dyDescent="0.25">
      <c r="A1353" t="s">
        <v>1354</v>
      </c>
      <c r="B1353" t="s">
        <v>535</v>
      </c>
      <c r="C1353" t="s">
        <v>1355</v>
      </c>
      <c r="D1353" t="s">
        <v>1356</v>
      </c>
      <c r="E1353" t="s">
        <v>1357</v>
      </c>
      <c r="F1353" t="s">
        <v>1330</v>
      </c>
      <c r="G1353" t="s">
        <v>1358</v>
      </c>
      <c r="H1353" t="s">
        <v>66</v>
      </c>
      <c r="I1353" t="s">
        <v>1359</v>
      </c>
      <c r="J1353" t="s">
        <v>1360</v>
      </c>
      <c r="K1353" t="s">
        <v>69</v>
      </c>
      <c r="L1353" t="s">
        <v>1361</v>
      </c>
      <c r="M1353" t="s">
        <v>71</v>
      </c>
      <c r="N1353" t="s">
        <v>198</v>
      </c>
      <c r="O1353" t="s">
        <v>1307</v>
      </c>
      <c r="P1353" t="s">
        <v>1308</v>
      </c>
      <c r="R1353" t="s">
        <v>1309</v>
      </c>
      <c r="S1353" t="s">
        <v>1331</v>
      </c>
      <c r="T1353" t="s">
        <v>258</v>
      </c>
      <c r="U1353" t="s">
        <v>527</v>
      </c>
      <c r="V1353" t="s">
        <v>554</v>
      </c>
      <c r="W1353">
        <v>790</v>
      </c>
      <c r="X1353">
        <v>34.99</v>
      </c>
      <c r="Y1353">
        <v>99</v>
      </c>
      <c r="Z1353">
        <v>569000</v>
      </c>
      <c r="AA1353">
        <v>27650</v>
      </c>
      <c r="AB1353">
        <v>130</v>
      </c>
      <c r="AD1353" t="s">
        <v>238</v>
      </c>
      <c r="AE1353">
        <v>1</v>
      </c>
      <c r="AF1353">
        <v>0</v>
      </c>
      <c r="AI1353">
        <v>0</v>
      </c>
      <c r="AJ1353">
        <v>35</v>
      </c>
      <c r="AK1353">
        <v>35</v>
      </c>
      <c r="AL1353">
        <v>35</v>
      </c>
      <c r="AM1353">
        <v>35</v>
      </c>
      <c r="AN1353">
        <v>0</v>
      </c>
      <c r="AO1353">
        <v>35</v>
      </c>
      <c r="AP1353" t="s">
        <v>80</v>
      </c>
      <c r="AQ1353" t="s">
        <v>190</v>
      </c>
      <c r="AT1353" t="s">
        <v>240</v>
      </c>
      <c r="AU1353" t="s">
        <v>264</v>
      </c>
      <c r="AV1353" t="s">
        <v>1362</v>
      </c>
      <c r="AW1353" t="s">
        <v>69</v>
      </c>
      <c r="AX1353" t="s">
        <v>1363</v>
      </c>
      <c r="AY1353" t="s">
        <v>1364</v>
      </c>
      <c r="BD1353" t="s">
        <v>1365</v>
      </c>
      <c r="BE1353" t="s">
        <v>3937</v>
      </c>
      <c r="BF1353" t="s">
        <v>240</v>
      </c>
      <c r="BH1353" t="str">
        <f>IF(COUNTIF(工作表1!A:A, $C1353)&gt;0, "預購款", "非預購款")</f>
        <v>預購款</v>
      </c>
    </row>
    <row r="1354" spans="1:60" x14ac:dyDescent="0.25">
      <c r="A1354" t="s">
        <v>3623</v>
      </c>
      <c r="B1354" t="s">
        <v>576</v>
      </c>
      <c r="C1354" t="s">
        <v>3624</v>
      </c>
      <c r="D1354" t="s">
        <v>3625</v>
      </c>
      <c r="E1354" t="s">
        <v>3626</v>
      </c>
      <c r="F1354" t="s">
        <v>196</v>
      </c>
      <c r="G1354" t="s">
        <v>3628</v>
      </c>
      <c r="H1354" t="s">
        <v>66</v>
      </c>
      <c r="I1354" t="s">
        <v>422</v>
      </c>
      <c r="J1354" t="s">
        <v>423</v>
      </c>
      <c r="K1354" t="s">
        <v>69</v>
      </c>
      <c r="L1354" t="s">
        <v>3629</v>
      </c>
      <c r="M1354" t="s">
        <v>71</v>
      </c>
      <c r="N1354" t="s">
        <v>198</v>
      </c>
      <c r="O1354" t="s">
        <v>1307</v>
      </c>
      <c r="P1354" t="s">
        <v>1308</v>
      </c>
      <c r="R1354" t="s">
        <v>1309</v>
      </c>
      <c r="S1354" t="s">
        <v>201</v>
      </c>
      <c r="T1354" t="s">
        <v>258</v>
      </c>
      <c r="U1354" t="s">
        <v>104</v>
      </c>
      <c r="V1354" t="s">
        <v>2090</v>
      </c>
      <c r="W1354">
        <v>1080</v>
      </c>
      <c r="X1354">
        <v>44.99</v>
      </c>
      <c r="Y1354">
        <v>139</v>
      </c>
      <c r="Z1354">
        <v>779000</v>
      </c>
      <c r="AA1354">
        <v>129600</v>
      </c>
      <c r="AB1354">
        <v>285</v>
      </c>
      <c r="AD1354" t="s">
        <v>238</v>
      </c>
      <c r="AE1354">
        <v>1</v>
      </c>
      <c r="AF1354">
        <v>0</v>
      </c>
      <c r="AI1354">
        <v>0</v>
      </c>
      <c r="AJ1354">
        <v>120</v>
      </c>
      <c r="AK1354">
        <v>120</v>
      </c>
      <c r="AL1354">
        <v>120</v>
      </c>
      <c r="AM1354">
        <v>0</v>
      </c>
      <c r="AN1354">
        <v>0</v>
      </c>
      <c r="AO1354">
        <v>0</v>
      </c>
      <c r="AP1354" t="s">
        <v>69</v>
      </c>
      <c r="AT1354" t="s">
        <v>240</v>
      </c>
      <c r="AU1354" t="s">
        <v>240</v>
      </c>
      <c r="AV1354" t="s">
        <v>569</v>
      </c>
      <c r="AW1354" t="s">
        <v>69</v>
      </c>
      <c r="AX1354" t="s">
        <v>583</v>
      </c>
      <c r="AY1354" t="s">
        <v>3631</v>
      </c>
      <c r="AZ1354" t="s">
        <v>264</v>
      </c>
      <c r="BA1354" t="s">
        <v>243</v>
      </c>
      <c r="BB1354" t="s">
        <v>244</v>
      </c>
      <c r="BC1354" t="s">
        <v>244</v>
      </c>
      <c r="BD1354" t="s">
        <v>3632</v>
      </c>
      <c r="BE1354" t="s">
        <v>3938</v>
      </c>
      <c r="BF1354" t="s">
        <v>240</v>
      </c>
      <c r="BG1354" t="s">
        <v>110</v>
      </c>
      <c r="BH1354" t="str">
        <f>IF(COUNTIF(工作表1!A:A, $C1354)&gt;0, "預購款", "非預購款")</f>
        <v>預購款</v>
      </c>
    </row>
    <row r="1355" spans="1:60" x14ac:dyDescent="0.25">
      <c r="A1355" t="s">
        <v>587</v>
      </c>
      <c r="B1355" t="s">
        <v>226</v>
      </c>
      <c r="C1355" t="s">
        <v>588</v>
      </c>
      <c r="D1355" t="s">
        <v>589</v>
      </c>
      <c r="E1355" t="s">
        <v>590</v>
      </c>
      <c r="F1355" t="s">
        <v>196</v>
      </c>
      <c r="G1355" t="s">
        <v>591</v>
      </c>
      <c r="H1355" t="s">
        <v>119</v>
      </c>
      <c r="I1355" t="s">
        <v>134</v>
      </c>
      <c r="J1355" t="s">
        <v>135</v>
      </c>
      <c r="K1355" t="s">
        <v>69</v>
      </c>
      <c r="L1355" t="s">
        <v>592</v>
      </c>
      <c r="M1355" t="s">
        <v>71</v>
      </c>
      <c r="N1355" t="s">
        <v>100</v>
      </c>
      <c r="O1355" t="s">
        <v>524</v>
      </c>
      <c r="P1355" t="s">
        <v>525</v>
      </c>
      <c r="R1355" t="s">
        <v>526</v>
      </c>
      <c r="S1355" t="s">
        <v>201</v>
      </c>
      <c r="T1355" t="s">
        <v>258</v>
      </c>
      <c r="U1355" t="s">
        <v>104</v>
      </c>
      <c r="V1355" t="s">
        <v>593</v>
      </c>
      <c r="W1355">
        <v>590</v>
      </c>
      <c r="X1355">
        <v>29.99</v>
      </c>
      <c r="Y1355">
        <v>75</v>
      </c>
      <c r="Z1355">
        <v>429000</v>
      </c>
      <c r="AA1355">
        <v>401200</v>
      </c>
      <c r="AB1355">
        <v>140</v>
      </c>
      <c r="AD1355" t="s">
        <v>238</v>
      </c>
      <c r="AE1355">
        <v>3</v>
      </c>
      <c r="AF1355">
        <v>0</v>
      </c>
      <c r="AI1355">
        <v>20</v>
      </c>
      <c r="AJ1355">
        <v>70</v>
      </c>
      <c r="AK1355">
        <v>90</v>
      </c>
      <c r="AL1355">
        <v>680</v>
      </c>
      <c r="AM1355">
        <v>0</v>
      </c>
      <c r="AN1355">
        <v>0</v>
      </c>
      <c r="AO1355">
        <v>0</v>
      </c>
      <c r="AP1355" t="s">
        <v>69</v>
      </c>
      <c r="AT1355" t="s">
        <v>264</v>
      </c>
      <c r="AU1355" t="s">
        <v>264</v>
      </c>
      <c r="AV1355" t="s">
        <v>569</v>
      </c>
      <c r="AW1355" t="s">
        <v>69</v>
      </c>
      <c r="AX1355" t="s">
        <v>583</v>
      </c>
      <c r="AY1355" t="s">
        <v>594</v>
      </c>
      <c r="AZ1355" t="s">
        <v>245</v>
      </c>
      <c r="BA1355" t="s">
        <v>244</v>
      </c>
      <c r="BB1355" t="s">
        <v>244</v>
      </c>
      <c r="BC1355" t="s">
        <v>264</v>
      </c>
      <c r="BD1355" t="s">
        <v>602</v>
      </c>
      <c r="BE1355" t="s">
        <v>3939</v>
      </c>
      <c r="BF1355" t="s">
        <v>240</v>
      </c>
      <c r="BG1355" t="s">
        <v>150</v>
      </c>
      <c r="BH1355" t="str">
        <f>IF(COUNTIF(工作表1!A:A, $C1355)&gt;0, "預購款", "非預購款")</f>
        <v>非預購款</v>
      </c>
    </row>
    <row r="1356" spans="1:60" x14ac:dyDescent="0.25">
      <c r="A1356" t="s">
        <v>587</v>
      </c>
      <c r="B1356" t="s">
        <v>226</v>
      </c>
      <c r="C1356" t="s">
        <v>588</v>
      </c>
      <c r="D1356" t="s">
        <v>589</v>
      </c>
      <c r="E1356" t="s">
        <v>590</v>
      </c>
      <c r="F1356" t="s">
        <v>196</v>
      </c>
      <c r="G1356" t="s">
        <v>591</v>
      </c>
      <c r="H1356" t="s">
        <v>130</v>
      </c>
      <c r="I1356" t="s">
        <v>134</v>
      </c>
      <c r="J1356" t="s">
        <v>135</v>
      </c>
      <c r="K1356" t="s">
        <v>69</v>
      </c>
      <c r="L1356" t="s">
        <v>592</v>
      </c>
      <c r="M1356" t="s">
        <v>71</v>
      </c>
      <c r="N1356" t="s">
        <v>100</v>
      </c>
      <c r="O1356" t="s">
        <v>524</v>
      </c>
      <c r="P1356" t="s">
        <v>525</v>
      </c>
      <c r="R1356" t="s">
        <v>526</v>
      </c>
      <c r="S1356" t="s">
        <v>201</v>
      </c>
      <c r="T1356" t="s">
        <v>258</v>
      </c>
      <c r="U1356" t="s">
        <v>104</v>
      </c>
      <c r="V1356" t="s">
        <v>593</v>
      </c>
      <c r="W1356">
        <v>590</v>
      </c>
      <c r="X1356">
        <v>29.99</v>
      </c>
      <c r="Y1356">
        <v>75</v>
      </c>
      <c r="Z1356">
        <v>429000</v>
      </c>
      <c r="AA1356">
        <v>401200</v>
      </c>
      <c r="AB1356">
        <v>140</v>
      </c>
      <c r="AD1356" t="s">
        <v>238</v>
      </c>
      <c r="AE1356">
        <v>3</v>
      </c>
      <c r="AF1356">
        <v>0</v>
      </c>
      <c r="AI1356">
        <v>80</v>
      </c>
      <c r="AJ1356">
        <v>60</v>
      </c>
      <c r="AK1356">
        <v>140</v>
      </c>
      <c r="AL1356">
        <v>680</v>
      </c>
      <c r="AM1356">
        <v>0</v>
      </c>
      <c r="AN1356">
        <v>0</v>
      </c>
      <c r="AO1356">
        <v>0</v>
      </c>
      <c r="AP1356" t="s">
        <v>69</v>
      </c>
      <c r="AT1356" t="s">
        <v>264</v>
      </c>
      <c r="AU1356" t="s">
        <v>264</v>
      </c>
      <c r="AV1356" t="s">
        <v>569</v>
      </c>
      <c r="AW1356" t="s">
        <v>69</v>
      </c>
      <c r="AX1356" t="s">
        <v>583</v>
      </c>
      <c r="AY1356" t="s">
        <v>594</v>
      </c>
      <c r="AZ1356" t="s">
        <v>245</v>
      </c>
      <c r="BA1356" t="s">
        <v>244</v>
      </c>
      <c r="BB1356" t="s">
        <v>244</v>
      </c>
      <c r="BC1356" t="s">
        <v>264</v>
      </c>
      <c r="BD1356" t="s">
        <v>603</v>
      </c>
      <c r="BE1356" t="s">
        <v>3939</v>
      </c>
      <c r="BF1356" t="s">
        <v>240</v>
      </c>
      <c r="BG1356" t="s">
        <v>150</v>
      </c>
      <c r="BH1356" t="str">
        <f>IF(COUNTIF(工作表1!A:A, $C1356)&gt;0, "預購款", "非預購款")</f>
        <v>非預購款</v>
      </c>
    </row>
    <row r="1357" spans="1:60" x14ac:dyDescent="0.25">
      <c r="A1357" t="s">
        <v>587</v>
      </c>
      <c r="B1357" t="s">
        <v>226</v>
      </c>
      <c r="C1357" t="s">
        <v>588</v>
      </c>
      <c r="D1357" t="s">
        <v>589</v>
      </c>
      <c r="E1357" t="s">
        <v>590</v>
      </c>
      <c r="F1357" t="s">
        <v>196</v>
      </c>
      <c r="G1357" t="s">
        <v>591</v>
      </c>
      <c r="H1357" t="s">
        <v>132</v>
      </c>
      <c r="I1357" t="s">
        <v>134</v>
      </c>
      <c r="J1357" t="s">
        <v>135</v>
      </c>
      <c r="K1357" t="s">
        <v>69</v>
      </c>
      <c r="L1357" t="s">
        <v>592</v>
      </c>
      <c r="M1357" t="s">
        <v>71</v>
      </c>
      <c r="N1357" t="s">
        <v>100</v>
      </c>
      <c r="O1357" t="s">
        <v>524</v>
      </c>
      <c r="P1357" t="s">
        <v>525</v>
      </c>
      <c r="R1357" t="s">
        <v>526</v>
      </c>
      <c r="S1357" t="s">
        <v>201</v>
      </c>
      <c r="T1357" t="s">
        <v>258</v>
      </c>
      <c r="U1357" t="s">
        <v>104</v>
      </c>
      <c r="V1357" t="s">
        <v>593</v>
      </c>
      <c r="W1357">
        <v>590</v>
      </c>
      <c r="X1357">
        <v>29.99</v>
      </c>
      <c r="Y1357">
        <v>75</v>
      </c>
      <c r="Z1357">
        <v>429000</v>
      </c>
      <c r="AA1357">
        <v>401200</v>
      </c>
      <c r="AB1357">
        <v>140</v>
      </c>
      <c r="AD1357" t="s">
        <v>238</v>
      </c>
      <c r="AE1357">
        <v>3</v>
      </c>
      <c r="AF1357">
        <v>0</v>
      </c>
      <c r="AI1357">
        <v>70</v>
      </c>
      <c r="AJ1357">
        <v>40</v>
      </c>
      <c r="AK1357">
        <v>110</v>
      </c>
      <c r="AL1357">
        <v>680</v>
      </c>
      <c r="AM1357">
        <v>0</v>
      </c>
      <c r="AN1357">
        <v>0</v>
      </c>
      <c r="AO1357">
        <v>0</v>
      </c>
      <c r="AP1357" t="s">
        <v>69</v>
      </c>
      <c r="AT1357" t="s">
        <v>264</v>
      </c>
      <c r="AU1357" t="s">
        <v>264</v>
      </c>
      <c r="AV1357" t="s">
        <v>569</v>
      </c>
      <c r="AW1357" t="s">
        <v>69</v>
      </c>
      <c r="AX1357" t="s">
        <v>583</v>
      </c>
      <c r="AY1357" t="s">
        <v>594</v>
      </c>
      <c r="AZ1357" t="s">
        <v>245</v>
      </c>
      <c r="BA1357" t="s">
        <v>244</v>
      </c>
      <c r="BB1357" t="s">
        <v>244</v>
      </c>
      <c r="BC1357" t="s">
        <v>264</v>
      </c>
      <c r="BD1357" t="s">
        <v>604</v>
      </c>
      <c r="BE1357" t="s">
        <v>3939</v>
      </c>
      <c r="BF1357" t="s">
        <v>240</v>
      </c>
      <c r="BG1357" t="s">
        <v>150</v>
      </c>
      <c r="BH1357" t="str">
        <f>IF(COUNTIF(工作表1!A:A, $C1357)&gt;0, "預購款", "非預購款")</f>
        <v>非預購款</v>
      </c>
    </row>
    <row r="1358" spans="1:60" x14ac:dyDescent="0.25">
      <c r="A1358" t="s">
        <v>3791</v>
      </c>
      <c r="B1358" t="s">
        <v>226</v>
      </c>
      <c r="C1358" t="s">
        <v>3792</v>
      </c>
      <c r="D1358" t="s">
        <v>3793</v>
      </c>
      <c r="E1358" t="s">
        <v>3794</v>
      </c>
      <c r="F1358" t="s">
        <v>196</v>
      </c>
      <c r="G1358" t="s">
        <v>3795</v>
      </c>
      <c r="H1358" t="s">
        <v>273</v>
      </c>
      <c r="I1358" t="s">
        <v>97</v>
      </c>
      <c r="J1358" t="s">
        <v>98</v>
      </c>
      <c r="K1358" t="s">
        <v>69</v>
      </c>
      <c r="L1358" t="s">
        <v>3783</v>
      </c>
      <c r="M1358" t="s">
        <v>71</v>
      </c>
      <c r="N1358" t="s">
        <v>198</v>
      </c>
      <c r="O1358" t="s">
        <v>1307</v>
      </c>
      <c r="P1358" t="s">
        <v>1308</v>
      </c>
      <c r="R1358" t="s">
        <v>1309</v>
      </c>
      <c r="S1358" t="s">
        <v>201</v>
      </c>
      <c r="T1358" t="s">
        <v>274</v>
      </c>
      <c r="U1358" t="s">
        <v>104</v>
      </c>
      <c r="V1358" t="s">
        <v>593</v>
      </c>
      <c r="W1358">
        <v>690</v>
      </c>
      <c r="X1358">
        <v>29.99</v>
      </c>
      <c r="Y1358">
        <v>89</v>
      </c>
      <c r="Z1358">
        <v>499000</v>
      </c>
      <c r="AA1358">
        <v>207000</v>
      </c>
      <c r="AB1358">
        <v>200</v>
      </c>
      <c r="AD1358" t="s">
        <v>238</v>
      </c>
      <c r="AE1358">
        <v>2</v>
      </c>
      <c r="AF1358">
        <v>0</v>
      </c>
      <c r="AI1358">
        <v>10</v>
      </c>
      <c r="AJ1358">
        <v>70</v>
      </c>
      <c r="AK1358">
        <v>80</v>
      </c>
      <c r="AL1358">
        <v>300</v>
      </c>
      <c r="AM1358">
        <v>0</v>
      </c>
      <c r="AN1358">
        <v>0</v>
      </c>
      <c r="AO1358">
        <v>0</v>
      </c>
      <c r="AP1358" t="s">
        <v>69</v>
      </c>
      <c r="AT1358" t="s">
        <v>240</v>
      </c>
      <c r="AU1358" t="s">
        <v>240</v>
      </c>
      <c r="AV1358" t="s">
        <v>3693</v>
      </c>
      <c r="AW1358" t="s">
        <v>69</v>
      </c>
      <c r="AX1358" t="s">
        <v>611</v>
      </c>
      <c r="AY1358" t="s">
        <v>3796</v>
      </c>
      <c r="AZ1358" t="s">
        <v>245</v>
      </c>
      <c r="BA1358" t="s">
        <v>245</v>
      </c>
      <c r="BB1358" t="s">
        <v>244</v>
      </c>
      <c r="BC1358" t="s">
        <v>244</v>
      </c>
      <c r="BD1358" t="s">
        <v>3797</v>
      </c>
      <c r="BE1358" t="s">
        <v>3940</v>
      </c>
      <c r="BF1358" t="s">
        <v>279</v>
      </c>
      <c r="BG1358" t="s">
        <v>150</v>
      </c>
      <c r="BH1358" t="str">
        <f>IF(COUNTIF(工作表1!A:A, $C1358)&gt;0, "預購款", "非預購款")</f>
        <v>預購款</v>
      </c>
    </row>
    <row r="1359" spans="1:60" x14ac:dyDescent="0.25">
      <c r="A1359" t="s">
        <v>3791</v>
      </c>
      <c r="B1359" t="s">
        <v>226</v>
      </c>
      <c r="C1359" t="s">
        <v>3792</v>
      </c>
      <c r="D1359" t="s">
        <v>3793</v>
      </c>
      <c r="E1359" t="s">
        <v>3794</v>
      </c>
      <c r="F1359" t="s">
        <v>196</v>
      </c>
      <c r="G1359" t="s">
        <v>3795</v>
      </c>
      <c r="H1359" t="s">
        <v>501</v>
      </c>
      <c r="I1359" t="s">
        <v>97</v>
      </c>
      <c r="J1359" t="s">
        <v>98</v>
      </c>
      <c r="K1359" t="s">
        <v>69</v>
      </c>
      <c r="L1359" t="s">
        <v>3783</v>
      </c>
      <c r="M1359" t="s">
        <v>71</v>
      </c>
      <c r="N1359" t="s">
        <v>198</v>
      </c>
      <c r="O1359" t="s">
        <v>1307</v>
      </c>
      <c r="P1359" t="s">
        <v>1308</v>
      </c>
      <c r="R1359" t="s">
        <v>1309</v>
      </c>
      <c r="S1359" t="s">
        <v>201</v>
      </c>
      <c r="T1359" t="s">
        <v>274</v>
      </c>
      <c r="U1359" t="s">
        <v>104</v>
      </c>
      <c r="V1359" t="s">
        <v>593</v>
      </c>
      <c r="W1359">
        <v>690</v>
      </c>
      <c r="X1359">
        <v>29.99</v>
      </c>
      <c r="Y1359">
        <v>89</v>
      </c>
      <c r="Z1359">
        <v>499000</v>
      </c>
      <c r="AA1359">
        <v>207000</v>
      </c>
      <c r="AB1359">
        <v>200</v>
      </c>
      <c r="AD1359" t="s">
        <v>238</v>
      </c>
      <c r="AE1359">
        <v>2</v>
      </c>
      <c r="AF1359">
        <v>0</v>
      </c>
      <c r="AI1359">
        <v>0</v>
      </c>
      <c r="AJ1359">
        <v>15</v>
      </c>
      <c r="AK1359">
        <v>15</v>
      </c>
      <c r="AL1359">
        <v>300</v>
      </c>
      <c r="AM1359">
        <v>0</v>
      </c>
      <c r="AN1359">
        <v>0</v>
      </c>
      <c r="AO1359">
        <v>0</v>
      </c>
      <c r="AP1359" t="s">
        <v>69</v>
      </c>
      <c r="AT1359" t="s">
        <v>240</v>
      </c>
      <c r="AU1359" t="s">
        <v>240</v>
      </c>
      <c r="AV1359" t="s">
        <v>3693</v>
      </c>
      <c r="AW1359" t="s">
        <v>69</v>
      </c>
      <c r="AX1359" t="s">
        <v>611</v>
      </c>
      <c r="AY1359" t="s">
        <v>3796</v>
      </c>
      <c r="AZ1359" t="s">
        <v>245</v>
      </c>
      <c r="BA1359" t="s">
        <v>245</v>
      </c>
      <c r="BB1359" t="s">
        <v>244</v>
      </c>
      <c r="BC1359" t="s">
        <v>244</v>
      </c>
      <c r="BD1359" t="s">
        <v>3798</v>
      </c>
      <c r="BE1359" t="s">
        <v>3940</v>
      </c>
      <c r="BF1359" t="s">
        <v>279</v>
      </c>
      <c r="BG1359" t="s">
        <v>150</v>
      </c>
      <c r="BH1359" t="str">
        <f>IF(COUNTIF(工作表1!A:A, $C1359)&gt;0, "預購款", "非預購款")</f>
        <v>預購款</v>
      </c>
    </row>
    <row r="1360" spans="1:60" x14ac:dyDescent="0.25">
      <c r="A1360" t="s">
        <v>3791</v>
      </c>
      <c r="B1360" t="s">
        <v>226</v>
      </c>
      <c r="C1360" t="s">
        <v>3792</v>
      </c>
      <c r="D1360" t="s">
        <v>3793</v>
      </c>
      <c r="E1360" t="s">
        <v>3794</v>
      </c>
      <c r="F1360" t="s">
        <v>196</v>
      </c>
      <c r="G1360" t="s">
        <v>3795</v>
      </c>
      <c r="H1360" t="s">
        <v>280</v>
      </c>
      <c r="I1360" t="s">
        <v>97</v>
      </c>
      <c r="J1360" t="s">
        <v>98</v>
      </c>
      <c r="K1360" t="s">
        <v>69</v>
      </c>
      <c r="L1360" t="s">
        <v>3783</v>
      </c>
      <c r="M1360" t="s">
        <v>71</v>
      </c>
      <c r="N1360" t="s">
        <v>198</v>
      </c>
      <c r="O1360" t="s">
        <v>1307</v>
      </c>
      <c r="P1360" t="s">
        <v>1308</v>
      </c>
      <c r="R1360" t="s">
        <v>1309</v>
      </c>
      <c r="S1360" t="s">
        <v>201</v>
      </c>
      <c r="T1360" t="s">
        <v>274</v>
      </c>
      <c r="U1360" t="s">
        <v>104</v>
      </c>
      <c r="V1360" t="s">
        <v>593</v>
      </c>
      <c r="W1360">
        <v>690</v>
      </c>
      <c r="X1360">
        <v>29.99</v>
      </c>
      <c r="Y1360">
        <v>89</v>
      </c>
      <c r="Z1360">
        <v>499000</v>
      </c>
      <c r="AA1360">
        <v>207000</v>
      </c>
      <c r="AB1360">
        <v>200</v>
      </c>
      <c r="AD1360" t="s">
        <v>238</v>
      </c>
      <c r="AE1360">
        <v>2</v>
      </c>
      <c r="AF1360">
        <v>0</v>
      </c>
      <c r="AI1360">
        <v>0</v>
      </c>
      <c r="AJ1360">
        <v>20</v>
      </c>
      <c r="AK1360">
        <v>20</v>
      </c>
      <c r="AL1360">
        <v>300</v>
      </c>
      <c r="AM1360">
        <v>0</v>
      </c>
      <c r="AN1360">
        <v>0</v>
      </c>
      <c r="AO1360">
        <v>0</v>
      </c>
      <c r="AP1360" t="s">
        <v>69</v>
      </c>
      <c r="AT1360" t="s">
        <v>240</v>
      </c>
      <c r="AU1360" t="s">
        <v>240</v>
      </c>
      <c r="AV1360" t="s">
        <v>3693</v>
      </c>
      <c r="AW1360" t="s">
        <v>69</v>
      </c>
      <c r="AX1360" t="s">
        <v>611</v>
      </c>
      <c r="AY1360" t="s">
        <v>3796</v>
      </c>
      <c r="AZ1360" t="s">
        <v>245</v>
      </c>
      <c r="BA1360" t="s">
        <v>245</v>
      </c>
      <c r="BB1360" t="s">
        <v>244</v>
      </c>
      <c r="BC1360" t="s">
        <v>244</v>
      </c>
      <c r="BD1360" t="s">
        <v>3799</v>
      </c>
      <c r="BE1360" t="s">
        <v>3940</v>
      </c>
      <c r="BF1360" t="s">
        <v>279</v>
      </c>
      <c r="BG1360" t="s">
        <v>150</v>
      </c>
      <c r="BH1360" t="str">
        <f>IF(COUNTIF(工作表1!A:A, $C1360)&gt;0, "預購款", "非預購款")</f>
        <v>預購款</v>
      </c>
    </row>
    <row r="1361" spans="1:60" x14ac:dyDescent="0.25">
      <c r="A1361" t="s">
        <v>3791</v>
      </c>
      <c r="B1361" t="s">
        <v>226</v>
      </c>
      <c r="C1361" t="s">
        <v>3792</v>
      </c>
      <c r="D1361" t="s">
        <v>3793</v>
      </c>
      <c r="E1361" t="s">
        <v>3794</v>
      </c>
      <c r="F1361" t="s">
        <v>196</v>
      </c>
      <c r="G1361" t="s">
        <v>3795</v>
      </c>
      <c r="H1361" t="s">
        <v>273</v>
      </c>
      <c r="I1361" t="s">
        <v>422</v>
      </c>
      <c r="J1361" t="s">
        <v>423</v>
      </c>
      <c r="K1361" t="s">
        <v>69</v>
      </c>
      <c r="L1361" t="s">
        <v>3783</v>
      </c>
      <c r="M1361" t="s">
        <v>71</v>
      </c>
      <c r="N1361" t="s">
        <v>198</v>
      </c>
      <c r="O1361" t="s">
        <v>1307</v>
      </c>
      <c r="P1361" t="s">
        <v>1308</v>
      </c>
      <c r="R1361" t="s">
        <v>1309</v>
      </c>
      <c r="S1361" t="s">
        <v>201</v>
      </c>
      <c r="T1361" t="s">
        <v>274</v>
      </c>
      <c r="U1361" t="s">
        <v>104</v>
      </c>
      <c r="V1361" t="s">
        <v>593</v>
      </c>
      <c r="W1361">
        <v>690</v>
      </c>
      <c r="X1361">
        <v>29.99</v>
      </c>
      <c r="Y1361">
        <v>89</v>
      </c>
      <c r="Z1361">
        <v>499000</v>
      </c>
      <c r="AA1361">
        <v>207000</v>
      </c>
      <c r="AB1361">
        <v>200</v>
      </c>
      <c r="AD1361" t="s">
        <v>238</v>
      </c>
      <c r="AE1361">
        <v>2</v>
      </c>
      <c r="AF1361">
        <v>0</v>
      </c>
      <c r="AI1361">
        <v>40</v>
      </c>
      <c r="AJ1361">
        <v>60</v>
      </c>
      <c r="AK1361">
        <v>100</v>
      </c>
      <c r="AL1361">
        <v>300</v>
      </c>
      <c r="AM1361">
        <v>0</v>
      </c>
      <c r="AN1361">
        <v>0</v>
      </c>
      <c r="AO1361">
        <v>0</v>
      </c>
      <c r="AP1361" t="s">
        <v>69</v>
      </c>
      <c r="AT1361" t="s">
        <v>240</v>
      </c>
      <c r="AU1361" t="s">
        <v>240</v>
      </c>
      <c r="AV1361" t="s">
        <v>3693</v>
      </c>
      <c r="AW1361" t="s">
        <v>69</v>
      </c>
      <c r="AX1361" t="s">
        <v>611</v>
      </c>
      <c r="AY1361" t="s">
        <v>3796</v>
      </c>
      <c r="AZ1361" t="s">
        <v>245</v>
      </c>
      <c r="BA1361" t="s">
        <v>245</v>
      </c>
      <c r="BB1361" t="s">
        <v>244</v>
      </c>
      <c r="BC1361" t="s">
        <v>244</v>
      </c>
      <c r="BD1361" t="s">
        <v>3800</v>
      </c>
      <c r="BE1361" t="s">
        <v>3940</v>
      </c>
      <c r="BF1361" t="s">
        <v>279</v>
      </c>
      <c r="BG1361" t="s">
        <v>150</v>
      </c>
      <c r="BH1361" t="str">
        <f>IF(COUNTIF(工作表1!A:A, $C1361)&gt;0, "預購款", "非預購款")</f>
        <v>預購款</v>
      </c>
    </row>
    <row r="1362" spans="1:60" x14ac:dyDescent="0.25">
      <c r="A1362" t="s">
        <v>3791</v>
      </c>
      <c r="B1362" t="s">
        <v>226</v>
      </c>
      <c r="C1362" t="s">
        <v>3792</v>
      </c>
      <c r="D1362" t="s">
        <v>3793</v>
      </c>
      <c r="E1362" t="s">
        <v>3794</v>
      </c>
      <c r="F1362" t="s">
        <v>196</v>
      </c>
      <c r="G1362" t="s">
        <v>3795</v>
      </c>
      <c r="H1362" t="s">
        <v>501</v>
      </c>
      <c r="I1362" t="s">
        <v>422</v>
      </c>
      <c r="J1362" t="s">
        <v>423</v>
      </c>
      <c r="K1362" t="s">
        <v>69</v>
      </c>
      <c r="L1362" t="s">
        <v>3783</v>
      </c>
      <c r="M1362" t="s">
        <v>71</v>
      </c>
      <c r="N1362" t="s">
        <v>198</v>
      </c>
      <c r="O1362" t="s">
        <v>1307</v>
      </c>
      <c r="P1362" t="s">
        <v>1308</v>
      </c>
      <c r="R1362" t="s">
        <v>1309</v>
      </c>
      <c r="S1362" t="s">
        <v>201</v>
      </c>
      <c r="T1362" t="s">
        <v>274</v>
      </c>
      <c r="U1362" t="s">
        <v>104</v>
      </c>
      <c r="V1362" t="s">
        <v>593</v>
      </c>
      <c r="W1362">
        <v>690</v>
      </c>
      <c r="X1362">
        <v>29.99</v>
      </c>
      <c r="Y1362">
        <v>89</v>
      </c>
      <c r="Z1362">
        <v>499000</v>
      </c>
      <c r="AA1362">
        <v>207000</v>
      </c>
      <c r="AB1362">
        <v>200</v>
      </c>
      <c r="AD1362" t="s">
        <v>238</v>
      </c>
      <c r="AE1362">
        <v>2</v>
      </c>
      <c r="AF1362">
        <v>0</v>
      </c>
      <c r="AI1362">
        <v>15</v>
      </c>
      <c r="AJ1362">
        <v>20</v>
      </c>
      <c r="AK1362">
        <v>35</v>
      </c>
      <c r="AL1362">
        <v>300</v>
      </c>
      <c r="AM1362">
        <v>0</v>
      </c>
      <c r="AN1362">
        <v>0</v>
      </c>
      <c r="AO1362">
        <v>0</v>
      </c>
      <c r="AP1362" t="s">
        <v>69</v>
      </c>
      <c r="AT1362" t="s">
        <v>240</v>
      </c>
      <c r="AU1362" t="s">
        <v>240</v>
      </c>
      <c r="AV1362" t="s">
        <v>3693</v>
      </c>
      <c r="AW1362" t="s">
        <v>69</v>
      </c>
      <c r="AX1362" t="s">
        <v>611</v>
      </c>
      <c r="AY1362" t="s">
        <v>3796</v>
      </c>
      <c r="AZ1362" t="s">
        <v>245</v>
      </c>
      <c r="BA1362" t="s">
        <v>245</v>
      </c>
      <c r="BB1362" t="s">
        <v>244</v>
      </c>
      <c r="BC1362" t="s">
        <v>244</v>
      </c>
      <c r="BD1362" t="s">
        <v>3801</v>
      </c>
      <c r="BE1362" t="s">
        <v>3940</v>
      </c>
      <c r="BF1362" t="s">
        <v>279</v>
      </c>
      <c r="BG1362" t="s">
        <v>150</v>
      </c>
      <c r="BH1362" t="str">
        <f>IF(COUNTIF(工作表1!A:A, $C1362)&gt;0, "預購款", "非預購款")</f>
        <v>預購款</v>
      </c>
    </row>
    <row r="1363" spans="1:60" x14ac:dyDescent="0.25">
      <c r="A1363" t="s">
        <v>3791</v>
      </c>
      <c r="B1363" t="s">
        <v>226</v>
      </c>
      <c r="C1363" t="s">
        <v>3792</v>
      </c>
      <c r="D1363" t="s">
        <v>3793</v>
      </c>
      <c r="E1363" t="s">
        <v>3794</v>
      </c>
      <c r="F1363" t="s">
        <v>196</v>
      </c>
      <c r="G1363" t="s">
        <v>3795</v>
      </c>
      <c r="H1363" t="s">
        <v>280</v>
      </c>
      <c r="I1363" t="s">
        <v>422</v>
      </c>
      <c r="J1363" t="s">
        <v>423</v>
      </c>
      <c r="K1363" t="s">
        <v>69</v>
      </c>
      <c r="L1363" t="s">
        <v>3783</v>
      </c>
      <c r="M1363" t="s">
        <v>71</v>
      </c>
      <c r="N1363" t="s">
        <v>198</v>
      </c>
      <c r="O1363" t="s">
        <v>1307</v>
      </c>
      <c r="P1363" t="s">
        <v>1308</v>
      </c>
      <c r="R1363" t="s">
        <v>1309</v>
      </c>
      <c r="S1363" t="s">
        <v>201</v>
      </c>
      <c r="T1363" t="s">
        <v>274</v>
      </c>
      <c r="U1363" t="s">
        <v>104</v>
      </c>
      <c r="V1363" t="s">
        <v>593</v>
      </c>
      <c r="W1363">
        <v>690</v>
      </c>
      <c r="X1363">
        <v>29.99</v>
      </c>
      <c r="Y1363">
        <v>89</v>
      </c>
      <c r="Z1363">
        <v>499000</v>
      </c>
      <c r="AA1363">
        <v>207000</v>
      </c>
      <c r="AB1363">
        <v>200</v>
      </c>
      <c r="AD1363" t="s">
        <v>238</v>
      </c>
      <c r="AE1363">
        <v>2</v>
      </c>
      <c r="AF1363">
        <v>0</v>
      </c>
      <c r="AI1363">
        <v>20</v>
      </c>
      <c r="AJ1363">
        <v>30</v>
      </c>
      <c r="AK1363">
        <v>50</v>
      </c>
      <c r="AL1363">
        <v>300</v>
      </c>
      <c r="AM1363">
        <v>0</v>
      </c>
      <c r="AN1363">
        <v>0</v>
      </c>
      <c r="AO1363">
        <v>0</v>
      </c>
      <c r="AP1363" t="s">
        <v>69</v>
      </c>
      <c r="AT1363" t="s">
        <v>240</v>
      </c>
      <c r="AU1363" t="s">
        <v>240</v>
      </c>
      <c r="AV1363" t="s">
        <v>3693</v>
      </c>
      <c r="AW1363" t="s">
        <v>69</v>
      </c>
      <c r="AX1363" t="s">
        <v>611</v>
      </c>
      <c r="AY1363" t="s">
        <v>3796</v>
      </c>
      <c r="AZ1363" t="s">
        <v>245</v>
      </c>
      <c r="BA1363" t="s">
        <v>245</v>
      </c>
      <c r="BB1363" t="s">
        <v>244</v>
      </c>
      <c r="BC1363" t="s">
        <v>244</v>
      </c>
      <c r="BD1363" t="s">
        <v>3802</v>
      </c>
      <c r="BE1363" t="s">
        <v>3940</v>
      </c>
      <c r="BF1363" t="s">
        <v>279</v>
      </c>
      <c r="BG1363" t="s">
        <v>150</v>
      </c>
      <c r="BH1363" t="str">
        <f>IF(COUNTIF(工作表1!A:A, $C1363)&gt;0, "預購款", "非預購款")</f>
        <v>預購款</v>
      </c>
    </row>
    <row r="1364" spans="1:60" x14ac:dyDescent="0.25">
      <c r="A1364" t="s">
        <v>3655</v>
      </c>
      <c r="B1364" t="s">
        <v>226</v>
      </c>
      <c r="C1364" t="s">
        <v>3656</v>
      </c>
      <c r="D1364" t="s">
        <v>3657</v>
      </c>
      <c r="E1364" t="s">
        <v>3658</v>
      </c>
      <c r="F1364" t="s">
        <v>196</v>
      </c>
      <c r="G1364" t="s">
        <v>3659</v>
      </c>
      <c r="H1364" t="s">
        <v>119</v>
      </c>
      <c r="I1364" t="s">
        <v>120</v>
      </c>
      <c r="J1364" t="s">
        <v>121</v>
      </c>
      <c r="K1364" t="s">
        <v>69</v>
      </c>
      <c r="L1364" t="s">
        <v>3660</v>
      </c>
      <c r="M1364" t="s">
        <v>71</v>
      </c>
      <c r="N1364" t="s">
        <v>198</v>
      </c>
      <c r="O1364" t="s">
        <v>1307</v>
      </c>
      <c r="P1364" t="s">
        <v>1308</v>
      </c>
      <c r="R1364" t="s">
        <v>1309</v>
      </c>
      <c r="S1364" t="s">
        <v>201</v>
      </c>
      <c r="T1364" t="s">
        <v>258</v>
      </c>
      <c r="U1364" t="s">
        <v>104</v>
      </c>
      <c r="V1364" t="s">
        <v>593</v>
      </c>
      <c r="W1364">
        <v>690</v>
      </c>
      <c r="X1364">
        <v>29.99</v>
      </c>
      <c r="Y1364">
        <v>89</v>
      </c>
      <c r="Z1364">
        <v>499000</v>
      </c>
      <c r="AA1364">
        <v>641700</v>
      </c>
      <c r="AB1364">
        <v>135</v>
      </c>
      <c r="AD1364" t="s">
        <v>238</v>
      </c>
      <c r="AE1364">
        <v>2</v>
      </c>
      <c r="AF1364">
        <v>0</v>
      </c>
      <c r="AI1364">
        <v>20</v>
      </c>
      <c r="AJ1364">
        <v>110</v>
      </c>
      <c r="AK1364">
        <v>130</v>
      </c>
      <c r="AL1364">
        <v>930</v>
      </c>
      <c r="AM1364">
        <v>0</v>
      </c>
      <c r="AN1364">
        <v>0</v>
      </c>
      <c r="AO1364">
        <v>0</v>
      </c>
      <c r="AP1364" t="s">
        <v>69</v>
      </c>
      <c r="AT1364" t="s">
        <v>86</v>
      </c>
      <c r="AU1364" t="s">
        <v>261</v>
      </c>
      <c r="AV1364" t="s">
        <v>3661</v>
      </c>
      <c r="AW1364" t="s">
        <v>69</v>
      </c>
      <c r="AX1364" t="s">
        <v>583</v>
      </c>
      <c r="AY1364" t="s">
        <v>3662</v>
      </c>
      <c r="AZ1364" t="s">
        <v>245</v>
      </c>
      <c r="BA1364" t="s">
        <v>245</v>
      </c>
      <c r="BB1364" t="s">
        <v>244</v>
      </c>
      <c r="BC1364" t="s">
        <v>244</v>
      </c>
      <c r="BD1364" t="s">
        <v>3663</v>
      </c>
      <c r="BE1364" t="s">
        <v>3941</v>
      </c>
      <c r="BF1364" t="s">
        <v>240</v>
      </c>
      <c r="BG1364" t="s">
        <v>150</v>
      </c>
      <c r="BH1364" t="str">
        <f>IF(COUNTIF(工作表1!A:A, $C1364)&gt;0, "預購款", "非預購款")</f>
        <v>預購款</v>
      </c>
    </row>
    <row r="1365" spans="1:60" x14ac:dyDescent="0.25">
      <c r="A1365" t="s">
        <v>3655</v>
      </c>
      <c r="B1365" t="s">
        <v>226</v>
      </c>
      <c r="C1365" t="s">
        <v>3656</v>
      </c>
      <c r="D1365" t="s">
        <v>3657</v>
      </c>
      <c r="E1365" t="s">
        <v>3658</v>
      </c>
      <c r="F1365" t="s">
        <v>196</v>
      </c>
      <c r="G1365" t="s">
        <v>3659</v>
      </c>
      <c r="H1365" t="s">
        <v>130</v>
      </c>
      <c r="I1365" t="s">
        <v>120</v>
      </c>
      <c r="J1365" t="s">
        <v>121</v>
      </c>
      <c r="K1365" t="s">
        <v>69</v>
      </c>
      <c r="L1365" t="s">
        <v>3660</v>
      </c>
      <c r="M1365" t="s">
        <v>71</v>
      </c>
      <c r="N1365" t="s">
        <v>198</v>
      </c>
      <c r="O1365" t="s">
        <v>1307</v>
      </c>
      <c r="P1365" t="s">
        <v>1308</v>
      </c>
      <c r="R1365" t="s">
        <v>1309</v>
      </c>
      <c r="S1365" t="s">
        <v>201</v>
      </c>
      <c r="T1365" t="s">
        <v>258</v>
      </c>
      <c r="U1365" t="s">
        <v>104</v>
      </c>
      <c r="V1365" t="s">
        <v>593</v>
      </c>
      <c r="W1365">
        <v>690</v>
      </c>
      <c r="X1365">
        <v>29.99</v>
      </c>
      <c r="Y1365">
        <v>89</v>
      </c>
      <c r="Z1365">
        <v>499000</v>
      </c>
      <c r="AA1365">
        <v>641700</v>
      </c>
      <c r="AB1365">
        <v>135</v>
      </c>
      <c r="AD1365" t="s">
        <v>238</v>
      </c>
      <c r="AE1365">
        <v>2</v>
      </c>
      <c r="AF1365">
        <v>0</v>
      </c>
      <c r="AI1365">
        <v>20</v>
      </c>
      <c r="AJ1365">
        <v>150</v>
      </c>
      <c r="AK1365">
        <v>170</v>
      </c>
      <c r="AL1365">
        <v>930</v>
      </c>
      <c r="AM1365">
        <v>0</v>
      </c>
      <c r="AN1365">
        <v>0</v>
      </c>
      <c r="AO1365">
        <v>0</v>
      </c>
      <c r="AP1365" t="s">
        <v>69</v>
      </c>
      <c r="AT1365" t="s">
        <v>86</v>
      </c>
      <c r="AU1365" t="s">
        <v>261</v>
      </c>
      <c r="AV1365" t="s">
        <v>3661</v>
      </c>
      <c r="AW1365" t="s">
        <v>69</v>
      </c>
      <c r="AX1365" t="s">
        <v>583</v>
      </c>
      <c r="AY1365" t="s">
        <v>3662</v>
      </c>
      <c r="AZ1365" t="s">
        <v>245</v>
      </c>
      <c r="BA1365" t="s">
        <v>245</v>
      </c>
      <c r="BB1365" t="s">
        <v>244</v>
      </c>
      <c r="BC1365" t="s">
        <v>244</v>
      </c>
      <c r="BD1365" t="s">
        <v>3664</v>
      </c>
      <c r="BE1365" t="s">
        <v>3941</v>
      </c>
      <c r="BF1365" t="s">
        <v>240</v>
      </c>
      <c r="BG1365" t="s">
        <v>150</v>
      </c>
      <c r="BH1365" t="str">
        <f>IF(COUNTIF(工作表1!A:A, $C1365)&gt;0, "預購款", "非預購款")</f>
        <v>預購款</v>
      </c>
    </row>
    <row r="1366" spans="1:60" x14ac:dyDescent="0.25">
      <c r="A1366" t="s">
        <v>3655</v>
      </c>
      <c r="B1366" t="s">
        <v>226</v>
      </c>
      <c r="C1366" t="s">
        <v>3656</v>
      </c>
      <c r="D1366" t="s">
        <v>3657</v>
      </c>
      <c r="E1366" t="s">
        <v>3658</v>
      </c>
      <c r="F1366" t="s">
        <v>196</v>
      </c>
      <c r="G1366" t="s">
        <v>3659</v>
      </c>
      <c r="H1366" t="s">
        <v>132</v>
      </c>
      <c r="I1366" t="s">
        <v>120</v>
      </c>
      <c r="J1366" t="s">
        <v>121</v>
      </c>
      <c r="K1366" t="s">
        <v>69</v>
      </c>
      <c r="L1366" t="s">
        <v>3660</v>
      </c>
      <c r="M1366" t="s">
        <v>71</v>
      </c>
      <c r="N1366" t="s">
        <v>198</v>
      </c>
      <c r="O1366" t="s">
        <v>1307</v>
      </c>
      <c r="P1366" t="s">
        <v>1308</v>
      </c>
      <c r="R1366" t="s">
        <v>1309</v>
      </c>
      <c r="S1366" t="s">
        <v>201</v>
      </c>
      <c r="T1366" t="s">
        <v>258</v>
      </c>
      <c r="U1366" t="s">
        <v>104</v>
      </c>
      <c r="V1366" t="s">
        <v>593</v>
      </c>
      <c r="W1366">
        <v>690</v>
      </c>
      <c r="X1366">
        <v>29.99</v>
      </c>
      <c r="Y1366">
        <v>89</v>
      </c>
      <c r="Z1366">
        <v>499000</v>
      </c>
      <c r="AA1366">
        <v>641700</v>
      </c>
      <c r="AB1366">
        <v>135</v>
      </c>
      <c r="AD1366" t="s">
        <v>238</v>
      </c>
      <c r="AE1366">
        <v>2</v>
      </c>
      <c r="AF1366">
        <v>0</v>
      </c>
      <c r="AI1366">
        <v>10</v>
      </c>
      <c r="AJ1366">
        <v>80</v>
      </c>
      <c r="AK1366">
        <v>90</v>
      </c>
      <c r="AL1366">
        <v>930</v>
      </c>
      <c r="AM1366">
        <v>0</v>
      </c>
      <c r="AN1366">
        <v>0</v>
      </c>
      <c r="AO1366">
        <v>0</v>
      </c>
      <c r="AP1366" t="s">
        <v>69</v>
      </c>
      <c r="AT1366" t="s">
        <v>86</v>
      </c>
      <c r="AU1366" t="s">
        <v>261</v>
      </c>
      <c r="AV1366" t="s">
        <v>3661</v>
      </c>
      <c r="AW1366" t="s">
        <v>69</v>
      </c>
      <c r="AX1366" t="s">
        <v>583</v>
      </c>
      <c r="AY1366" t="s">
        <v>3662</v>
      </c>
      <c r="AZ1366" t="s">
        <v>245</v>
      </c>
      <c r="BA1366" t="s">
        <v>245</v>
      </c>
      <c r="BB1366" t="s">
        <v>244</v>
      </c>
      <c r="BC1366" t="s">
        <v>244</v>
      </c>
      <c r="BD1366" t="s">
        <v>3665</v>
      </c>
      <c r="BE1366" t="s">
        <v>3941</v>
      </c>
      <c r="BF1366" t="s">
        <v>240</v>
      </c>
      <c r="BG1366" t="s">
        <v>150</v>
      </c>
      <c r="BH1366" t="str">
        <f>IF(COUNTIF(工作表1!A:A, $C1366)&gt;0, "預購款", "非預購款")</f>
        <v>預購款</v>
      </c>
    </row>
    <row r="1367" spans="1:60" x14ac:dyDescent="0.25">
      <c r="A1367" t="s">
        <v>3655</v>
      </c>
      <c r="B1367" t="s">
        <v>226</v>
      </c>
      <c r="C1367" t="s">
        <v>3656</v>
      </c>
      <c r="D1367" t="s">
        <v>3657</v>
      </c>
      <c r="E1367" t="s">
        <v>3658</v>
      </c>
      <c r="F1367" t="s">
        <v>196</v>
      </c>
      <c r="G1367" t="s">
        <v>3659</v>
      </c>
      <c r="H1367" t="s">
        <v>119</v>
      </c>
      <c r="I1367" t="s">
        <v>97</v>
      </c>
      <c r="J1367" t="s">
        <v>98</v>
      </c>
      <c r="K1367" t="s">
        <v>69</v>
      </c>
      <c r="L1367" t="s">
        <v>3660</v>
      </c>
      <c r="M1367" t="s">
        <v>71</v>
      </c>
      <c r="N1367" t="s">
        <v>198</v>
      </c>
      <c r="O1367" t="s">
        <v>1307</v>
      </c>
      <c r="P1367" t="s">
        <v>1308</v>
      </c>
      <c r="R1367" t="s">
        <v>1309</v>
      </c>
      <c r="S1367" t="s">
        <v>201</v>
      </c>
      <c r="T1367" t="s">
        <v>258</v>
      </c>
      <c r="U1367" t="s">
        <v>104</v>
      </c>
      <c r="V1367" t="s">
        <v>593</v>
      </c>
      <c r="W1367">
        <v>690</v>
      </c>
      <c r="X1367">
        <v>29.99</v>
      </c>
      <c r="Y1367">
        <v>89</v>
      </c>
      <c r="Z1367">
        <v>499000</v>
      </c>
      <c r="AA1367">
        <v>641700</v>
      </c>
      <c r="AB1367">
        <v>135</v>
      </c>
      <c r="AD1367" t="s">
        <v>238</v>
      </c>
      <c r="AE1367">
        <v>2</v>
      </c>
      <c r="AF1367">
        <v>0</v>
      </c>
      <c r="AI1367">
        <v>70</v>
      </c>
      <c r="AJ1367">
        <v>120</v>
      </c>
      <c r="AK1367">
        <v>190</v>
      </c>
      <c r="AL1367">
        <v>930</v>
      </c>
      <c r="AM1367">
        <v>0</v>
      </c>
      <c r="AN1367">
        <v>0</v>
      </c>
      <c r="AO1367">
        <v>0</v>
      </c>
      <c r="AP1367" t="s">
        <v>69</v>
      </c>
      <c r="AT1367" t="s">
        <v>86</v>
      </c>
      <c r="AU1367" t="s">
        <v>261</v>
      </c>
      <c r="AV1367" t="s">
        <v>3661</v>
      </c>
      <c r="AW1367" t="s">
        <v>69</v>
      </c>
      <c r="AX1367" t="s">
        <v>583</v>
      </c>
      <c r="AY1367" t="s">
        <v>3662</v>
      </c>
      <c r="AZ1367" t="s">
        <v>245</v>
      </c>
      <c r="BA1367" t="s">
        <v>245</v>
      </c>
      <c r="BB1367" t="s">
        <v>244</v>
      </c>
      <c r="BC1367" t="s">
        <v>244</v>
      </c>
      <c r="BD1367" t="s">
        <v>3942</v>
      </c>
      <c r="BE1367" t="s">
        <v>3941</v>
      </c>
      <c r="BF1367" t="s">
        <v>240</v>
      </c>
      <c r="BG1367" t="s">
        <v>150</v>
      </c>
      <c r="BH1367" t="str">
        <f>IF(COUNTIF(工作表1!A:A, $C1367)&gt;0, "預購款", "非預購款")</f>
        <v>預購款</v>
      </c>
    </row>
    <row r="1368" spans="1:60" x14ac:dyDescent="0.25">
      <c r="A1368" t="s">
        <v>3655</v>
      </c>
      <c r="B1368" t="s">
        <v>226</v>
      </c>
      <c r="C1368" t="s">
        <v>3656</v>
      </c>
      <c r="D1368" t="s">
        <v>3657</v>
      </c>
      <c r="E1368" t="s">
        <v>3658</v>
      </c>
      <c r="F1368" t="s">
        <v>196</v>
      </c>
      <c r="G1368" t="s">
        <v>3659</v>
      </c>
      <c r="H1368" t="s">
        <v>130</v>
      </c>
      <c r="I1368" t="s">
        <v>97</v>
      </c>
      <c r="J1368" t="s">
        <v>98</v>
      </c>
      <c r="K1368" t="s">
        <v>69</v>
      </c>
      <c r="L1368" t="s">
        <v>3660</v>
      </c>
      <c r="M1368" t="s">
        <v>71</v>
      </c>
      <c r="N1368" t="s">
        <v>198</v>
      </c>
      <c r="O1368" t="s">
        <v>1307</v>
      </c>
      <c r="P1368" t="s">
        <v>1308</v>
      </c>
      <c r="R1368" t="s">
        <v>1309</v>
      </c>
      <c r="S1368" t="s">
        <v>201</v>
      </c>
      <c r="T1368" t="s">
        <v>258</v>
      </c>
      <c r="U1368" t="s">
        <v>104</v>
      </c>
      <c r="V1368" t="s">
        <v>593</v>
      </c>
      <c r="W1368">
        <v>690</v>
      </c>
      <c r="X1368">
        <v>29.99</v>
      </c>
      <c r="Y1368">
        <v>89</v>
      </c>
      <c r="Z1368">
        <v>499000</v>
      </c>
      <c r="AA1368">
        <v>641700</v>
      </c>
      <c r="AB1368">
        <v>135</v>
      </c>
      <c r="AD1368" t="s">
        <v>238</v>
      </c>
      <c r="AE1368">
        <v>2</v>
      </c>
      <c r="AF1368">
        <v>0</v>
      </c>
      <c r="AI1368">
        <v>75</v>
      </c>
      <c r="AJ1368">
        <v>155</v>
      </c>
      <c r="AK1368">
        <v>230</v>
      </c>
      <c r="AL1368">
        <v>930</v>
      </c>
      <c r="AM1368">
        <v>0</v>
      </c>
      <c r="AN1368">
        <v>0</v>
      </c>
      <c r="AO1368">
        <v>0</v>
      </c>
      <c r="AP1368" t="s">
        <v>69</v>
      </c>
      <c r="AT1368" t="s">
        <v>86</v>
      </c>
      <c r="AU1368" t="s">
        <v>261</v>
      </c>
      <c r="AV1368" t="s">
        <v>3661</v>
      </c>
      <c r="AW1368" t="s">
        <v>69</v>
      </c>
      <c r="AX1368" t="s">
        <v>583</v>
      </c>
      <c r="AY1368" t="s">
        <v>3662</v>
      </c>
      <c r="AZ1368" t="s">
        <v>245</v>
      </c>
      <c r="BA1368" t="s">
        <v>245</v>
      </c>
      <c r="BB1368" t="s">
        <v>244</v>
      </c>
      <c r="BC1368" t="s">
        <v>244</v>
      </c>
      <c r="BD1368" t="s">
        <v>3943</v>
      </c>
      <c r="BE1368" t="s">
        <v>3941</v>
      </c>
      <c r="BF1368" t="s">
        <v>240</v>
      </c>
      <c r="BG1368" t="s">
        <v>150</v>
      </c>
      <c r="BH1368" t="str">
        <f>IF(COUNTIF(工作表1!A:A, $C1368)&gt;0, "預購款", "非預購款")</f>
        <v>預購款</v>
      </c>
    </row>
    <row r="1369" spans="1:60" x14ac:dyDescent="0.25">
      <c r="A1369" t="s">
        <v>3655</v>
      </c>
      <c r="B1369" t="s">
        <v>226</v>
      </c>
      <c r="C1369" t="s">
        <v>3656</v>
      </c>
      <c r="D1369" t="s">
        <v>3657</v>
      </c>
      <c r="E1369" t="s">
        <v>3658</v>
      </c>
      <c r="F1369" t="s">
        <v>196</v>
      </c>
      <c r="G1369" t="s">
        <v>3659</v>
      </c>
      <c r="H1369" t="s">
        <v>132</v>
      </c>
      <c r="I1369" t="s">
        <v>97</v>
      </c>
      <c r="J1369" t="s">
        <v>98</v>
      </c>
      <c r="K1369" t="s">
        <v>69</v>
      </c>
      <c r="L1369" t="s">
        <v>3660</v>
      </c>
      <c r="M1369" t="s">
        <v>71</v>
      </c>
      <c r="N1369" t="s">
        <v>198</v>
      </c>
      <c r="O1369" t="s">
        <v>1307</v>
      </c>
      <c r="P1369" t="s">
        <v>1308</v>
      </c>
      <c r="R1369" t="s">
        <v>1309</v>
      </c>
      <c r="S1369" t="s">
        <v>201</v>
      </c>
      <c r="T1369" t="s">
        <v>258</v>
      </c>
      <c r="U1369" t="s">
        <v>104</v>
      </c>
      <c r="V1369" t="s">
        <v>593</v>
      </c>
      <c r="W1369">
        <v>690</v>
      </c>
      <c r="X1369">
        <v>29.99</v>
      </c>
      <c r="Y1369">
        <v>89</v>
      </c>
      <c r="Z1369">
        <v>499000</v>
      </c>
      <c r="AA1369">
        <v>641700</v>
      </c>
      <c r="AB1369">
        <v>135</v>
      </c>
      <c r="AD1369" t="s">
        <v>238</v>
      </c>
      <c r="AE1369">
        <v>2</v>
      </c>
      <c r="AF1369">
        <v>0</v>
      </c>
      <c r="AI1369">
        <v>35</v>
      </c>
      <c r="AJ1369">
        <v>85</v>
      </c>
      <c r="AK1369">
        <v>120</v>
      </c>
      <c r="AL1369">
        <v>930</v>
      </c>
      <c r="AM1369">
        <v>0</v>
      </c>
      <c r="AN1369">
        <v>0</v>
      </c>
      <c r="AO1369">
        <v>0</v>
      </c>
      <c r="AP1369" t="s">
        <v>69</v>
      </c>
      <c r="AT1369" t="s">
        <v>86</v>
      </c>
      <c r="AU1369" t="s">
        <v>261</v>
      </c>
      <c r="AV1369" t="s">
        <v>3661</v>
      </c>
      <c r="AW1369" t="s">
        <v>69</v>
      </c>
      <c r="AX1369" t="s">
        <v>583</v>
      </c>
      <c r="AY1369" t="s">
        <v>3662</v>
      </c>
      <c r="AZ1369" t="s">
        <v>245</v>
      </c>
      <c r="BA1369" t="s">
        <v>245</v>
      </c>
      <c r="BB1369" t="s">
        <v>244</v>
      </c>
      <c r="BC1369" t="s">
        <v>244</v>
      </c>
      <c r="BD1369" t="s">
        <v>3944</v>
      </c>
      <c r="BE1369" t="s">
        <v>3941</v>
      </c>
      <c r="BF1369" t="s">
        <v>240</v>
      </c>
      <c r="BG1369" t="s">
        <v>150</v>
      </c>
      <c r="BH1369" t="str">
        <f>IF(COUNTIF(工作表1!A:A, $C1369)&gt;0, "預購款", "非預購款")</f>
        <v>預購款</v>
      </c>
    </row>
    <row r="1370" spans="1:60" x14ac:dyDescent="0.25">
      <c r="A1370" t="s">
        <v>3945</v>
      </c>
      <c r="B1370" t="s">
        <v>315</v>
      </c>
      <c r="C1370" t="s">
        <v>3946</v>
      </c>
      <c r="D1370" t="s">
        <v>3947</v>
      </c>
      <c r="E1370" t="s">
        <v>3948</v>
      </c>
      <c r="F1370" t="s">
        <v>196</v>
      </c>
      <c r="G1370" t="s">
        <v>3949</v>
      </c>
      <c r="H1370" t="s">
        <v>119</v>
      </c>
      <c r="I1370" t="s">
        <v>88</v>
      </c>
      <c r="J1370" t="s">
        <v>89</v>
      </c>
      <c r="K1370" t="s">
        <v>80</v>
      </c>
      <c r="L1370" t="s">
        <v>3950</v>
      </c>
      <c r="M1370" t="s">
        <v>71</v>
      </c>
      <c r="N1370" t="s">
        <v>198</v>
      </c>
      <c r="O1370" t="s">
        <v>1307</v>
      </c>
      <c r="P1370" t="s">
        <v>1308</v>
      </c>
      <c r="R1370" t="s">
        <v>1309</v>
      </c>
      <c r="S1370" t="s">
        <v>201</v>
      </c>
      <c r="T1370" t="s">
        <v>258</v>
      </c>
      <c r="U1370" t="s">
        <v>383</v>
      </c>
      <c r="V1370" t="s">
        <v>384</v>
      </c>
      <c r="W1370">
        <v>1180</v>
      </c>
      <c r="X1370">
        <v>49.99</v>
      </c>
      <c r="Y1370">
        <v>155</v>
      </c>
      <c r="Z1370">
        <v>859000</v>
      </c>
      <c r="AA1370">
        <v>218300</v>
      </c>
      <c r="AB1370">
        <v>660</v>
      </c>
      <c r="AD1370" t="s">
        <v>238</v>
      </c>
      <c r="AE1370">
        <v>1</v>
      </c>
      <c r="AF1370">
        <v>0</v>
      </c>
      <c r="AI1370">
        <v>20</v>
      </c>
      <c r="AJ1370">
        <v>90</v>
      </c>
      <c r="AK1370">
        <v>110</v>
      </c>
      <c r="AL1370">
        <v>185</v>
      </c>
      <c r="AM1370">
        <v>0</v>
      </c>
      <c r="AN1370">
        <v>0</v>
      </c>
      <c r="AO1370">
        <v>0</v>
      </c>
      <c r="AP1370" t="s">
        <v>69</v>
      </c>
      <c r="AT1370" t="s">
        <v>86</v>
      </c>
      <c r="AU1370" t="s">
        <v>86</v>
      </c>
      <c r="AV1370" t="s">
        <v>3951</v>
      </c>
      <c r="AW1370" t="s">
        <v>69</v>
      </c>
      <c r="AX1370" t="s">
        <v>3952</v>
      </c>
      <c r="AY1370" t="s">
        <v>3953</v>
      </c>
      <c r="AZ1370" t="s">
        <v>264</v>
      </c>
      <c r="BA1370" t="s">
        <v>245</v>
      </c>
      <c r="BB1370" t="s">
        <v>245</v>
      </c>
      <c r="BC1370" t="s">
        <v>244</v>
      </c>
      <c r="BD1370" t="s">
        <v>3954</v>
      </c>
      <c r="BE1370" t="s">
        <v>3955</v>
      </c>
      <c r="BF1370" t="s">
        <v>240</v>
      </c>
      <c r="BG1370" t="s">
        <v>110</v>
      </c>
      <c r="BH1370" t="str">
        <f>IF(COUNTIF(工作表1!A:A, $C1370)&gt;0, "預購款", "非預購款")</f>
        <v>非預購款</v>
      </c>
    </row>
    <row r="1371" spans="1:60" x14ac:dyDescent="0.25">
      <c r="A1371" t="s">
        <v>3945</v>
      </c>
      <c r="B1371" t="s">
        <v>315</v>
      </c>
      <c r="C1371" t="s">
        <v>3946</v>
      </c>
      <c r="D1371" t="s">
        <v>3947</v>
      </c>
      <c r="E1371" t="s">
        <v>3948</v>
      </c>
      <c r="F1371" t="s">
        <v>196</v>
      </c>
      <c r="G1371" t="s">
        <v>3949</v>
      </c>
      <c r="H1371" t="s">
        <v>130</v>
      </c>
      <c r="I1371" t="s">
        <v>88</v>
      </c>
      <c r="J1371" t="s">
        <v>89</v>
      </c>
      <c r="K1371" t="s">
        <v>80</v>
      </c>
      <c r="L1371" t="s">
        <v>3950</v>
      </c>
      <c r="M1371" t="s">
        <v>71</v>
      </c>
      <c r="N1371" t="s">
        <v>198</v>
      </c>
      <c r="O1371" t="s">
        <v>1307</v>
      </c>
      <c r="P1371" t="s">
        <v>1308</v>
      </c>
      <c r="R1371" t="s">
        <v>1309</v>
      </c>
      <c r="S1371" t="s">
        <v>201</v>
      </c>
      <c r="T1371" t="s">
        <v>258</v>
      </c>
      <c r="U1371" t="s">
        <v>383</v>
      </c>
      <c r="V1371" t="s">
        <v>384</v>
      </c>
      <c r="W1371">
        <v>1180</v>
      </c>
      <c r="X1371">
        <v>49.99</v>
      </c>
      <c r="Y1371">
        <v>155</v>
      </c>
      <c r="Z1371">
        <v>859000</v>
      </c>
      <c r="AA1371">
        <v>218300</v>
      </c>
      <c r="AB1371">
        <v>660</v>
      </c>
      <c r="AD1371" t="s">
        <v>238</v>
      </c>
      <c r="AE1371">
        <v>1</v>
      </c>
      <c r="AF1371">
        <v>0</v>
      </c>
      <c r="AI1371">
        <v>0</v>
      </c>
      <c r="AJ1371">
        <v>45</v>
      </c>
      <c r="AK1371">
        <v>45</v>
      </c>
      <c r="AL1371">
        <v>185</v>
      </c>
      <c r="AM1371">
        <v>0</v>
      </c>
      <c r="AN1371">
        <v>0</v>
      </c>
      <c r="AO1371">
        <v>0</v>
      </c>
      <c r="AP1371" t="s">
        <v>69</v>
      </c>
      <c r="AT1371" t="s">
        <v>86</v>
      </c>
      <c r="AU1371" t="s">
        <v>86</v>
      </c>
      <c r="AV1371" t="s">
        <v>3951</v>
      </c>
      <c r="AW1371" t="s">
        <v>69</v>
      </c>
      <c r="AX1371" t="s">
        <v>3952</v>
      </c>
      <c r="AY1371" t="s">
        <v>3953</v>
      </c>
      <c r="AZ1371" t="s">
        <v>264</v>
      </c>
      <c r="BA1371" t="s">
        <v>245</v>
      </c>
      <c r="BB1371" t="s">
        <v>245</v>
      </c>
      <c r="BC1371" t="s">
        <v>244</v>
      </c>
      <c r="BD1371" t="s">
        <v>3956</v>
      </c>
      <c r="BE1371" t="s">
        <v>3955</v>
      </c>
      <c r="BF1371" t="s">
        <v>240</v>
      </c>
      <c r="BG1371" t="s">
        <v>110</v>
      </c>
      <c r="BH1371" t="str">
        <f>IF(COUNTIF(工作表1!A:A, $C1371)&gt;0, "預購款", "非預購款")</f>
        <v>非預購款</v>
      </c>
    </row>
    <row r="1372" spans="1:60" x14ac:dyDescent="0.25">
      <c r="A1372" t="s">
        <v>3945</v>
      </c>
      <c r="B1372" t="s">
        <v>315</v>
      </c>
      <c r="C1372" t="s">
        <v>3946</v>
      </c>
      <c r="D1372" t="s">
        <v>3947</v>
      </c>
      <c r="E1372" t="s">
        <v>3948</v>
      </c>
      <c r="F1372" t="s">
        <v>196</v>
      </c>
      <c r="G1372" t="s">
        <v>3949</v>
      </c>
      <c r="H1372" t="s">
        <v>132</v>
      </c>
      <c r="I1372" t="s">
        <v>88</v>
      </c>
      <c r="J1372" t="s">
        <v>89</v>
      </c>
      <c r="K1372" t="s">
        <v>80</v>
      </c>
      <c r="L1372" t="s">
        <v>3950</v>
      </c>
      <c r="M1372" t="s">
        <v>71</v>
      </c>
      <c r="N1372" t="s">
        <v>198</v>
      </c>
      <c r="O1372" t="s">
        <v>1307</v>
      </c>
      <c r="P1372" t="s">
        <v>1308</v>
      </c>
      <c r="R1372" t="s">
        <v>1309</v>
      </c>
      <c r="S1372" t="s">
        <v>201</v>
      </c>
      <c r="T1372" t="s">
        <v>258</v>
      </c>
      <c r="U1372" t="s">
        <v>383</v>
      </c>
      <c r="V1372" t="s">
        <v>384</v>
      </c>
      <c r="W1372">
        <v>1180</v>
      </c>
      <c r="X1372">
        <v>49.99</v>
      </c>
      <c r="Y1372">
        <v>155</v>
      </c>
      <c r="Z1372">
        <v>859000</v>
      </c>
      <c r="AA1372">
        <v>218300</v>
      </c>
      <c r="AB1372">
        <v>660</v>
      </c>
      <c r="AD1372" t="s">
        <v>238</v>
      </c>
      <c r="AE1372">
        <v>1</v>
      </c>
      <c r="AF1372">
        <v>0</v>
      </c>
      <c r="AI1372">
        <v>0</v>
      </c>
      <c r="AJ1372">
        <v>30</v>
      </c>
      <c r="AK1372">
        <v>30</v>
      </c>
      <c r="AL1372">
        <v>185</v>
      </c>
      <c r="AM1372">
        <v>0</v>
      </c>
      <c r="AN1372">
        <v>0</v>
      </c>
      <c r="AO1372">
        <v>0</v>
      </c>
      <c r="AP1372" t="s">
        <v>69</v>
      </c>
      <c r="AT1372" t="s">
        <v>86</v>
      </c>
      <c r="AU1372" t="s">
        <v>86</v>
      </c>
      <c r="AV1372" t="s">
        <v>3951</v>
      </c>
      <c r="AW1372" t="s">
        <v>69</v>
      </c>
      <c r="AX1372" t="s">
        <v>3952</v>
      </c>
      <c r="AY1372" t="s">
        <v>3953</v>
      </c>
      <c r="AZ1372" t="s">
        <v>264</v>
      </c>
      <c r="BA1372" t="s">
        <v>245</v>
      </c>
      <c r="BB1372" t="s">
        <v>245</v>
      </c>
      <c r="BC1372" t="s">
        <v>244</v>
      </c>
      <c r="BD1372" t="s">
        <v>3957</v>
      </c>
      <c r="BE1372" t="s">
        <v>3955</v>
      </c>
      <c r="BF1372" t="s">
        <v>240</v>
      </c>
      <c r="BG1372" t="s">
        <v>110</v>
      </c>
      <c r="BH1372" t="str">
        <f>IF(COUNTIF(工作表1!A:A, $C1372)&gt;0, "預購款", "非預購款")</f>
        <v>非預購款</v>
      </c>
    </row>
    <row r="1373" spans="1:60" x14ac:dyDescent="0.25">
      <c r="A1373" t="s">
        <v>1343</v>
      </c>
      <c r="B1373" t="s">
        <v>535</v>
      </c>
      <c r="C1373" t="s">
        <v>1344</v>
      </c>
      <c r="D1373" t="s">
        <v>1345</v>
      </c>
      <c r="E1373" t="s">
        <v>1346</v>
      </c>
      <c r="F1373" t="s">
        <v>196</v>
      </c>
      <c r="G1373" t="s">
        <v>1347</v>
      </c>
      <c r="H1373" t="s">
        <v>66</v>
      </c>
      <c r="I1373" t="s">
        <v>1348</v>
      </c>
      <c r="J1373" t="s">
        <v>1349</v>
      </c>
      <c r="K1373" t="s">
        <v>69</v>
      </c>
      <c r="L1373" t="s">
        <v>1350</v>
      </c>
      <c r="M1373" t="s">
        <v>71</v>
      </c>
      <c r="N1373" t="s">
        <v>198</v>
      </c>
      <c r="O1373" t="s">
        <v>1307</v>
      </c>
      <c r="P1373" t="s">
        <v>1308</v>
      </c>
      <c r="R1373" t="s">
        <v>1309</v>
      </c>
      <c r="S1373" t="s">
        <v>201</v>
      </c>
      <c r="T1373" t="s">
        <v>258</v>
      </c>
      <c r="U1373" t="s">
        <v>527</v>
      </c>
      <c r="V1373" t="s">
        <v>554</v>
      </c>
      <c r="W1373">
        <v>690</v>
      </c>
      <c r="X1373">
        <v>29.99</v>
      </c>
      <c r="Y1373">
        <v>89</v>
      </c>
      <c r="Z1373">
        <v>499000</v>
      </c>
      <c r="AA1373">
        <v>345000</v>
      </c>
      <c r="AB1373">
        <v>90</v>
      </c>
      <c r="AD1373" t="s">
        <v>238</v>
      </c>
      <c r="AE1373">
        <v>1</v>
      </c>
      <c r="AF1373">
        <v>0</v>
      </c>
      <c r="AI1373">
        <v>150</v>
      </c>
      <c r="AJ1373">
        <v>350</v>
      </c>
      <c r="AK1373">
        <v>500</v>
      </c>
      <c r="AL1373">
        <v>500</v>
      </c>
      <c r="AM1373">
        <v>0</v>
      </c>
      <c r="AN1373">
        <v>0</v>
      </c>
      <c r="AO1373">
        <v>0</v>
      </c>
      <c r="AP1373" t="s">
        <v>69</v>
      </c>
      <c r="AT1373" t="s">
        <v>264</v>
      </c>
      <c r="AU1373" t="s">
        <v>264</v>
      </c>
      <c r="AV1373" t="s">
        <v>1351</v>
      </c>
      <c r="AW1373" t="s">
        <v>69</v>
      </c>
      <c r="AX1373" t="s">
        <v>1339</v>
      </c>
      <c r="AY1373" t="s">
        <v>1340</v>
      </c>
      <c r="BD1373" t="s">
        <v>1352</v>
      </c>
      <c r="BE1373" t="s">
        <v>3958</v>
      </c>
      <c r="BH1373" t="str">
        <f>IF(COUNTIF(工作表1!A:A, $C1373)&gt;0, "預購款", "非預購款")</f>
        <v>預購款</v>
      </c>
    </row>
    <row r="1374" spans="1:60" x14ac:dyDescent="0.25">
      <c r="A1374" t="s">
        <v>534</v>
      </c>
      <c r="B1374" t="s">
        <v>535</v>
      </c>
      <c r="C1374" t="s">
        <v>536</v>
      </c>
      <c r="D1374" t="s">
        <v>537</v>
      </c>
      <c r="E1374" t="s">
        <v>538</v>
      </c>
      <c r="F1374" t="s">
        <v>196</v>
      </c>
      <c r="G1374" t="s">
        <v>539</v>
      </c>
      <c r="H1374" t="s">
        <v>66</v>
      </c>
      <c r="I1374" t="s">
        <v>422</v>
      </c>
      <c r="J1374" t="s">
        <v>423</v>
      </c>
      <c r="K1374" t="s">
        <v>69</v>
      </c>
      <c r="L1374" t="s">
        <v>540</v>
      </c>
      <c r="M1374" t="s">
        <v>71</v>
      </c>
      <c r="N1374" t="s">
        <v>100</v>
      </c>
      <c r="O1374" t="s">
        <v>524</v>
      </c>
      <c r="P1374" t="s">
        <v>525</v>
      </c>
      <c r="R1374" t="s">
        <v>526</v>
      </c>
      <c r="S1374" t="s">
        <v>201</v>
      </c>
      <c r="T1374" t="s">
        <v>258</v>
      </c>
      <c r="U1374" t="s">
        <v>527</v>
      </c>
      <c r="V1374" t="s">
        <v>541</v>
      </c>
      <c r="W1374">
        <v>290</v>
      </c>
      <c r="X1374">
        <v>12.99</v>
      </c>
      <c r="Y1374">
        <v>39</v>
      </c>
      <c r="Z1374">
        <v>209000</v>
      </c>
      <c r="AA1374">
        <v>174000</v>
      </c>
      <c r="AB1374">
        <v>65</v>
      </c>
      <c r="AD1374" t="s">
        <v>238</v>
      </c>
      <c r="AE1374">
        <v>1</v>
      </c>
      <c r="AF1374">
        <v>0</v>
      </c>
      <c r="AI1374">
        <v>200</v>
      </c>
      <c r="AJ1374">
        <v>400</v>
      </c>
      <c r="AK1374">
        <v>600</v>
      </c>
      <c r="AL1374">
        <v>600</v>
      </c>
      <c r="AM1374">
        <v>0</v>
      </c>
      <c r="AN1374">
        <v>0</v>
      </c>
      <c r="AO1374">
        <v>0</v>
      </c>
      <c r="AP1374" t="s">
        <v>69</v>
      </c>
      <c r="AT1374" t="s">
        <v>264</v>
      </c>
      <c r="AU1374" t="s">
        <v>264</v>
      </c>
      <c r="AV1374" t="s">
        <v>542</v>
      </c>
      <c r="AW1374" t="s">
        <v>69</v>
      </c>
      <c r="AX1374" t="s">
        <v>543</v>
      </c>
      <c r="AY1374" t="s">
        <v>544</v>
      </c>
      <c r="BD1374" t="s">
        <v>547</v>
      </c>
      <c r="BE1374" t="s">
        <v>3959</v>
      </c>
      <c r="BF1374" t="s">
        <v>240</v>
      </c>
      <c r="BH1374" t="str">
        <f>IF(COUNTIF(工作表1!A:A, $C1374)&gt;0, "預購款", "非預購款")</f>
        <v>非預購款</v>
      </c>
    </row>
    <row r="1375" spans="1:60" x14ac:dyDescent="0.25">
      <c r="A1375" t="s">
        <v>3960</v>
      </c>
      <c r="B1375" t="s">
        <v>488</v>
      </c>
      <c r="C1375" t="s">
        <v>3961</v>
      </c>
      <c r="D1375" t="s">
        <v>3962</v>
      </c>
      <c r="E1375" t="s">
        <v>3963</v>
      </c>
      <c r="F1375" t="s">
        <v>196</v>
      </c>
      <c r="G1375" t="s">
        <v>3964</v>
      </c>
      <c r="H1375" t="s">
        <v>273</v>
      </c>
      <c r="I1375" t="s">
        <v>120</v>
      </c>
      <c r="J1375" t="s">
        <v>121</v>
      </c>
      <c r="K1375" t="s">
        <v>69</v>
      </c>
      <c r="L1375" t="s">
        <v>3965</v>
      </c>
      <c r="M1375" t="s">
        <v>71</v>
      </c>
      <c r="N1375" t="s">
        <v>198</v>
      </c>
      <c r="O1375" t="s">
        <v>3966</v>
      </c>
      <c r="P1375" t="s">
        <v>3967</v>
      </c>
      <c r="R1375" t="s">
        <v>1798</v>
      </c>
      <c r="S1375" t="s">
        <v>201</v>
      </c>
      <c r="T1375" t="s">
        <v>274</v>
      </c>
      <c r="U1375" t="s">
        <v>104</v>
      </c>
      <c r="V1375" t="s">
        <v>3968</v>
      </c>
      <c r="W1375">
        <v>299</v>
      </c>
      <c r="X1375">
        <v>12.99</v>
      </c>
      <c r="Y1375">
        <v>39</v>
      </c>
      <c r="Z1375">
        <v>209000</v>
      </c>
      <c r="AA1375">
        <v>262223</v>
      </c>
      <c r="AB1375">
        <v>200</v>
      </c>
      <c r="AD1375" t="s">
        <v>238</v>
      </c>
      <c r="AE1375">
        <v>3</v>
      </c>
      <c r="AF1375">
        <v>10</v>
      </c>
      <c r="AI1375">
        <v>20</v>
      </c>
      <c r="AJ1375">
        <v>175</v>
      </c>
      <c r="AK1375">
        <v>205</v>
      </c>
      <c r="AL1375">
        <v>877</v>
      </c>
      <c r="AM1375">
        <v>0</v>
      </c>
      <c r="AN1375">
        <v>0</v>
      </c>
      <c r="AO1375">
        <v>0</v>
      </c>
      <c r="AP1375" t="s">
        <v>69</v>
      </c>
      <c r="AS1375" t="s">
        <v>86</v>
      </c>
      <c r="AT1375" t="s">
        <v>240</v>
      </c>
      <c r="AU1375" t="s">
        <v>240</v>
      </c>
      <c r="AV1375" t="s">
        <v>3969</v>
      </c>
      <c r="AW1375" t="s">
        <v>69</v>
      </c>
      <c r="AX1375" t="s">
        <v>126</v>
      </c>
      <c r="AY1375" t="s">
        <v>3970</v>
      </c>
      <c r="AZ1375" t="s">
        <v>243</v>
      </c>
      <c r="BA1375" t="s">
        <v>244</v>
      </c>
      <c r="BB1375" t="s">
        <v>244</v>
      </c>
      <c r="BC1375" t="s">
        <v>244</v>
      </c>
      <c r="BD1375" t="s">
        <v>3971</v>
      </c>
      <c r="BE1375" t="s">
        <v>3972</v>
      </c>
      <c r="BF1375" t="s">
        <v>279</v>
      </c>
      <c r="BG1375" t="s">
        <v>150</v>
      </c>
      <c r="BH1375" t="str">
        <f>IF(COUNTIF(工作表1!A:A, $C1375)&gt;0, "預購款", "非預購款")</f>
        <v>非預購款</v>
      </c>
    </row>
    <row r="1376" spans="1:60" x14ac:dyDescent="0.25">
      <c r="A1376" t="s">
        <v>3960</v>
      </c>
      <c r="B1376" t="s">
        <v>488</v>
      </c>
      <c r="C1376" t="s">
        <v>3961</v>
      </c>
      <c r="D1376" t="s">
        <v>3962</v>
      </c>
      <c r="E1376" t="s">
        <v>3963</v>
      </c>
      <c r="F1376" t="s">
        <v>196</v>
      </c>
      <c r="G1376" t="s">
        <v>3964</v>
      </c>
      <c r="H1376" t="s">
        <v>501</v>
      </c>
      <c r="I1376" t="s">
        <v>120</v>
      </c>
      <c r="J1376" t="s">
        <v>121</v>
      </c>
      <c r="K1376" t="s">
        <v>69</v>
      </c>
      <c r="L1376" t="s">
        <v>3965</v>
      </c>
      <c r="M1376" t="s">
        <v>71</v>
      </c>
      <c r="N1376" t="s">
        <v>198</v>
      </c>
      <c r="O1376" t="s">
        <v>3966</v>
      </c>
      <c r="P1376" t="s">
        <v>3967</v>
      </c>
      <c r="R1376" t="s">
        <v>1798</v>
      </c>
      <c r="S1376" t="s">
        <v>201</v>
      </c>
      <c r="T1376" t="s">
        <v>274</v>
      </c>
      <c r="U1376" t="s">
        <v>104</v>
      </c>
      <c r="V1376" t="s">
        <v>3968</v>
      </c>
      <c r="W1376">
        <v>299</v>
      </c>
      <c r="X1376">
        <v>12.99</v>
      </c>
      <c r="Y1376">
        <v>39</v>
      </c>
      <c r="Z1376">
        <v>209000</v>
      </c>
      <c r="AA1376">
        <v>262223</v>
      </c>
      <c r="AB1376">
        <v>200</v>
      </c>
      <c r="AD1376" t="s">
        <v>238</v>
      </c>
      <c r="AE1376">
        <v>3</v>
      </c>
      <c r="AF1376">
        <v>2</v>
      </c>
      <c r="AI1376">
        <v>20</v>
      </c>
      <c r="AJ1376">
        <v>95</v>
      </c>
      <c r="AK1376">
        <v>117</v>
      </c>
      <c r="AL1376">
        <v>877</v>
      </c>
      <c r="AM1376">
        <v>0</v>
      </c>
      <c r="AN1376">
        <v>0</v>
      </c>
      <c r="AO1376">
        <v>0</v>
      </c>
      <c r="AP1376" t="s">
        <v>69</v>
      </c>
      <c r="AS1376" t="s">
        <v>86</v>
      </c>
      <c r="AT1376" t="s">
        <v>240</v>
      </c>
      <c r="AU1376" t="s">
        <v>240</v>
      </c>
      <c r="AV1376" t="s">
        <v>3969</v>
      </c>
      <c r="AW1376" t="s">
        <v>69</v>
      </c>
      <c r="AX1376" t="s">
        <v>126</v>
      </c>
      <c r="AY1376" t="s">
        <v>3970</v>
      </c>
      <c r="AZ1376" t="s">
        <v>243</v>
      </c>
      <c r="BA1376" t="s">
        <v>244</v>
      </c>
      <c r="BB1376" t="s">
        <v>244</v>
      </c>
      <c r="BC1376" t="s">
        <v>244</v>
      </c>
      <c r="BD1376" t="s">
        <v>3973</v>
      </c>
      <c r="BE1376" t="s">
        <v>3972</v>
      </c>
      <c r="BF1376" t="s">
        <v>279</v>
      </c>
      <c r="BG1376" t="s">
        <v>150</v>
      </c>
      <c r="BH1376" t="str">
        <f>IF(COUNTIF(工作表1!A:A, $C1376)&gt;0, "預購款", "非預購款")</f>
        <v>非預購款</v>
      </c>
    </row>
    <row r="1377" spans="1:60" x14ac:dyDescent="0.25">
      <c r="A1377" t="s">
        <v>3960</v>
      </c>
      <c r="B1377" t="s">
        <v>488</v>
      </c>
      <c r="C1377" t="s">
        <v>3961</v>
      </c>
      <c r="D1377" t="s">
        <v>3962</v>
      </c>
      <c r="E1377" t="s">
        <v>3963</v>
      </c>
      <c r="F1377" t="s">
        <v>196</v>
      </c>
      <c r="G1377" t="s">
        <v>3964</v>
      </c>
      <c r="H1377" t="s">
        <v>280</v>
      </c>
      <c r="I1377" t="s">
        <v>120</v>
      </c>
      <c r="J1377" t="s">
        <v>121</v>
      </c>
      <c r="K1377" t="s">
        <v>69</v>
      </c>
      <c r="L1377" t="s">
        <v>3965</v>
      </c>
      <c r="M1377" t="s">
        <v>71</v>
      </c>
      <c r="N1377" t="s">
        <v>198</v>
      </c>
      <c r="O1377" t="s">
        <v>3966</v>
      </c>
      <c r="P1377" t="s">
        <v>3967</v>
      </c>
      <c r="R1377" t="s">
        <v>1798</v>
      </c>
      <c r="S1377" t="s">
        <v>201</v>
      </c>
      <c r="T1377" t="s">
        <v>274</v>
      </c>
      <c r="U1377" t="s">
        <v>104</v>
      </c>
      <c r="V1377" t="s">
        <v>3968</v>
      </c>
      <c r="W1377">
        <v>299</v>
      </c>
      <c r="X1377">
        <v>12.99</v>
      </c>
      <c r="Y1377">
        <v>39</v>
      </c>
      <c r="Z1377">
        <v>209000</v>
      </c>
      <c r="AA1377">
        <v>262223</v>
      </c>
      <c r="AB1377">
        <v>200</v>
      </c>
      <c r="AD1377" t="s">
        <v>238</v>
      </c>
      <c r="AE1377">
        <v>3</v>
      </c>
      <c r="AF1377">
        <v>2</v>
      </c>
      <c r="AI1377">
        <v>20</v>
      </c>
      <c r="AJ1377">
        <v>125</v>
      </c>
      <c r="AK1377">
        <v>147</v>
      </c>
      <c r="AL1377">
        <v>877</v>
      </c>
      <c r="AM1377">
        <v>0</v>
      </c>
      <c r="AN1377">
        <v>0</v>
      </c>
      <c r="AO1377">
        <v>0</v>
      </c>
      <c r="AP1377" t="s">
        <v>69</v>
      </c>
      <c r="AS1377" t="s">
        <v>86</v>
      </c>
      <c r="AT1377" t="s">
        <v>240</v>
      </c>
      <c r="AU1377" t="s">
        <v>240</v>
      </c>
      <c r="AV1377" t="s">
        <v>3969</v>
      </c>
      <c r="AW1377" t="s">
        <v>69</v>
      </c>
      <c r="AX1377" t="s">
        <v>126</v>
      </c>
      <c r="AY1377" t="s">
        <v>3970</v>
      </c>
      <c r="AZ1377" t="s">
        <v>243</v>
      </c>
      <c r="BA1377" t="s">
        <v>244</v>
      </c>
      <c r="BB1377" t="s">
        <v>244</v>
      </c>
      <c r="BC1377" t="s">
        <v>244</v>
      </c>
      <c r="BD1377" t="s">
        <v>3974</v>
      </c>
      <c r="BE1377" t="s">
        <v>3972</v>
      </c>
      <c r="BF1377" t="s">
        <v>279</v>
      </c>
      <c r="BG1377" t="s">
        <v>150</v>
      </c>
      <c r="BH1377" t="str">
        <f>IF(COUNTIF(工作表1!A:A, $C1377)&gt;0, "預購款", "非預購款")</f>
        <v>非預購款</v>
      </c>
    </row>
    <row r="1378" spans="1:60" x14ac:dyDescent="0.25">
      <c r="A1378" t="s">
        <v>3960</v>
      </c>
      <c r="B1378" t="s">
        <v>488</v>
      </c>
      <c r="C1378" t="s">
        <v>3961</v>
      </c>
      <c r="D1378" t="s">
        <v>3962</v>
      </c>
      <c r="E1378" t="s">
        <v>3963</v>
      </c>
      <c r="F1378" t="s">
        <v>196</v>
      </c>
      <c r="G1378" t="s">
        <v>3964</v>
      </c>
      <c r="H1378" t="s">
        <v>273</v>
      </c>
      <c r="I1378" t="s">
        <v>97</v>
      </c>
      <c r="J1378" t="s">
        <v>98</v>
      </c>
      <c r="K1378" t="s">
        <v>69</v>
      </c>
      <c r="L1378" t="s">
        <v>3965</v>
      </c>
      <c r="M1378" t="s">
        <v>71</v>
      </c>
      <c r="N1378" t="s">
        <v>198</v>
      </c>
      <c r="O1378" t="s">
        <v>3966</v>
      </c>
      <c r="P1378" t="s">
        <v>3967</v>
      </c>
      <c r="R1378" t="s">
        <v>1798</v>
      </c>
      <c r="S1378" t="s">
        <v>201</v>
      </c>
      <c r="T1378" t="s">
        <v>274</v>
      </c>
      <c r="U1378" t="s">
        <v>104</v>
      </c>
      <c r="V1378" t="s">
        <v>3968</v>
      </c>
      <c r="W1378">
        <v>299</v>
      </c>
      <c r="X1378">
        <v>12.99</v>
      </c>
      <c r="Y1378">
        <v>39</v>
      </c>
      <c r="Z1378">
        <v>209000</v>
      </c>
      <c r="AA1378">
        <v>262223</v>
      </c>
      <c r="AB1378">
        <v>200</v>
      </c>
      <c r="AD1378" t="s">
        <v>238</v>
      </c>
      <c r="AE1378">
        <v>3</v>
      </c>
      <c r="AF1378">
        <v>8</v>
      </c>
      <c r="AI1378">
        <v>10</v>
      </c>
      <c r="AJ1378">
        <v>40</v>
      </c>
      <c r="AK1378">
        <v>58</v>
      </c>
      <c r="AL1378">
        <v>877</v>
      </c>
      <c r="AM1378">
        <v>0</v>
      </c>
      <c r="AN1378">
        <v>0</v>
      </c>
      <c r="AO1378">
        <v>0</v>
      </c>
      <c r="AP1378" t="s">
        <v>69</v>
      </c>
      <c r="AS1378" t="s">
        <v>86</v>
      </c>
      <c r="AT1378" t="s">
        <v>240</v>
      </c>
      <c r="AU1378" t="s">
        <v>240</v>
      </c>
      <c r="AV1378" t="s">
        <v>3969</v>
      </c>
      <c r="AW1378" t="s">
        <v>69</v>
      </c>
      <c r="AX1378" t="s">
        <v>126</v>
      </c>
      <c r="AY1378" t="s">
        <v>3970</v>
      </c>
      <c r="AZ1378" t="s">
        <v>243</v>
      </c>
      <c r="BA1378" t="s">
        <v>244</v>
      </c>
      <c r="BB1378" t="s">
        <v>244</v>
      </c>
      <c r="BC1378" t="s">
        <v>244</v>
      </c>
      <c r="BD1378" t="s">
        <v>3975</v>
      </c>
      <c r="BE1378" t="s">
        <v>3972</v>
      </c>
      <c r="BF1378" t="s">
        <v>279</v>
      </c>
      <c r="BG1378" t="s">
        <v>150</v>
      </c>
      <c r="BH1378" t="str">
        <f>IF(COUNTIF(工作表1!A:A, $C1378)&gt;0, "預購款", "非預購款")</f>
        <v>非預購款</v>
      </c>
    </row>
    <row r="1379" spans="1:60" x14ac:dyDescent="0.25">
      <c r="A1379" t="s">
        <v>3960</v>
      </c>
      <c r="B1379" t="s">
        <v>488</v>
      </c>
      <c r="C1379" t="s">
        <v>3961</v>
      </c>
      <c r="D1379" t="s">
        <v>3962</v>
      </c>
      <c r="E1379" t="s">
        <v>3963</v>
      </c>
      <c r="F1379" t="s">
        <v>196</v>
      </c>
      <c r="G1379" t="s">
        <v>3964</v>
      </c>
      <c r="H1379" t="s">
        <v>501</v>
      </c>
      <c r="I1379" t="s">
        <v>97</v>
      </c>
      <c r="J1379" t="s">
        <v>98</v>
      </c>
      <c r="K1379" t="s">
        <v>69</v>
      </c>
      <c r="L1379" t="s">
        <v>3965</v>
      </c>
      <c r="M1379" t="s">
        <v>71</v>
      </c>
      <c r="N1379" t="s">
        <v>198</v>
      </c>
      <c r="O1379" t="s">
        <v>3966</v>
      </c>
      <c r="P1379" t="s">
        <v>3967</v>
      </c>
      <c r="R1379" t="s">
        <v>1798</v>
      </c>
      <c r="S1379" t="s">
        <v>201</v>
      </c>
      <c r="T1379" t="s">
        <v>274</v>
      </c>
      <c r="U1379" t="s">
        <v>104</v>
      </c>
      <c r="V1379" t="s">
        <v>3968</v>
      </c>
      <c r="W1379">
        <v>299</v>
      </c>
      <c r="X1379">
        <v>12.99</v>
      </c>
      <c r="Y1379">
        <v>39</v>
      </c>
      <c r="Z1379">
        <v>209000</v>
      </c>
      <c r="AA1379">
        <v>262223</v>
      </c>
      <c r="AB1379">
        <v>200</v>
      </c>
      <c r="AD1379" t="s">
        <v>238</v>
      </c>
      <c r="AE1379">
        <v>3</v>
      </c>
      <c r="AF1379">
        <v>0</v>
      </c>
      <c r="AI1379">
        <v>15</v>
      </c>
      <c r="AJ1379">
        <v>10</v>
      </c>
      <c r="AK1379">
        <v>25</v>
      </c>
      <c r="AL1379">
        <v>877</v>
      </c>
      <c r="AM1379">
        <v>0</v>
      </c>
      <c r="AN1379">
        <v>0</v>
      </c>
      <c r="AO1379">
        <v>0</v>
      </c>
      <c r="AP1379" t="s">
        <v>69</v>
      </c>
      <c r="AS1379" t="s">
        <v>86</v>
      </c>
      <c r="AT1379" t="s">
        <v>240</v>
      </c>
      <c r="AU1379" t="s">
        <v>240</v>
      </c>
      <c r="AV1379" t="s">
        <v>3969</v>
      </c>
      <c r="AW1379" t="s">
        <v>69</v>
      </c>
      <c r="AX1379" t="s">
        <v>126</v>
      </c>
      <c r="AY1379" t="s">
        <v>3970</v>
      </c>
      <c r="AZ1379" t="s">
        <v>243</v>
      </c>
      <c r="BA1379" t="s">
        <v>244</v>
      </c>
      <c r="BB1379" t="s">
        <v>244</v>
      </c>
      <c r="BC1379" t="s">
        <v>244</v>
      </c>
      <c r="BD1379" t="s">
        <v>3976</v>
      </c>
      <c r="BE1379" t="s">
        <v>3972</v>
      </c>
      <c r="BF1379" t="s">
        <v>279</v>
      </c>
      <c r="BG1379" t="s">
        <v>150</v>
      </c>
      <c r="BH1379" t="str">
        <f>IF(COUNTIF(工作表1!A:A, $C1379)&gt;0, "預購款", "非預購款")</f>
        <v>非預購款</v>
      </c>
    </row>
    <row r="1380" spans="1:60" x14ac:dyDescent="0.25">
      <c r="A1380" t="s">
        <v>3960</v>
      </c>
      <c r="B1380" t="s">
        <v>488</v>
      </c>
      <c r="C1380" t="s">
        <v>3961</v>
      </c>
      <c r="D1380" t="s">
        <v>3962</v>
      </c>
      <c r="E1380" t="s">
        <v>3963</v>
      </c>
      <c r="F1380" t="s">
        <v>196</v>
      </c>
      <c r="G1380" t="s">
        <v>3964</v>
      </c>
      <c r="H1380" t="s">
        <v>280</v>
      </c>
      <c r="I1380" t="s">
        <v>97</v>
      </c>
      <c r="J1380" t="s">
        <v>98</v>
      </c>
      <c r="K1380" t="s">
        <v>69</v>
      </c>
      <c r="L1380" t="s">
        <v>3965</v>
      </c>
      <c r="M1380" t="s">
        <v>71</v>
      </c>
      <c r="N1380" t="s">
        <v>198</v>
      </c>
      <c r="O1380" t="s">
        <v>3966</v>
      </c>
      <c r="P1380" t="s">
        <v>3967</v>
      </c>
      <c r="R1380" t="s">
        <v>1798</v>
      </c>
      <c r="S1380" t="s">
        <v>201</v>
      </c>
      <c r="T1380" t="s">
        <v>274</v>
      </c>
      <c r="U1380" t="s">
        <v>104</v>
      </c>
      <c r="V1380" t="s">
        <v>3968</v>
      </c>
      <c r="W1380">
        <v>299</v>
      </c>
      <c r="X1380">
        <v>12.99</v>
      </c>
      <c r="Y1380">
        <v>39</v>
      </c>
      <c r="Z1380">
        <v>209000</v>
      </c>
      <c r="AA1380">
        <v>262223</v>
      </c>
      <c r="AB1380">
        <v>200</v>
      </c>
      <c r="AD1380" t="s">
        <v>238</v>
      </c>
      <c r="AE1380">
        <v>3</v>
      </c>
      <c r="AF1380">
        <v>0</v>
      </c>
      <c r="AI1380">
        <v>10</v>
      </c>
      <c r="AJ1380">
        <v>15</v>
      </c>
      <c r="AK1380">
        <v>25</v>
      </c>
      <c r="AL1380">
        <v>877</v>
      </c>
      <c r="AM1380">
        <v>0</v>
      </c>
      <c r="AN1380">
        <v>0</v>
      </c>
      <c r="AO1380">
        <v>0</v>
      </c>
      <c r="AP1380" t="s">
        <v>69</v>
      </c>
      <c r="AS1380" t="s">
        <v>86</v>
      </c>
      <c r="AT1380" t="s">
        <v>240</v>
      </c>
      <c r="AU1380" t="s">
        <v>240</v>
      </c>
      <c r="AV1380" t="s">
        <v>3969</v>
      </c>
      <c r="AW1380" t="s">
        <v>69</v>
      </c>
      <c r="AX1380" t="s">
        <v>126</v>
      </c>
      <c r="AY1380" t="s">
        <v>3970</v>
      </c>
      <c r="AZ1380" t="s">
        <v>243</v>
      </c>
      <c r="BA1380" t="s">
        <v>244</v>
      </c>
      <c r="BB1380" t="s">
        <v>244</v>
      </c>
      <c r="BC1380" t="s">
        <v>244</v>
      </c>
      <c r="BD1380" t="s">
        <v>3977</v>
      </c>
      <c r="BE1380" t="s">
        <v>3972</v>
      </c>
      <c r="BF1380" t="s">
        <v>279</v>
      </c>
      <c r="BG1380" t="s">
        <v>150</v>
      </c>
      <c r="BH1380" t="str">
        <f>IF(COUNTIF(工作表1!A:A, $C1380)&gt;0, "預購款", "非預購款")</f>
        <v>非預購款</v>
      </c>
    </row>
    <row r="1381" spans="1:60" x14ac:dyDescent="0.25">
      <c r="A1381" t="s">
        <v>3960</v>
      </c>
      <c r="B1381" t="s">
        <v>488</v>
      </c>
      <c r="C1381" t="s">
        <v>3961</v>
      </c>
      <c r="D1381" t="s">
        <v>3962</v>
      </c>
      <c r="E1381" t="s">
        <v>3963</v>
      </c>
      <c r="F1381" t="s">
        <v>196</v>
      </c>
      <c r="G1381" t="s">
        <v>3964</v>
      </c>
      <c r="H1381" t="s">
        <v>273</v>
      </c>
      <c r="I1381" t="s">
        <v>171</v>
      </c>
      <c r="J1381" t="s">
        <v>172</v>
      </c>
      <c r="K1381" t="s">
        <v>69</v>
      </c>
      <c r="L1381" t="s">
        <v>3965</v>
      </c>
      <c r="M1381" t="s">
        <v>71</v>
      </c>
      <c r="N1381" t="s">
        <v>198</v>
      </c>
      <c r="O1381" t="s">
        <v>3966</v>
      </c>
      <c r="P1381" t="s">
        <v>3967</v>
      </c>
      <c r="R1381" t="s">
        <v>1798</v>
      </c>
      <c r="S1381" t="s">
        <v>201</v>
      </c>
      <c r="T1381" t="s">
        <v>274</v>
      </c>
      <c r="U1381" t="s">
        <v>104</v>
      </c>
      <c r="V1381" t="s">
        <v>3968</v>
      </c>
      <c r="W1381">
        <v>299</v>
      </c>
      <c r="X1381">
        <v>12.99</v>
      </c>
      <c r="Y1381">
        <v>39</v>
      </c>
      <c r="Z1381">
        <v>209000</v>
      </c>
      <c r="AA1381">
        <v>262223</v>
      </c>
      <c r="AB1381">
        <v>200</v>
      </c>
      <c r="AD1381" t="s">
        <v>238</v>
      </c>
      <c r="AE1381">
        <v>3</v>
      </c>
      <c r="AF1381">
        <v>8</v>
      </c>
      <c r="AI1381">
        <v>20</v>
      </c>
      <c r="AJ1381">
        <v>120</v>
      </c>
      <c r="AK1381">
        <v>148</v>
      </c>
      <c r="AL1381">
        <v>877</v>
      </c>
      <c r="AM1381">
        <v>0</v>
      </c>
      <c r="AN1381">
        <v>0</v>
      </c>
      <c r="AO1381">
        <v>0</v>
      </c>
      <c r="AP1381" t="s">
        <v>69</v>
      </c>
      <c r="AS1381" t="s">
        <v>86</v>
      </c>
      <c r="AT1381" t="s">
        <v>240</v>
      </c>
      <c r="AU1381" t="s">
        <v>240</v>
      </c>
      <c r="AV1381" t="s">
        <v>3969</v>
      </c>
      <c r="AW1381" t="s">
        <v>69</v>
      </c>
      <c r="AX1381" t="s">
        <v>126</v>
      </c>
      <c r="AY1381" t="s">
        <v>3970</v>
      </c>
      <c r="AZ1381" t="s">
        <v>243</v>
      </c>
      <c r="BA1381" t="s">
        <v>244</v>
      </c>
      <c r="BB1381" t="s">
        <v>244</v>
      </c>
      <c r="BC1381" t="s">
        <v>244</v>
      </c>
      <c r="BD1381" t="s">
        <v>3978</v>
      </c>
      <c r="BE1381" t="s">
        <v>3972</v>
      </c>
      <c r="BF1381" t="s">
        <v>279</v>
      </c>
      <c r="BG1381" t="s">
        <v>150</v>
      </c>
      <c r="BH1381" t="str">
        <f>IF(COUNTIF(工作表1!A:A, $C1381)&gt;0, "預購款", "非預購款")</f>
        <v>非預購款</v>
      </c>
    </row>
    <row r="1382" spans="1:60" x14ac:dyDescent="0.25">
      <c r="A1382" t="s">
        <v>3960</v>
      </c>
      <c r="B1382" t="s">
        <v>488</v>
      </c>
      <c r="C1382" t="s">
        <v>3961</v>
      </c>
      <c r="D1382" t="s">
        <v>3962</v>
      </c>
      <c r="E1382" t="s">
        <v>3963</v>
      </c>
      <c r="F1382" t="s">
        <v>196</v>
      </c>
      <c r="G1382" t="s">
        <v>3964</v>
      </c>
      <c r="H1382" t="s">
        <v>501</v>
      </c>
      <c r="I1382" t="s">
        <v>171</v>
      </c>
      <c r="J1382" t="s">
        <v>172</v>
      </c>
      <c r="K1382" t="s">
        <v>69</v>
      </c>
      <c r="L1382" t="s">
        <v>3965</v>
      </c>
      <c r="M1382" t="s">
        <v>71</v>
      </c>
      <c r="N1382" t="s">
        <v>198</v>
      </c>
      <c r="O1382" t="s">
        <v>3966</v>
      </c>
      <c r="P1382" t="s">
        <v>3967</v>
      </c>
      <c r="R1382" t="s">
        <v>1798</v>
      </c>
      <c r="S1382" t="s">
        <v>201</v>
      </c>
      <c r="T1382" t="s">
        <v>274</v>
      </c>
      <c r="U1382" t="s">
        <v>104</v>
      </c>
      <c r="V1382" t="s">
        <v>3968</v>
      </c>
      <c r="W1382">
        <v>299</v>
      </c>
      <c r="X1382">
        <v>12.99</v>
      </c>
      <c r="Y1382">
        <v>39</v>
      </c>
      <c r="Z1382">
        <v>209000</v>
      </c>
      <c r="AA1382">
        <v>262223</v>
      </c>
      <c r="AB1382">
        <v>200</v>
      </c>
      <c r="AD1382" t="s">
        <v>238</v>
      </c>
      <c r="AE1382">
        <v>3</v>
      </c>
      <c r="AF1382">
        <v>0</v>
      </c>
      <c r="AI1382">
        <v>20</v>
      </c>
      <c r="AJ1382">
        <v>35</v>
      </c>
      <c r="AK1382">
        <v>55</v>
      </c>
      <c r="AL1382">
        <v>877</v>
      </c>
      <c r="AM1382">
        <v>0</v>
      </c>
      <c r="AN1382">
        <v>0</v>
      </c>
      <c r="AO1382">
        <v>0</v>
      </c>
      <c r="AP1382" t="s">
        <v>69</v>
      </c>
      <c r="AS1382" t="s">
        <v>86</v>
      </c>
      <c r="AT1382" t="s">
        <v>240</v>
      </c>
      <c r="AU1382" t="s">
        <v>240</v>
      </c>
      <c r="AV1382" t="s">
        <v>3969</v>
      </c>
      <c r="AW1382" t="s">
        <v>69</v>
      </c>
      <c r="AX1382" t="s">
        <v>126</v>
      </c>
      <c r="AY1382" t="s">
        <v>3970</v>
      </c>
      <c r="AZ1382" t="s">
        <v>243</v>
      </c>
      <c r="BA1382" t="s">
        <v>244</v>
      </c>
      <c r="BB1382" t="s">
        <v>244</v>
      </c>
      <c r="BC1382" t="s">
        <v>244</v>
      </c>
      <c r="BD1382" t="s">
        <v>3979</v>
      </c>
      <c r="BE1382" t="s">
        <v>3972</v>
      </c>
      <c r="BF1382" t="s">
        <v>279</v>
      </c>
      <c r="BG1382" t="s">
        <v>150</v>
      </c>
      <c r="BH1382" t="str">
        <f>IF(COUNTIF(工作表1!A:A, $C1382)&gt;0, "預購款", "非預購款")</f>
        <v>非預購款</v>
      </c>
    </row>
    <row r="1383" spans="1:60" x14ac:dyDescent="0.25">
      <c r="A1383" t="s">
        <v>3960</v>
      </c>
      <c r="B1383" t="s">
        <v>488</v>
      </c>
      <c r="C1383" t="s">
        <v>3961</v>
      </c>
      <c r="D1383" t="s">
        <v>3962</v>
      </c>
      <c r="E1383" t="s">
        <v>3963</v>
      </c>
      <c r="F1383" t="s">
        <v>196</v>
      </c>
      <c r="G1383" t="s">
        <v>3964</v>
      </c>
      <c r="H1383" t="s">
        <v>280</v>
      </c>
      <c r="I1383" t="s">
        <v>171</v>
      </c>
      <c r="J1383" t="s">
        <v>172</v>
      </c>
      <c r="K1383" t="s">
        <v>69</v>
      </c>
      <c r="L1383" t="s">
        <v>3965</v>
      </c>
      <c r="M1383" t="s">
        <v>71</v>
      </c>
      <c r="N1383" t="s">
        <v>198</v>
      </c>
      <c r="O1383" t="s">
        <v>3966</v>
      </c>
      <c r="P1383" t="s">
        <v>3967</v>
      </c>
      <c r="R1383" t="s">
        <v>1798</v>
      </c>
      <c r="S1383" t="s">
        <v>201</v>
      </c>
      <c r="T1383" t="s">
        <v>274</v>
      </c>
      <c r="U1383" t="s">
        <v>104</v>
      </c>
      <c r="V1383" t="s">
        <v>3968</v>
      </c>
      <c r="W1383">
        <v>299</v>
      </c>
      <c r="X1383">
        <v>12.99</v>
      </c>
      <c r="Y1383">
        <v>39</v>
      </c>
      <c r="Z1383">
        <v>209000</v>
      </c>
      <c r="AA1383">
        <v>262223</v>
      </c>
      <c r="AB1383">
        <v>200</v>
      </c>
      <c r="AD1383" t="s">
        <v>238</v>
      </c>
      <c r="AE1383">
        <v>3</v>
      </c>
      <c r="AF1383">
        <v>2</v>
      </c>
      <c r="AI1383">
        <v>20</v>
      </c>
      <c r="AJ1383">
        <v>75</v>
      </c>
      <c r="AK1383">
        <v>97</v>
      </c>
      <c r="AL1383">
        <v>877</v>
      </c>
      <c r="AM1383">
        <v>0</v>
      </c>
      <c r="AN1383">
        <v>0</v>
      </c>
      <c r="AO1383">
        <v>0</v>
      </c>
      <c r="AP1383" t="s">
        <v>69</v>
      </c>
      <c r="AS1383" t="s">
        <v>86</v>
      </c>
      <c r="AT1383" t="s">
        <v>240</v>
      </c>
      <c r="AU1383" t="s">
        <v>240</v>
      </c>
      <c r="AV1383" t="s">
        <v>3969</v>
      </c>
      <c r="AW1383" t="s">
        <v>69</v>
      </c>
      <c r="AX1383" t="s">
        <v>126</v>
      </c>
      <c r="AY1383" t="s">
        <v>3970</v>
      </c>
      <c r="AZ1383" t="s">
        <v>243</v>
      </c>
      <c r="BA1383" t="s">
        <v>244</v>
      </c>
      <c r="BB1383" t="s">
        <v>244</v>
      </c>
      <c r="BC1383" t="s">
        <v>244</v>
      </c>
      <c r="BD1383" t="s">
        <v>3980</v>
      </c>
      <c r="BE1383" t="s">
        <v>3972</v>
      </c>
      <c r="BF1383" t="s">
        <v>279</v>
      </c>
      <c r="BG1383" t="s">
        <v>150</v>
      </c>
      <c r="BH1383" t="str">
        <f>IF(COUNTIF(工作表1!A:A, $C1383)&gt;0, "預購款", "非預購款")</f>
        <v>非預購款</v>
      </c>
    </row>
    <row r="1384" spans="1:60" x14ac:dyDescent="0.25">
      <c r="A1384" t="s">
        <v>2198</v>
      </c>
      <c r="B1384" t="s">
        <v>576</v>
      </c>
      <c r="C1384" t="s">
        <v>2199</v>
      </c>
      <c r="D1384" t="s">
        <v>2200</v>
      </c>
      <c r="E1384" t="s">
        <v>2201</v>
      </c>
      <c r="F1384" t="s">
        <v>196</v>
      </c>
      <c r="G1384" t="s">
        <v>2202</v>
      </c>
      <c r="H1384" t="s">
        <v>66</v>
      </c>
      <c r="I1384" t="s">
        <v>97</v>
      </c>
      <c r="J1384" t="s">
        <v>98</v>
      </c>
      <c r="K1384" t="s">
        <v>69</v>
      </c>
      <c r="L1384" t="s">
        <v>1390</v>
      </c>
      <c r="M1384" t="s">
        <v>71</v>
      </c>
      <c r="N1384" t="s">
        <v>100</v>
      </c>
      <c r="O1384" t="s">
        <v>1391</v>
      </c>
      <c r="P1384" t="s">
        <v>1392</v>
      </c>
      <c r="R1384" t="s">
        <v>1393</v>
      </c>
      <c r="S1384" t="s">
        <v>201</v>
      </c>
      <c r="T1384" t="s">
        <v>258</v>
      </c>
      <c r="U1384" t="s">
        <v>104</v>
      </c>
      <c r="V1384" t="s">
        <v>99</v>
      </c>
      <c r="W1384">
        <v>790</v>
      </c>
      <c r="X1384">
        <v>34.99</v>
      </c>
      <c r="Y1384">
        <v>99</v>
      </c>
      <c r="Z1384">
        <v>569000</v>
      </c>
      <c r="AA1384">
        <v>379200</v>
      </c>
      <c r="AB1384">
        <v>165</v>
      </c>
      <c r="AD1384" t="s">
        <v>238</v>
      </c>
      <c r="AE1384">
        <v>3</v>
      </c>
      <c r="AF1384">
        <v>0</v>
      </c>
      <c r="AI1384">
        <v>0</v>
      </c>
      <c r="AJ1384">
        <v>120</v>
      </c>
      <c r="AK1384">
        <v>120</v>
      </c>
      <c r="AL1384">
        <v>480</v>
      </c>
      <c r="AM1384">
        <v>0</v>
      </c>
      <c r="AN1384">
        <v>0</v>
      </c>
      <c r="AO1384">
        <v>0</v>
      </c>
      <c r="AP1384" t="s">
        <v>69</v>
      </c>
      <c r="AR1384" t="s">
        <v>240</v>
      </c>
      <c r="AS1384" t="s">
        <v>86</v>
      </c>
      <c r="AT1384" t="s">
        <v>240</v>
      </c>
      <c r="AU1384" t="s">
        <v>86</v>
      </c>
      <c r="AV1384" t="s">
        <v>2203</v>
      </c>
      <c r="AW1384" t="s">
        <v>69</v>
      </c>
      <c r="AX1384" t="s">
        <v>262</v>
      </c>
      <c r="AY1384" t="s">
        <v>2204</v>
      </c>
      <c r="AZ1384" t="s">
        <v>264</v>
      </c>
      <c r="BA1384" t="s">
        <v>243</v>
      </c>
      <c r="BB1384" t="s">
        <v>264</v>
      </c>
      <c r="BC1384" t="s">
        <v>264</v>
      </c>
      <c r="BD1384" t="s">
        <v>2296</v>
      </c>
      <c r="BE1384" t="s">
        <v>3981</v>
      </c>
      <c r="BF1384" t="s">
        <v>240</v>
      </c>
      <c r="BG1384" t="s">
        <v>110</v>
      </c>
      <c r="BH1384" t="str">
        <f>IF(COUNTIF(工作表1!A:A, $C1384)&gt;0, "預購款", "非預購款")</f>
        <v>非預購款</v>
      </c>
    </row>
    <row r="1385" spans="1:60" x14ac:dyDescent="0.25">
      <c r="A1385" t="s">
        <v>2198</v>
      </c>
      <c r="B1385" t="s">
        <v>576</v>
      </c>
      <c r="C1385" t="s">
        <v>2199</v>
      </c>
      <c r="D1385" t="s">
        <v>2200</v>
      </c>
      <c r="E1385" t="s">
        <v>2201</v>
      </c>
      <c r="F1385" t="s">
        <v>196</v>
      </c>
      <c r="G1385" t="s">
        <v>2202</v>
      </c>
      <c r="H1385" t="s">
        <v>66</v>
      </c>
      <c r="I1385" t="s">
        <v>422</v>
      </c>
      <c r="J1385" t="s">
        <v>423</v>
      </c>
      <c r="K1385" t="s">
        <v>69</v>
      </c>
      <c r="L1385" t="s">
        <v>1390</v>
      </c>
      <c r="M1385" t="s">
        <v>71</v>
      </c>
      <c r="N1385" t="s">
        <v>100</v>
      </c>
      <c r="O1385" t="s">
        <v>1391</v>
      </c>
      <c r="P1385" t="s">
        <v>1392</v>
      </c>
      <c r="R1385" t="s">
        <v>1393</v>
      </c>
      <c r="S1385" t="s">
        <v>201</v>
      </c>
      <c r="T1385" t="s">
        <v>258</v>
      </c>
      <c r="U1385" t="s">
        <v>104</v>
      </c>
      <c r="V1385" t="s">
        <v>99</v>
      </c>
      <c r="W1385">
        <v>790</v>
      </c>
      <c r="X1385">
        <v>34.99</v>
      </c>
      <c r="Y1385">
        <v>99</v>
      </c>
      <c r="Z1385">
        <v>569000</v>
      </c>
      <c r="AA1385">
        <v>379200</v>
      </c>
      <c r="AB1385">
        <v>165</v>
      </c>
      <c r="AD1385" t="s">
        <v>238</v>
      </c>
      <c r="AE1385">
        <v>3</v>
      </c>
      <c r="AF1385">
        <v>0</v>
      </c>
      <c r="AI1385">
        <v>80</v>
      </c>
      <c r="AJ1385">
        <v>80</v>
      </c>
      <c r="AK1385">
        <v>160</v>
      </c>
      <c r="AL1385">
        <v>480</v>
      </c>
      <c r="AM1385">
        <v>0</v>
      </c>
      <c r="AN1385">
        <v>0</v>
      </c>
      <c r="AO1385">
        <v>0</v>
      </c>
      <c r="AP1385" t="s">
        <v>69</v>
      </c>
      <c r="AR1385" t="s">
        <v>240</v>
      </c>
      <c r="AS1385" t="s">
        <v>86</v>
      </c>
      <c r="AT1385" t="s">
        <v>240</v>
      </c>
      <c r="AU1385" t="s">
        <v>86</v>
      </c>
      <c r="AV1385" t="s">
        <v>2203</v>
      </c>
      <c r="AW1385" t="s">
        <v>69</v>
      </c>
      <c r="AX1385" t="s">
        <v>262</v>
      </c>
      <c r="AY1385" t="s">
        <v>2204</v>
      </c>
      <c r="AZ1385" t="s">
        <v>264</v>
      </c>
      <c r="BA1385" t="s">
        <v>243</v>
      </c>
      <c r="BB1385" t="s">
        <v>264</v>
      </c>
      <c r="BC1385" t="s">
        <v>264</v>
      </c>
      <c r="BD1385" t="s">
        <v>2298</v>
      </c>
      <c r="BE1385" t="s">
        <v>3981</v>
      </c>
      <c r="BF1385" t="s">
        <v>240</v>
      </c>
      <c r="BG1385" t="s">
        <v>110</v>
      </c>
      <c r="BH1385" t="str">
        <f>IF(COUNTIF(工作表1!A:A, $C1385)&gt;0, "預購款", "非預購款")</f>
        <v>非預購款</v>
      </c>
    </row>
    <row r="1386" spans="1:60" x14ac:dyDescent="0.25">
      <c r="A1386" t="s">
        <v>2198</v>
      </c>
      <c r="B1386" t="s">
        <v>576</v>
      </c>
      <c r="C1386" t="s">
        <v>2199</v>
      </c>
      <c r="D1386" t="s">
        <v>2200</v>
      </c>
      <c r="E1386" t="s">
        <v>2201</v>
      </c>
      <c r="F1386" t="s">
        <v>196</v>
      </c>
      <c r="G1386" t="s">
        <v>2202</v>
      </c>
      <c r="H1386" t="s">
        <v>66</v>
      </c>
      <c r="I1386" t="s">
        <v>88</v>
      </c>
      <c r="J1386" t="s">
        <v>89</v>
      </c>
      <c r="K1386" t="s">
        <v>69</v>
      </c>
      <c r="L1386" t="s">
        <v>1390</v>
      </c>
      <c r="M1386" t="s">
        <v>71</v>
      </c>
      <c r="N1386" t="s">
        <v>100</v>
      </c>
      <c r="O1386" t="s">
        <v>1391</v>
      </c>
      <c r="P1386" t="s">
        <v>1392</v>
      </c>
      <c r="R1386" t="s">
        <v>1393</v>
      </c>
      <c r="S1386" t="s">
        <v>201</v>
      </c>
      <c r="T1386" t="s">
        <v>258</v>
      </c>
      <c r="U1386" t="s">
        <v>104</v>
      </c>
      <c r="V1386" t="s">
        <v>99</v>
      </c>
      <c r="W1386">
        <v>790</v>
      </c>
      <c r="X1386">
        <v>34.99</v>
      </c>
      <c r="Y1386">
        <v>99</v>
      </c>
      <c r="Z1386">
        <v>569000</v>
      </c>
      <c r="AA1386">
        <v>379200</v>
      </c>
      <c r="AB1386">
        <v>165</v>
      </c>
      <c r="AD1386" t="s">
        <v>238</v>
      </c>
      <c r="AE1386">
        <v>3</v>
      </c>
      <c r="AF1386">
        <v>0</v>
      </c>
      <c r="AI1386">
        <v>80</v>
      </c>
      <c r="AJ1386">
        <v>120</v>
      </c>
      <c r="AK1386">
        <v>200</v>
      </c>
      <c r="AL1386">
        <v>480</v>
      </c>
      <c r="AM1386">
        <v>0</v>
      </c>
      <c r="AN1386">
        <v>0</v>
      </c>
      <c r="AO1386">
        <v>0</v>
      </c>
      <c r="AP1386" t="s">
        <v>69</v>
      </c>
      <c r="AR1386" t="s">
        <v>240</v>
      </c>
      <c r="AS1386" t="s">
        <v>86</v>
      </c>
      <c r="AT1386" t="s">
        <v>240</v>
      </c>
      <c r="AU1386" t="s">
        <v>86</v>
      </c>
      <c r="AV1386" t="s">
        <v>2203</v>
      </c>
      <c r="AW1386" t="s">
        <v>69</v>
      </c>
      <c r="AX1386" t="s">
        <v>262</v>
      </c>
      <c r="AY1386" t="s">
        <v>2204</v>
      </c>
      <c r="AZ1386" t="s">
        <v>264</v>
      </c>
      <c r="BA1386" t="s">
        <v>243</v>
      </c>
      <c r="BB1386" t="s">
        <v>264</v>
      </c>
      <c r="BC1386" t="s">
        <v>264</v>
      </c>
      <c r="BD1386" t="s">
        <v>2205</v>
      </c>
      <c r="BE1386" t="s">
        <v>3981</v>
      </c>
      <c r="BF1386" t="s">
        <v>240</v>
      </c>
      <c r="BG1386" t="s">
        <v>110</v>
      </c>
      <c r="BH1386" t="str">
        <f>IF(COUNTIF(工作表1!A:A, $C1386)&gt;0, "預購款", "非預購款")</f>
        <v>非預購款</v>
      </c>
    </row>
    <row r="1387" spans="1:60" x14ac:dyDescent="0.25">
      <c r="A1387" t="s">
        <v>3982</v>
      </c>
      <c r="B1387" t="s">
        <v>576</v>
      </c>
      <c r="C1387" t="s">
        <v>3983</v>
      </c>
      <c r="D1387" t="s">
        <v>3984</v>
      </c>
      <c r="E1387" t="s">
        <v>3985</v>
      </c>
      <c r="F1387" t="s">
        <v>196</v>
      </c>
      <c r="G1387" t="s">
        <v>3986</v>
      </c>
      <c r="H1387" t="s">
        <v>119</v>
      </c>
      <c r="I1387" t="s">
        <v>88</v>
      </c>
      <c r="J1387" t="s">
        <v>89</v>
      </c>
      <c r="K1387" t="s">
        <v>69</v>
      </c>
      <c r="L1387" t="s">
        <v>3987</v>
      </c>
      <c r="M1387" t="s">
        <v>71</v>
      </c>
      <c r="N1387" t="s">
        <v>198</v>
      </c>
      <c r="O1387" t="s">
        <v>3966</v>
      </c>
      <c r="P1387" t="s">
        <v>3967</v>
      </c>
      <c r="R1387" t="s">
        <v>1798</v>
      </c>
      <c r="S1387" t="s">
        <v>201</v>
      </c>
      <c r="T1387" t="s">
        <v>76</v>
      </c>
      <c r="U1387" t="s">
        <v>684</v>
      </c>
      <c r="V1387" t="s">
        <v>685</v>
      </c>
      <c r="W1387">
        <v>990</v>
      </c>
      <c r="X1387">
        <v>39.99</v>
      </c>
      <c r="Y1387">
        <v>129</v>
      </c>
      <c r="Z1387">
        <v>709000</v>
      </c>
      <c r="AA1387">
        <v>460350</v>
      </c>
      <c r="AB1387">
        <v>286</v>
      </c>
      <c r="AD1387" t="s">
        <v>238</v>
      </c>
      <c r="AE1387">
        <v>2</v>
      </c>
      <c r="AF1387">
        <v>15</v>
      </c>
      <c r="AI1387">
        <v>15</v>
      </c>
      <c r="AJ1387">
        <v>160</v>
      </c>
      <c r="AK1387">
        <v>190</v>
      </c>
      <c r="AL1387">
        <v>465</v>
      </c>
      <c r="AM1387">
        <v>191</v>
      </c>
      <c r="AN1387">
        <v>0</v>
      </c>
      <c r="AO1387">
        <v>191</v>
      </c>
      <c r="AP1387" t="s">
        <v>69</v>
      </c>
      <c r="AR1387" t="s">
        <v>86</v>
      </c>
      <c r="AS1387" t="s">
        <v>86</v>
      </c>
      <c r="AT1387" t="s">
        <v>86</v>
      </c>
      <c r="AU1387" t="s">
        <v>261</v>
      </c>
      <c r="AV1387" t="s">
        <v>81</v>
      </c>
      <c r="AW1387" t="s">
        <v>69</v>
      </c>
      <c r="AX1387" t="s">
        <v>3988</v>
      </c>
      <c r="AY1387" t="s">
        <v>3989</v>
      </c>
      <c r="AZ1387" t="s">
        <v>264</v>
      </c>
      <c r="BA1387" t="s">
        <v>245</v>
      </c>
      <c r="BB1387" t="s">
        <v>244</v>
      </c>
      <c r="BC1387" t="s">
        <v>244</v>
      </c>
      <c r="BD1387" t="s">
        <v>3991</v>
      </c>
      <c r="BE1387" t="s">
        <v>3990</v>
      </c>
      <c r="BF1387" t="s">
        <v>86</v>
      </c>
      <c r="BG1387" t="s">
        <v>110</v>
      </c>
      <c r="BH1387" t="str">
        <f>IF(COUNTIF(工作表1!A:A, $C1387)&gt;0, "預購款", "非預購款")</f>
        <v>非預購款</v>
      </c>
    </row>
    <row r="1388" spans="1:60" x14ac:dyDescent="0.25">
      <c r="A1388" t="s">
        <v>3982</v>
      </c>
      <c r="B1388" t="s">
        <v>576</v>
      </c>
      <c r="C1388" t="s">
        <v>3983</v>
      </c>
      <c r="D1388" t="s">
        <v>3984</v>
      </c>
      <c r="E1388" t="s">
        <v>3985</v>
      </c>
      <c r="F1388" t="s">
        <v>196</v>
      </c>
      <c r="G1388" t="s">
        <v>3986</v>
      </c>
      <c r="H1388" t="s">
        <v>130</v>
      </c>
      <c r="I1388" t="s">
        <v>88</v>
      </c>
      <c r="J1388" t="s">
        <v>89</v>
      </c>
      <c r="K1388" t="s">
        <v>69</v>
      </c>
      <c r="L1388" t="s">
        <v>3987</v>
      </c>
      <c r="M1388" t="s">
        <v>71</v>
      </c>
      <c r="N1388" t="s">
        <v>198</v>
      </c>
      <c r="O1388" t="s">
        <v>3966</v>
      </c>
      <c r="P1388" t="s">
        <v>3967</v>
      </c>
      <c r="R1388" t="s">
        <v>1798</v>
      </c>
      <c r="S1388" t="s">
        <v>201</v>
      </c>
      <c r="T1388" t="s">
        <v>76</v>
      </c>
      <c r="U1388" t="s">
        <v>684</v>
      </c>
      <c r="V1388" t="s">
        <v>685</v>
      </c>
      <c r="W1388">
        <v>990</v>
      </c>
      <c r="X1388">
        <v>39.99</v>
      </c>
      <c r="Y1388">
        <v>129</v>
      </c>
      <c r="Z1388">
        <v>709000</v>
      </c>
      <c r="AA1388">
        <v>460350</v>
      </c>
      <c r="AB1388">
        <v>286</v>
      </c>
      <c r="AD1388" t="s">
        <v>238</v>
      </c>
      <c r="AE1388">
        <v>2</v>
      </c>
      <c r="AF1388">
        <v>10</v>
      </c>
      <c r="AI1388">
        <v>20</v>
      </c>
      <c r="AJ1388">
        <v>120</v>
      </c>
      <c r="AK1388">
        <v>150</v>
      </c>
      <c r="AL1388">
        <v>465</v>
      </c>
      <c r="AM1388">
        <v>151</v>
      </c>
      <c r="AN1388">
        <v>0</v>
      </c>
      <c r="AO1388">
        <v>151</v>
      </c>
      <c r="AP1388" t="s">
        <v>69</v>
      </c>
      <c r="AR1388" t="s">
        <v>86</v>
      </c>
      <c r="AS1388" t="s">
        <v>86</v>
      </c>
      <c r="AT1388" t="s">
        <v>86</v>
      </c>
      <c r="AU1388" t="s">
        <v>261</v>
      </c>
      <c r="AV1388" t="s">
        <v>81</v>
      </c>
      <c r="AW1388" t="s">
        <v>69</v>
      </c>
      <c r="AX1388" t="s">
        <v>3988</v>
      </c>
      <c r="AY1388" t="s">
        <v>3989</v>
      </c>
      <c r="AZ1388" t="s">
        <v>264</v>
      </c>
      <c r="BA1388" t="s">
        <v>245</v>
      </c>
      <c r="BB1388" t="s">
        <v>244</v>
      </c>
      <c r="BC1388" t="s">
        <v>244</v>
      </c>
      <c r="BD1388" t="s">
        <v>3992</v>
      </c>
      <c r="BE1388" t="s">
        <v>3990</v>
      </c>
      <c r="BF1388" t="s">
        <v>86</v>
      </c>
      <c r="BG1388" t="s">
        <v>110</v>
      </c>
      <c r="BH1388" t="str">
        <f>IF(COUNTIF(工作表1!A:A, $C1388)&gt;0, "預購款", "非預購款")</f>
        <v>非預購款</v>
      </c>
    </row>
    <row r="1389" spans="1:60" x14ac:dyDescent="0.25">
      <c r="A1389" t="s">
        <v>3982</v>
      </c>
      <c r="B1389" t="s">
        <v>576</v>
      </c>
      <c r="C1389" t="s">
        <v>3983</v>
      </c>
      <c r="D1389" t="s">
        <v>3984</v>
      </c>
      <c r="E1389" t="s">
        <v>3985</v>
      </c>
      <c r="F1389" t="s">
        <v>196</v>
      </c>
      <c r="G1389" t="s">
        <v>3986</v>
      </c>
      <c r="H1389" t="s">
        <v>132</v>
      </c>
      <c r="I1389" t="s">
        <v>88</v>
      </c>
      <c r="J1389" t="s">
        <v>89</v>
      </c>
      <c r="K1389" t="s">
        <v>69</v>
      </c>
      <c r="L1389" t="s">
        <v>3987</v>
      </c>
      <c r="M1389" t="s">
        <v>71</v>
      </c>
      <c r="N1389" t="s">
        <v>198</v>
      </c>
      <c r="O1389" t="s">
        <v>3966</v>
      </c>
      <c r="P1389" t="s">
        <v>3967</v>
      </c>
      <c r="R1389" t="s">
        <v>1798</v>
      </c>
      <c r="S1389" t="s">
        <v>201</v>
      </c>
      <c r="T1389" t="s">
        <v>76</v>
      </c>
      <c r="U1389" t="s">
        <v>684</v>
      </c>
      <c r="V1389" t="s">
        <v>685</v>
      </c>
      <c r="W1389">
        <v>990</v>
      </c>
      <c r="X1389">
        <v>39.99</v>
      </c>
      <c r="Y1389">
        <v>129</v>
      </c>
      <c r="Z1389">
        <v>709000</v>
      </c>
      <c r="AA1389">
        <v>460350</v>
      </c>
      <c r="AB1389">
        <v>286</v>
      </c>
      <c r="AD1389" t="s">
        <v>238</v>
      </c>
      <c r="AE1389">
        <v>2</v>
      </c>
      <c r="AF1389">
        <v>5</v>
      </c>
      <c r="AI1389">
        <v>10</v>
      </c>
      <c r="AJ1389">
        <v>50</v>
      </c>
      <c r="AK1389">
        <v>65</v>
      </c>
      <c r="AL1389">
        <v>465</v>
      </c>
      <c r="AM1389">
        <v>66</v>
      </c>
      <c r="AN1389">
        <v>0</v>
      </c>
      <c r="AO1389">
        <v>66</v>
      </c>
      <c r="AP1389" t="s">
        <v>69</v>
      </c>
      <c r="AR1389" t="s">
        <v>86</v>
      </c>
      <c r="AS1389" t="s">
        <v>86</v>
      </c>
      <c r="AT1389" t="s">
        <v>86</v>
      </c>
      <c r="AU1389" t="s">
        <v>261</v>
      </c>
      <c r="AV1389" t="s">
        <v>81</v>
      </c>
      <c r="AW1389" t="s">
        <v>69</v>
      </c>
      <c r="AX1389" t="s">
        <v>3988</v>
      </c>
      <c r="AY1389" t="s">
        <v>3989</v>
      </c>
      <c r="AZ1389" t="s">
        <v>264</v>
      </c>
      <c r="BA1389" t="s">
        <v>245</v>
      </c>
      <c r="BB1389" t="s">
        <v>244</v>
      </c>
      <c r="BC1389" t="s">
        <v>244</v>
      </c>
      <c r="BD1389" t="s">
        <v>3993</v>
      </c>
      <c r="BE1389" t="s">
        <v>3990</v>
      </c>
      <c r="BF1389" t="s">
        <v>86</v>
      </c>
      <c r="BG1389" t="s">
        <v>110</v>
      </c>
      <c r="BH1389" t="str">
        <f>IF(COUNTIF(工作表1!A:A, $C1389)&gt;0, "預購款", "非預購款")</f>
        <v>非預購款</v>
      </c>
    </row>
    <row r="1390" spans="1:60" x14ac:dyDescent="0.25">
      <c r="A1390" t="s">
        <v>3994</v>
      </c>
      <c r="B1390" t="s">
        <v>576</v>
      </c>
      <c r="C1390" t="s">
        <v>3995</v>
      </c>
      <c r="D1390" t="s">
        <v>3996</v>
      </c>
      <c r="E1390" t="s">
        <v>3997</v>
      </c>
      <c r="F1390" t="s">
        <v>196</v>
      </c>
      <c r="G1390" t="s">
        <v>3998</v>
      </c>
      <c r="H1390" t="s">
        <v>273</v>
      </c>
      <c r="I1390" t="s">
        <v>111</v>
      </c>
      <c r="J1390" t="s">
        <v>112</v>
      </c>
      <c r="K1390" t="s">
        <v>80</v>
      </c>
      <c r="L1390" t="s">
        <v>3987</v>
      </c>
      <c r="M1390" t="s">
        <v>71</v>
      </c>
      <c r="N1390" t="s">
        <v>198</v>
      </c>
      <c r="O1390" t="s">
        <v>3966</v>
      </c>
      <c r="P1390" t="s">
        <v>3967</v>
      </c>
      <c r="R1390" t="s">
        <v>1798</v>
      </c>
      <c r="S1390" t="s">
        <v>201</v>
      </c>
      <c r="T1390" t="s">
        <v>274</v>
      </c>
      <c r="U1390" t="s">
        <v>684</v>
      </c>
      <c r="V1390" t="s">
        <v>685</v>
      </c>
      <c r="W1390">
        <v>1080</v>
      </c>
      <c r="X1390">
        <v>44.99</v>
      </c>
      <c r="Y1390">
        <v>139</v>
      </c>
      <c r="Z1390">
        <v>779000</v>
      </c>
      <c r="AA1390">
        <v>253800</v>
      </c>
      <c r="AB1390">
        <v>300</v>
      </c>
      <c r="AD1390" t="s">
        <v>238</v>
      </c>
      <c r="AE1390">
        <v>2</v>
      </c>
      <c r="AF1390">
        <v>5</v>
      </c>
      <c r="AI1390">
        <v>40</v>
      </c>
      <c r="AJ1390">
        <v>35</v>
      </c>
      <c r="AK1390">
        <v>80</v>
      </c>
      <c r="AL1390">
        <v>235</v>
      </c>
      <c r="AM1390">
        <v>79</v>
      </c>
      <c r="AN1390">
        <v>0</v>
      </c>
      <c r="AO1390">
        <v>79</v>
      </c>
      <c r="AP1390" t="s">
        <v>69</v>
      </c>
      <c r="AS1390" t="s">
        <v>86</v>
      </c>
      <c r="AT1390" t="s">
        <v>86</v>
      </c>
      <c r="AU1390" t="s">
        <v>86</v>
      </c>
      <c r="AV1390" t="s">
        <v>3190</v>
      </c>
      <c r="AW1390" t="s">
        <v>69</v>
      </c>
      <c r="AX1390" t="s">
        <v>126</v>
      </c>
      <c r="AY1390" t="s">
        <v>3999</v>
      </c>
      <c r="AZ1390" t="s">
        <v>264</v>
      </c>
      <c r="BA1390" t="s">
        <v>245</v>
      </c>
      <c r="BB1390" t="s">
        <v>244</v>
      </c>
      <c r="BC1390" t="s">
        <v>244</v>
      </c>
      <c r="BD1390" t="s">
        <v>4004</v>
      </c>
      <c r="BE1390" t="s">
        <v>4001</v>
      </c>
      <c r="BF1390" t="s">
        <v>279</v>
      </c>
      <c r="BG1390" t="s">
        <v>110</v>
      </c>
      <c r="BH1390" t="str">
        <f>IF(COUNTIF(工作表1!A:A, $C1390)&gt;0, "預購款", "非預購款")</f>
        <v>非預購款</v>
      </c>
    </row>
    <row r="1391" spans="1:60" x14ac:dyDescent="0.25">
      <c r="A1391" t="s">
        <v>3994</v>
      </c>
      <c r="B1391" t="s">
        <v>576</v>
      </c>
      <c r="C1391" t="s">
        <v>3995</v>
      </c>
      <c r="D1391" t="s">
        <v>3996</v>
      </c>
      <c r="E1391" t="s">
        <v>3997</v>
      </c>
      <c r="F1391" t="s">
        <v>196</v>
      </c>
      <c r="G1391" t="s">
        <v>3998</v>
      </c>
      <c r="H1391" t="s">
        <v>501</v>
      </c>
      <c r="I1391" t="s">
        <v>111</v>
      </c>
      <c r="J1391" t="s">
        <v>112</v>
      </c>
      <c r="K1391" t="s">
        <v>80</v>
      </c>
      <c r="L1391" t="s">
        <v>3987</v>
      </c>
      <c r="M1391" t="s">
        <v>71</v>
      </c>
      <c r="N1391" t="s">
        <v>198</v>
      </c>
      <c r="O1391" t="s">
        <v>3966</v>
      </c>
      <c r="P1391" t="s">
        <v>3967</v>
      </c>
      <c r="R1391" t="s">
        <v>1798</v>
      </c>
      <c r="S1391" t="s">
        <v>201</v>
      </c>
      <c r="T1391" t="s">
        <v>274</v>
      </c>
      <c r="U1391" t="s">
        <v>684</v>
      </c>
      <c r="V1391" t="s">
        <v>685</v>
      </c>
      <c r="W1391">
        <v>1080</v>
      </c>
      <c r="X1391">
        <v>44.99</v>
      </c>
      <c r="Y1391">
        <v>139</v>
      </c>
      <c r="Z1391">
        <v>779000</v>
      </c>
      <c r="AA1391">
        <v>253800</v>
      </c>
      <c r="AB1391">
        <v>300</v>
      </c>
      <c r="AD1391" t="s">
        <v>238</v>
      </c>
      <c r="AE1391">
        <v>2</v>
      </c>
      <c r="AF1391">
        <v>0</v>
      </c>
      <c r="AI1391">
        <v>10</v>
      </c>
      <c r="AJ1391">
        <v>35</v>
      </c>
      <c r="AK1391">
        <v>45</v>
      </c>
      <c r="AL1391">
        <v>235</v>
      </c>
      <c r="AM1391">
        <v>39</v>
      </c>
      <c r="AN1391">
        <v>0</v>
      </c>
      <c r="AO1391">
        <v>39</v>
      </c>
      <c r="AP1391" t="s">
        <v>69</v>
      </c>
      <c r="AS1391" t="s">
        <v>86</v>
      </c>
      <c r="AT1391" t="s">
        <v>86</v>
      </c>
      <c r="AU1391" t="s">
        <v>86</v>
      </c>
      <c r="AV1391" t="s">
        <v>3190</v>
      </c>
      <c r="AW1391" t="s">
        <v>69</v>
      </c>
      <c r="AX1391" t="s">
        <v>126</v>
      </c>
      <c r="AY1391" t="s">
        <v>3999</v>
      </c>
      <c r="AZ1391" t="s">
        <v>264</v>
      </c>
      <c r="BA1391" t="s">
        <v>245</v>
      </c>
      <c r="BB1391" t="s">
        <v>244</v>
      </c>
      <c r="BC1391" t="s">
        <v>244</v>
      </c>
      <c r="BD1391" t="s">
        <v>4005</v>
      </c>
      <c r="BE1391" t="s">
        <v>4001</v>
      </c>
      <c r="BF1391" t="s">
        <v>279</v>
      </c>
      <c r="BG1391" t="s">
        <v>110</v>
      </c>
      <c r="BH1391" t="str">
        <f>IF(COUNTIF(工作表1!A:A, $C1391)&gt;0, "預購款", "非預購款")</f>
        <v>非預購款</v>
      </c>
    </row>
    <row r="1392" spans="1:60" x14ac:dyDescent="0.25">
      <c r="A1392" t="s">
        <v>3994</v>
      </c>
      <c r="B1392" t="s">
        <v>576</v>
      </c>
      <c r="C1392" t="s">
        <v>3995</v>
      </c>
      <c r="D1392" t="s">
        <v>3996</v>
      </c>
      <c r="E1392" t="s">
        <v>3997</v>
      </c>
      <c r="F1392" t="s">
        <v>196</v>
      </c>
      <c r="G1392" t="s">
        <v>3998</v>
      </c>
      <c r="H1392" t="s">
        <v>280</v>
      </c>
      <c r="I1392" t="s">
        <v>111</v>
      </c>
      <c r="J1392" t="s">
        <v>112</v>
      </c>
      <c r="K1392" t="s">
        <v>80</v>
      </c>
      <c r="L1392" t="s">
        <v>3987</v>
      </c>
      <c r="M1392" t="s">
        <v>71</v>
      </c>
      <c r="N1392" t="s">
        <v>198</v>
      </c>
      <c r="O1392" t="s">
        <v>3966</v>
      </c>
      <c r="P1392" t="s">
        <v>3967</v>
      </c>
      <c r="R1392" t="s">
        <v>1798</v>
      </c>
      <c r="S1392" t="s">
        <v>201</v>
      </c>
      <c r="T1392" t="s">
        <v>274</v>
      </c>
      <c r="U1392" t="s">
        <v>684</v>
      </c>
      <c r="V1392" t="s">
        <v>685</v>
      </c>
      <c r="W1392">
        <v>1080</v>
      </c>
      <c r="X1392">
        <v>44.99</v>
      </c>
      <c r="Y1392">
        <v>139</v>
      </c>
      <c r="Z1392">
        <v>779000</v>
      </c>
      <c r="AA1392">
        <v>253800</v>
      </c>
      <c r="AB1392">
        <v>300</v>
      </c>
      <c r="AD1392" t="s">
        <v>238</v>
      </c>
      <c r="AE1392">
        <v>2</v>
      </c>
      <c r="AF1392">
        <v>0</v>
      </c>
      <c r="AI1392">
        <v>15</v>
      </c>
      <c r="AJ1392">
        <v>25</v>
      </c>
      <c r="AK1392">
        <v>40</v>
      </c>
      <c r="AL1392">
        <v>235</v>
      </c>
      <c r="AM1392">
        <v>39</v>
      </c>
      <c r="AN1392">
        <v>0</v>
      </c>
      <c r="AO1392">
        <v>39</v>
      </c>
      <c r="AP1392" t="s">
        <v>69</v>
      </c>
      <c r="AS1392" t="s">
        <v>86</v>
      </c>
      <c r="AT1392" t="s">
        <v>86</v>
      </c>
      <c r="AU1392" t="s">
        <v>86</v>
      </c>
      <c r="AV1392" t="s">
        <v>3190</v>
      </c>
      <c r="AW1392" t="s">
        <v>69</v>
      </c>
      <c r="AX1392" t="s">
        <v>126</v>
      </c>
      <c r="AY1392" t="s">
        <v>3999</v>
      </c>
      <c r="AZ1392" t="s">
        <v>264</v>
      </c>
      <c r="BA1392" t="s">
        <v>245</v>
      </c>
      <c r="BB1392" t="s">
        <v>244</v>
      </c>
      <c r="BC1392" t="s">
        <v>244</v>
      </c>
      <c r="BD1392" t="s">
        <v>4006</v>
      </c>
      <c r="BE1392" t="s">
        <v>4001</v>
      </c>
      <c r="BF1392" t="s">
        <v>279</v>
      </c>
      <c r="BG1392" t="s">
        <v>110</v>
      </c>
      <c r="BH1392" t="str">
        <f>IF(COUNTIF(工作表1!A:A, $C1392)&gt;0, "預購款", "非預購款")</f>
        <v>非預購款</v>
      </c>
    </row>
    <row r="1393" spans="1:60" x14ac:dyDescent="0.25">
      <c r="A1393" t="s">
        <v>4007</v>
      </c>
      <c r="B1393" t="s">
        <v>759</v>
      </c>
      <c r="C1393" t="s">
        <v>4008</v>
      </c>
      <c r="D1393" t="s">
        <v>4009</v>
      </c>
      <c r="E1393" t="s">
        <v>4010</v>
      </c>
      <c r="F1393" t="s">
        <v>196</v>
      </c>
      <c r="G1393" t="s">
        <v>4011</v>
      </c>
      <c r="H1393" t="s">
        <v>119</v>
      </c>
      <c r="I1393" t="s">
        <v>111</v>
      </c>
      <c r="J1393" t="s">
        <v>112</v>
      </c>
      <c r="K1393" t="s">
        <v>69</v>
      </c>
      <c r="L1393" t="s">
        <v>4012</v>
      </c>
      <c r="M1393" t="s">
        <v>71</v>
      </c>
      <c r="N1393" t="s">
        <v>198</v>
      </c>
      <c r="O1393" t="s">
        <v>3966</v>
      </c>
      <c r="P1393" t="s">
        <v>3967</v>
      </c>
      <c r="R1393" t="s">
        <v>1798</v>
      </c>
      <c r="S1393" t="s">
        <v>201</v>
      </c>
      <c r="T1393" t="s">
        <v>76</v>
      </c>
      <c r="U1393" t="s">
        <v>502</v>
      </c>
      <c r="V1393" t="s">
        <v>765</v>
      </c>
      <c r="W1393">
        <v>1380</v>
      </c>
      <c r="X1393">
        <v>54.99</v>
      </c>
      <c r="Y1393">
        <v>179</v>
      </c>
      <c r="Z1393">
        <v>989000</v>
      </c>
      <c r="AA1393">
        <v>680340</v>
      </c>
      <c r="AB1393">
        <v>558</v>
      </c>
      <c r="AD1393" t="s">
        <v>238</v>
      </c>
      <c r="AE1393">
        <v>1</v>
      </c>
      <c r="AF1393">
        <v>10</v>
      </c>
      <c r="AI1393">
        <v>50</v>
      </c>
      <c r="AJ1393">
        <v>160</v>
      </c>
      <c r="AK1393">
        <v>220</v>
      </c>
      <c r="AL1393">
        <v>493</v>
      </c>
      <c r="AM1393">
        <v>0</v>
      </c>
      <c r="AN1393">
        <v>0</v>
      </c>
      <c r="AO1393">
        <v>0</v>
      </c>
      <c r="AP1393" t="s">
        <v>69</v>
      </c>
      <c r="AR1393" t="s">
        <v>86</v>
      </c>
      <c r="AS1393" t="s">
        <v>86</v>
      </c>
      <c r="AT1393" t="s">
        <v>86</v>
      </c>
      <c r="AU1393" t="s">
        <v>86</v>
      </c>
      <c r="AV1393" t="s">
        <v>1033</v>
      </c>
      <c r="AW1393" t="s">
        <v>69</v>
      </c>
      <c r="AX1393" t="s">
        <v>4013</v>
      </c>
      <c r="AY1393" t="s">
        <v>4014</v>
      </c>
      <c r="AZ1393" t="s">
        <v>264</v>
      </c>
      <c r="BA1393" t="s">
        <v>245</v>
      </c>
      <c r="BB1393" t="s">
        <v>244</v>
      </c>
      <c r="BC1393" t="s">
        <v>244</v>
      </c>
      <c r="BD1393" t="s">
        <v>4015</v>
      </c>
      <c r="BE1393" t="s">
        <v>4016</v>
      </c>
      <c r="BF1393" t="s">
        <v>86</v>
      </c>
      <c r="BG1393" t="s">
        <v>110</v>
      </c>
      <c r="BH1393" t="str">
        <f>IF(COUNTIF(工作表1!A:A, $C1393)&gt;0, "預購款", "非預購款")</f>
        <v>非預購款</v>
      </c>
    </row>
    <row r="1394" spans="1:60" x14ac:dyDescent="0.25">
      <c r="A1394" t="s">
        <v>4007</v>
      </c>
      <c r="B1394" t="s">
        <v>759</v>
      </c>
      <c r="C1394" t="s">
        <v>4008</v>
      </c>
      <c r="D1394" t="s">
        <v>4009</v>
      </c>
      <c r="E1394" t="s">
        <v>4010</v>
      </c>
      <c r="F1394" t="s">
        <v>196</v>
      </c>
      <c r="G1394" t="s">
        <v>4011</v>
      </c>
      <c r="H1394" t="s">
        <v>130</v>
      </c>
      <c r="I1394" t="s">
        <v>111</v>
      </c>
      <c r="J1394" t="s">
        <v>112</v>
      </c>
      <c r="K1394" t="s">
        <v>69</v>
      </c>
      <c r="L1394" t="s">
        <v>4012</v>
      </c>
      <c r="M1394" t="s">
        <v>71</v>
      </c>
      <c r="N1394" t="s">
        <v>198</v>
      </c>
      <c r="O1394" t="s">
        <v>3966</v>
      </c>
      <c r="P1394" t="s">
        <v>3967</v>
      </c>
      <c r="R1394" t="s">
        <v>1798</v>
      </c>
      <c r="S1394" t="s">
        <v>201</v>
      </c>
      <c r="T1394" t="s">
        <v>76</v>
      </c>
      <c r="U1394" t="s">
        <v>502</v>
      </c>
      <c r="V1394" t="s">
        <v>765</v>
      </c>
      <c r="W1394">
        <v>1380</v>
      </c>
      <c r="X1394">
        <v>54.99</v>
      </c>
      <c r="Y1394">
        <v>179</v>
      </c>
      <c r="Z1394">
        <v>989000</v>
      </c>
      <c r="AA1394">
        <v>680340</v>
      </c>
      <c r="AB1394">
        <v>558</v>
      </c>
      <c r="AD1394" t="s">
        <v>238</v>
      </c>
      <c r="AE1394">
        <v>1</v>
      </c>
      <c r="AF1394">
        <v>8</v>
      </c>
      <c r="AI1394">
        <v>40</v>
      </c>
      <c r="AJ1394">
        <v>135</v>
      </c>
      <c r="AK1394">
        <v>183</v>
      </c>
      <c r="AL1394">
        <v>493</v>
      </c>
      <c r="AM1394">
        <v>0</v>
      </c>
      <c r="AN1394">
        <v>0</v>
      </c>
      <c r="AO1394">
        <v>0</v>
      </c>
      <c r="AP1394" t="s">
        <v>69</v>
      </c>
      <c r="AR1394" t="s">
        <v>86</v>
      </c>
      <c r="AS1394" t="s">
        <v>86</v>
      </c>
      <c r="AT1394" t="s">
        <v>86</v>
      </c>
      <c r="AU1394" t="s">
        <v>86</v>
      </c>
      <c r="AV1394" t="s">
        <v>1033</v>
      </c>
      <c r="AW1394" t="s">
        <v>69</v>
      </c>
      <c r="AX1394" t="s">
        <v>4013</v>
      </c>
      <c r="AY1394" t="s">
        <v>4014</v>
      </c>
      <c r="AZ1394" t="s">
        <v>264</v>
      </c>
      <c r="BA1394" t="s">
        <v>245</v>
      </c>
      <c r="BB1394" t="s">
        <v>244</v>
      </c>
      <c r="BC1394" t="s">
        <v>244</v>
      </c>
      <c r="BD1394" t="s">
        <v>4017</v>
      </c>
      <c r="BE1394" t="s">
        <v>4016</v>
      </c>
      <c r="BF1394" t="s">
        <v>86</v>
      </c>
      <c r="BG1394" t="s">
        <v>110</v>
      </c>
      <c r="BH1394" t="str">
        <f>IF(COUNTIF(工作表1!A:A, $C1394)&gt;0, "預購款", "非預購款")</f>
        <v>非預購款</v>
      </c>
    </row>
    <row r="1395" spans="1:60" x14ac:dyDescent="0.25">
      <c r="A1395" t="s">
        <v>4007</v>
      </c>
      <c r="B1395" t="s">
        <v>759</v>
      </c>
      <c r="C1395" t="s">
        <v>4008</v>
      </c>
      <c r="D1395" t="s">
        <v>4009</v>
      </c>
      <c r="E1395" t="s">
        <v>4010</v>
      </c>
      <c r="F1395" t="s">
        <v>196</v>
      </c>
      <c r="G1395" t="s">
        <v>4011</v>
      </c>
      <c r="H1395" t="s">
        <v>132</v>
      </c>
      <c r="I1395" t="s">
        <v>111</v>
      </c>
      <c r="J1395" t="s">
        <v>112</v>
      </c>
      <c r="K1395" t="s">
        <v>69</v>
      </c>
      <c r="L1395" t="s">
        <v>4012</v>
      </c>
      <c r="M1395" t="s">
        <v>71</v>
      </c>
      <c r="N1395" t="s">
        <v>198</v>
      </c>
      <c r="O1395" t="s">
        <v>3966</v>
      </c>
      <c r="P1395" t="s">
        <v>3967</v>
      </c>
      <c r="R1395" t="s">
        <v>1798</v>
      </c>
      <c r="S1395" t="s">
        <v>201</v>
      </c>
      <c r="T1395" t="s">
        <v>76</v>
      </c>
      <c r="U1395" t="s">
        <v>502</v>
      </c>
      <c r="V1395" t="s">
        <v>765</v>
      </c>
      <c r="W1395">
        <v>1380</v>
      </c>
      <c r="X1395">
        <v>54.99</v>
      </c>
      <c r="Y1395">
        <v>179</v>
      </c>
      <c r="Z1395">
        <v>989000</v>
      </c>
      <c r="AA1395">
        <v>680340</v>
      </c>
      <c r="AB1395">
        <v>558</v>
      </c>
      <c r="AD1395" t="s">
        <v>238</v>
      </c>
      <c r="AE1395">
        <v>1</v>
      </c>
      <c r="AF1395">
        <v>0</v>
      </c>
      <c r="AI1395">
        <v>20</v>
      </c>
      <c r="AJ1395">
        <v>70</v>
      </c>
      <c r="AK1395">
        <v>90</v>
      </c>
      <c r="AL1395">
        <v>493</v>
      </c>
      <c r="AM1395">
        <v>0</v>
      </c>
      <c r="AN1395">
        <v>0</v>
      </c>
      <c r="AO1395">
        <v>0</v>
      </c>
      <c r="AP1395" t="s">
        <v>69</v>
      </c>
      <c r="AR1395" t="s">
        <v>86</v>
      </c>
      <c r="AS1395" t="s">
        <v>86</v>
      </c>
      <c r="AT1395" t="s">
        <v>86</v>
      </c>
      <c r="AU1395" t="s">
        <v>86</v>
      </c>
      <c r="AV1395" t="s">
        <v>1033</v>
      </c>
      <c r="AW1395" t="s">
        <v>69</v>
      </c>
      <c r="AX1395" t="s">
        <v>4013</v>
      </c>
      <c r="AY1395" t="s">
        <v>4014</v>
      </c>
      <c r="AZ1395" t="s">
        <v>264</v>
      </c>
      <c r="BA1395" t="s">
        <v>245</v>
      </c>
      <c r="BB1395" t="s">
        <v>244</v>
      </c>
      <c r="BC1395" t="s">
        <v>244</v>
      </c>
      <c r="BD1395" t="s">
        <v>4018</v>
      </c>
      <c r="BE1395" t="s">
        <v>4016</v>
      </c>
      <c r="BF1395" t="s">
        <v>86</v>
      </c>
      <c r="BG1395" t="s">
        <v>110</v>
      </c>
      <c r="BH1395" t="str">
        <f>IF(COUNTIF(工作表1!A:A, $C1395)&gt;0, "預購款", "非預購款")</f>
        <v>非預購款</v>
      </c>
    </row>
    <row r="1396" spans="1:60" x14ac:dyDescent="0.25">
      <c r="A1396" t="s">
        <v>1694</v>
      </c>
      <c r="B1396" t="s">
        <v>776</v>
      </c>
      <c r="C1396" t="s">
        <v>1695</v>
      </c>
      <c r="D1396" t="s">
        <v>1696</v>
      </c>
      <c r="E1396" t="s">
        <v>1697</v>
      </c>
      <c r="F1396" t="s">
        <v>196</v>
      </c>
      <c r="G1396" t="s">
        <v>1698</v>
      </c>
      <c r="H1396" t="s">
        <v>119</v>
      </c>
      <c r="I1396" t="s">
        <v>171</v>
      </c>
      <c r="J1396" t="s">
        <v>172</v>
      </c>
      <c r="K1396" t="s">
        <v>80</v>
      </c>
      <c r="L1396" t="s">
        <v>1699</v>
      </c>
      <c r="M1396" t="s">
        <v>71</v>
      </c>
      <c r="N1396" t="s">
        <v>100</v>
      </c>
      <c r="O1396" t="s">
        <v>1648</v>
      </c>
      <c r="P1396" t="s">
        <v>1649</v>
      </c>
      <c r="R1396" t="s">
        <v>1650</v>
      </c>
      <c r="S1396" t="s">
        <v>201</v>
      </c>
      <c r="T1396" t="s">
        <v>291</v>
      </c>
      <c r="U1396" t="s">
        <v>77</v>
      </c>
      <c r="V1396" t="s">
        <v>1700</v>
      </c>
      <c r="W1396">
        <v>890</v>
      </c>
      <c r="X1396">
        <v>39.99</v>
      </c>
      <c r="Y1396">
        <v>115</v>
      </c>
      <c r="Z1396">
        <v>639000</v>
      </c>
      <c r="AA1396">
        <v>249200</v>
      </c>
      <c r="AB1396">
        <v>250</v>
      </c>
      <c r="AD1396" t="s">
        <v>238</v>
      </c>
      <c r="AE1396">
        <v>2</v>
      </c>
      <c r="AF1396">
        <v>0</v>
      </c>
      <c r="AI1396">
        <v>15</v>
      </c>
      <c r="AJ1396">
        <v>60</v>
      </c>
      <c r="AK1396">
        <v>75</v>
      </c>
      <c r="AL1396">
        <v>280</v>
      </c>
      <c r="AM1396">
        <v>0</v>
      </c>
      <c r="AN1396">
        <v>0</v>
      </c>
      <c r="AO1396">
        <v>0</v>
      </c>
      <c r="AP1396" t="s">
        <v>69</v>
      </c>
      <c r="AT1396" t="s">
        <v>86</v>
      </c>
      <c r="AU1396" t="s">
        <v>86</v>
      </c>
      <c r="AV1396" t="s">
        <v>1701</v>
      </c>
      <c r="AW1396" t="s">
        <v>69</v>
      </c>
      <c r="AX1396" t="s">
        <v>126</v>
      </c>
      <c r="AY1396" t="s">
        <v>1686</v>
      </c>
      <c r="AZ1396" t="s">
        <v>310</v>
      </c>
      <c r="BA1396" t="s">
        <v>245</v>
      </c>
      <c r="BB1396" t="s">
        <v>244</v>
      </c>
      <c r="BC1396" t="s">
        <v>264</v>
      </c>
      <c r="BD1396" t="s">
        <v>1706</v>
      </c>
      <c r="BE1396" t="s">
        <v>4019</v>
      </c>
      <c r="BF1396" t="s">
        <v>291</v>
      </c>
      <c r="BG1396" t="s">
        <v>150</v>
      </c>
      <c r="BH1396" t="str">
        <f>IF(COUNTIF(工作表1!A:A, $C1396)&gt;0, "預購款", "非預購款")</f>
        <v>非預購款</v>
      </c>
    </row>
    <row r="1397" spans="1:60" x14ac:dyDescent="0.25">
      <c r="A1397" t="s">
        <v>1694</v>
      </c>
      <c r="B1397" t="s">
        <v>776</v>
      </c>
      <c r="C1397" t="s">
        <v>1695</v>
      </c>
      <c r="D1397" t="s">
        <v>1696</v>
      </c>
      <c r="E1397" t="s">
        <v>1697</v>
      </c>
      <c r="F1397" t="s">
        <v>196</v>
      </c>
      <c r="G1397" t="s">
        <v>1698</v>
      </c>
      <c r="H1397" t="s">
        <v>130</v>
      </c>
      <c r="I1397" t="s">
        <v>171</v>
      </c>
      <c r="J1397" t="s">
        <v>172</v>
      </c>
      <c r="K1397" t="s">
        <v>80</v>
      </c>
      <c r="L1397" t="s">
        <v>1699</v>
      </c>
      <c r="M1397" t="s">
        <v>71</v>
      </c>
      <c r="N1397" t="s">
        <v>100</v>
      </c>
      <c r="O1397" t="s">
        <v>1648</v>
      </c>
      <c r="P1397" t="s">
        <v>1649</v>
      </c>
      <c r="R1397" t="s">
        <v>1650</v>
      </c>
      <c r="S1397" t="s">
        <v>201</v>
      </c>
      <c r="T1397" t="s">
        <v>291</v>
      </c>
      <c r="U1397" t="s">
        <v>77</v>
      </c>
      <c r="V1397" t="s">
        <v>1700</v>
      </c>
      <c r="W1397">
        <v>890</v>
      </c>
      <c r="X1397">
        <v>39.99</v>
      </c>
      <c r="Y1397">
        <v>115</v>
      </c>
      <c r="Z1397">
        <v>639000</v>
      </c>
      <c r="AA1397">
        <v>249200</v>
      </c>
      <c r="AB1397">
        <v>250</v>
      </c>
      <c r="AD1397" t="s">
        <v>238</v>
      </c>
      <c r="AE1397">
        <v>2</v>
      </c>
      <c r="AF1397">
        <v>0</v>
      </c>
      <c r="AI1397">
        <v>0</v>
      </c>
      <c r="AJ1397">
        <v>40</v>
      </c>
      <c r="AK1397">
        <v>40</v>
      </c>
      <c r="AL1397">
        <v>280</v>
      </c>
      <c r="AM1397">
        <v>0</v>
      </c>
      <c r="AN1397">
        <v>0</v>
      </c>
      <c r="AO1397">
        <v>0</v>
      </c>
      <c r="AP1397" t="s">
        <v>69</v>
      </c>
      <c r="AT1397" t="s">
        <v>86</v>
      </c>
      <c r="AU1397" t="s">
        <v>86</v>
      </c>
      <c r="AV1397" t="s">
        <v>1701</v>
      </c>
      <c r="AW1397" t="s">
        <v>69</v>
      </c>
      <c r="AX1397" t="s">
        <v>126</v>
      </c>
      <c r="AY1397" t="s">
        <v>1686</v>
      </c>
      <c r="AZ1397" t="s">
        <v>310</v>
      </c>
      <c r="BA1397" t="s">
        <v>245</v>
      </c>
      <c r="BB1397" t="s">
        <v>244</v>
      </c>
      <c r="BC1397" t="s">
        <v>264</v>
      </c>
      <c r="BD1397" t="s">
        <v>1707</v>
      </c>
      <c r="BE1397" t="s">
        <v>4019</v>
      </c>
      <c r="BF1397" t="s">
        <v>291</v>
      </c>
      <c r="BG1397" t="s">
        <v>150</v>
      </c>
      <c r="BH1397" t="str">
        <f>IF(COUNTIF(工作表1!A:A, $C1397)&gt;0, "預購款", "非預購款")</f>
        <v>非預購款</v>
      </c>
    </row>
    <row r="1398" spans="1:60" x14ac:dyDescent="0.25">
      <c r="A1398" t="s">
        <v>1694</v>
      </c>
      <c r="B1398" t="s">
        <v>776</v>
      </c>
      <c r="C1398" t="s">
        <v>1695</v>
      </c>
      <c r="D1398" t="s">
        <v>1696</v>
      </c>
      <c r="E1398" t="s">
        <v>1697</v>
      </c>
      <c r="F1398" t="s">
        <v>196</v>
      </c>
      <c r="G1398" t="s">
        <v>1698</v>
      </c>
      <c r="H1398" t="s">
        <v>132</v>
      </c>
      <c r="I1398" t="s">
        <v>171</v>
      </c>
      <c r="J1398" t="s">
        <v>172</v>
      </c>
      <c r="K1398" t="s">
        <v>80</v>
      </c>
      <c r="L1398" t="s">
        <v>1699</v>
      </c>
      <c r="M1398" t="s">
        <v>71</v>
      </c>
      <c r="N1398" t="s">
        <v>100</v>
      </c>
      <c r="O1398" t="s">
        <v>1648</v>
      </c>
      <c r="P1398" t="s">
        <v>1649</v>
      </c>
      <c r="R1398" t="s">
        <v>1650</v>
      </c>
      <c r="S1398" t="s">
        <v>201</v>
      </c>
      <c r="T1398" t="s">
        <v>291</v>
      </c>
      <c r="U1398" t="s">
        <v>77</v>
      </c>
      <c r="V1398" t="s">
        <v>1700</v>
      </c>
      <c r="W1398">
        <v>890</v>
      </c>
      <c r="X1398">
        <v>39.99</v>
      </c>
      <c r="Y1398">
        <v>115</v>
      </c>
      <c r="Z1398">
        <v>639000</v>
      </c>
      <c r="AA1398">
        <v>249200</v>
      </c>
      <c r="AB1398">
        <v>250</v>
      </c>
      <c r="AD1398" t="s">
        <v>238</v>
      </c>
      <c r="AE1398">
        <v>2</v>
      </c>
      <c r="AF1398">
        <v>0</v>
      </c>
      <c r="AI1398">
        <v>0</v>
      </c>
      <c r="AJ1398">
        <v>35</v>
      </c>
      <c r="AK1398">
        <v>35</v>
      </c>
      <c r="AL1398">
        <v>280</v>
      </c>
      <c r="AM1398">
        <v>0</v>
      </c>
      <c r="AN1398">
        <v>0</v>
      </c>
      <c r="AO1398">
        <v>0</v>
      </c>
      <c r="AP1398" t="s">
        <v>69</v>
      </c>
      <c r="AT1398" t="s">
        <v>86</v>
      </c>
      <c r="AU1398" t="s">
        <v>86</v>
      </c>
      <c r="AV1398" t="s">
        <v>1701</v>
      </c>
      <c r="AW1398" t="s">
        <v>69</v>
      </c>
      <c r="AX1398" t="s">
        <v>126</v>
      </c>
      <c r="AY1398" t="s">
        <v>1686</v>
      </c>
      <c r="AZ1398" t="s">
        <v>310</v>
      </c>
      <c r="BA1398" t="s">
        <v>245</v>
      </c>
      <c r="BB1398" t="s">
        <v>244</v>
      </c>
      <c r="BC1398" t="s">
        <v>264</v>
      </c>
      <c r="BD1398" t="s">
        <v>1708</v>
      </c>
      <c r="BE1398" t="s">
        <v>4019</v>
      </c>
      <c r="BF1398" t="s">
        <v>291</v>
      </c>
      <c r="BG1398" t="s">
        <v>150</v>
      </c>
      <c r="BH1398" t="str">
        <f>IF(COUNTIF(工作表1!A:A, $C1398)&gt;0, "預購款", "非預購款")</f>
        <v>非預購款</v>
      </c>
    </row>
    <row r="1399" spans="1:60" x14ac:dyDescent="0.25">
      <c r="A1399" t="s">
        <v>4020</v>
      </c>
      <c r="B1399" t="s">
        <v>776</v>
      </c>
      <c r="C1399" t="s">
        <v>4021</v>
      </c>
      <c r="D1399" t="s">
        <v>4022</v>
      </c>
      <c r="E1399" t="s">
        <v>4023</v>
      </c>
      <c r="F1399" t="s">
        <v>196</v>
      </c>
      <c r="G1399" t="s">
        <v>4024</v>
      </c>
      <c r="H1399" t="s">
        <v>119</v>
      </c>
      <c r="I1399" t="s">
        <v>97</v>
      </c>
      <c r="J1399" t="s">
        <v>98</v>
      </c>
      <c r="K1399" t="s">
        <v>69</v>
      </c>
      <c r="L1399" t="s">
        <v>4025</v>
      </c>
      <c r="M1399" t="s">
        <v>71</v>
      </c>
      <c r="N1399" t="s">
        <v>198</v>
      </c>
      <c r="O1399" t="s">
        <v>1307</v>
      </c>
      <c r="P1399" t="s">
        <v>1308</v>
      </c>
      <c r="R1399" t="s">
        <v>1309</v>
      </c>
      <c r="S1399" t="s">
        <v>201</v>
      </c>
      <c r="T1399" t="s">
        <v>76</v>
      </c>
      <c r="U1399" t="s">
        <v>123</v>
      </c>
      <c r="V1399" t="s">
        <v>321</v>
      </c>
      <c r="W1399">
        <v>690</v>
      </c>
      <c r="X1399">
        <v>29.99</v>
      </c>
      <c r="Y1399">
        <v>89</v>
      </c>
      <c r="Z1399">
        <v>499000</v>
      </c>
      <c r="AA1399">
        <v>231150</v>
      </c>
      <c r="AB1399">
        <v>184</v>
      </c>
      <c r="AD1399" t="s">
        <v>238</v>
      </c>
      <c r="AE1399">
        <v>1</v>
      </c>
      <c r="AF1399">
        <v>25</v>
      </c>
      <c r="AI1399">
        <v>70</v>
      </c>
      <c r="AJ1399">
        <v>130</v>
      </c>
      <c r="AK1399">
        <v>225</v>
      </c>
      <c r="AL1399">
        <v>335</v>
      </c>
      <c r="AM1399">
        <v>230</v>
      </c>
      <c r="AN1399">
        <v>0</v>
      </c>
      <c r="AO1399">
        <v>230</v>
      </c>
      <c r="AP1399" t="s">
        <v>69</v>
      </c>
      <c r="AR1399" t="s">
        <v>240</v>
      </c>
      <c r="AS1399" t="s">
        <v>240</v>
      </c>
      <c r="AT1399" t="s">
        <v>240</v>
      </c>
      <c r="AU1399" t="s">
        <v>240</v>
      </c>
      <c r="AV1399" t="s">
        <v>4026</v>
      </c>
      <c r="AW1399" t="s">
        <v>69</v>
      </c>
      <c r="AX1399" t="s">
        <v>126</v>
      </c>
      <c r="AY1399" t="s">
        <v>4027</v>
      </c>
      <c r="AZ1399" t="s">
        <v>264</v>
      </c>
      <c r="BA1399" t="s">
        <v>244</v>
      </c>
      <c r="BB1399" t="s">
        <v>244</v>
      </c>
      <c r="BC1399" t="s">
        <v>244</v>
      </c>
      <c r="BD1399" t="s">
        <v>4028</v>
      </c>
      <c r="BE1399" t="s">
        <v>4029</v>
      </c>
      <c r="BF1399" t="s">
        <v>86</v>
      </c>
      <c r="BG1399" t="s">
        <v>110</v>
      </c>
      <c r="BH1399" t="str">
        <f>IF(COUNTIF(工作表1!A:A, $C1399)&gt;0, "預購款", "非預購款")</f>
        <v>非預購款</v>
      </c>
    </row>
    <row r="1400" spans="1:60" x14ac:dyDescent="0.25">
      <c r="A1400" t="s">
        <v>4020</v>
      </c>
      <c r="B1400" t="s">
        <v>776</v>
      </c>
      <c r="C1400" t="s">
        <v>4021</v>
      </c>
      <c r="D1400" t="s">
        <v>4022</v>
      </c>
      <c r="E1400" t="s">
        <v>4023</v>
      </c>
      <c r="F1400" t="s">
        <v>196</v>
      </c>
      <c r="G1400" t="s">
        <v>4024</v>
      </c>
      <c r="H1400" t="s">
        <v>130</v>
      </c>
      <c r="I1400" t="s">
        <v>97</v>
      </c>
      <c r="J1400" t="s">
        <v>98</v>
      </c>
      <c r="K1400" t="s">
        <v>69</v>
      </c>
      <c r="L1400" t="s">
        <v>4025</v>
      </c>
      <c r="M1400" t="s">
        <v>71</v>
      </c>
      <c r="N1400" t="s">
        <v>198</v>
      </c>
      <c r="O1400" t="s">
        <v>1307</v>
      </c>
      <c r="P1400" t="s">
        <v>1308</v>
      </c>
      <c r="R1400" t="s">
        <v>1309</v>
      </c>
      <c r="S1400" t="s">
        <v>201</v>
      </c>
      <c r="T1400" t="s">
        <v>76</v>
      </c>
      <c r="U1400" t="s">
        <v>123</v>
      </c>
      <c r="V1400" t="s">
        <v>321</v>
      </c>
      <c r="W1400">
        <v>690</v>
      </c>
      <c r="X1400">
        <v>29.99</v>
      </c>
      <c r="Y1400">
        <v>89</v>
      </c>
      <c r="Z1400">
        <v>499000</v>
      </c>
      <c r="AA1400">
        <v>231150</v>
      </c>
      <c r="AB1400">
        <v>184</v>
      </c>
      <c r="AD1400" t="s">
        <v>238</v>
      </c>
      <c r="AE1400">
        <v>1</v>
      </c>
      <c r="AF1400">
        <v>10</v>
      </c>
      <c r="AI1400">
        <v>40</v>
      </c>
      <c r="AJ1400">
        <v>50</v>
      </c>
      <c r="AK1400">
        <v>100</v>
      </c>
      <c r="AL1400">
        <v>335</v>
      </c>
      <c r="AM1400">
        <v>106</v>
      </c>
      <c r="AN1400">
        <v>0</v>
      </c>
      <c r="AO1400">
        <v>106</v>
      </c>
      <c r="AP1400" t="s">
        <v>69</v>
      </c>
      <c r="AR1400" t="s">
        <v>240</v>
      </c>
      <c r="AS1400" t="s">
        <v>240</v>
      </c>
      <c r="AT1400" t="s">
        <v>240</v>
      </c>
      <c r="AU1400" t="s">
        <v>240</v>
      </c>
      <c r="AV1400" t="s">
        <v>4026</v>
      </c>
      <c r="AW1400" t="s">
        <v>69</v>
      </c>
      <c r="AX1400" t="s">
        <v>126</v>
      </c>
      <c r="AY1400" t="s">
        <v>4027</v>
      </c>
      <c r="AZ1400" t="s">
        <v>264</v>
      </c>
      <c r="BA1400" t="s">
        <v>244</v>
      </c>
      <c r="BB1400" t="s">
        <v>244</v>
      </c>
      <c r="BC1400" t="s">
        <v>244</v>
      </c>
      <c r="BD1400" t="s">
        <v>4030</v>
      </c>
      <c r="BE1400" t="s">
        <v>4029</v>
      </c>
      <c r="BF1400" t="s">
        <v>86</v>
      </c>
      <c r="BG1400" t="s">
        <v>110</v>
      </c>
      <c r="BH1400" t="str">
        <f>IF(COUNTIF(工作表1!A:A, $C1400)&gt;0, "預購款", "非預購款")</f>
        <v>非預購款</v>
      </c>
    </row>
    <row r="1401" spans="1:60" x14ac:dyDescent="0.25">
      <c r="A1401" t="s">
        <v>1540</v>
      </c>
      <c r="B1401" t="s">
        <v>226</v>
      </c>
      <c r="C1401" t="s">
        <v>1541</v>
      </c>
      <c r="D1401" t="s">
        <v>1542</v>
      </c>
      <c r="E1401" t="s">
        <v>1543</v>
      </c>
      <c r="F1401" t="s">
        <v>196</v>
      </c>
      <c r="G1401" t="s">
        <v>1544</v>
      </c>
      <c r="H1401" t="s">
        <v>119</v>
      </c>
      <c r="I1401" t="s">
        <v>1552</v>
      </c>
      <c r="J1401" t="s">
        <v>1553</v>
      </c>
      <c r="K1401" t="s">
        <v>69</v>
      </c>
      <c r="L1401" t="s">
        <v>1545</v>
      </c>
      <c r="M1401" t="s">
        <v>71</v>
      </c>
      <c r="N1401" t="s">
        <v>100</v>
      </c>
      <c r="O1401" t="s">
        <v>1391</v>
      </c>
      <c r="P1401" t="s">
        <v>1392</v>
      </c>
      <c r="R1401" t="s">
        <v>1393</v>
      </c>
      <c r="S1401" t="s">
        <v>201</v>
      </c>
      <c r="T1401" t="s">
        <v>291</v>
      </c>
      <c r="U1401" t="s">
        <v>383</v>
      </c>
      <c r="V1401" t="s">
        <v>384</v>
      </c>
      <c r="W1401">
        <v>1080</v>
      </c>
      <c r="X1401">
        <v>44.99</v>
      </c>
      <c r="Y1401">
        <v>139</v>
      </c>
      <c r="Z1401">
        <v>779000</v>
      </c>
      <c r="AA1401">
        <v>167400</v>
      </c>
      <c r="AB1401">
        <v>570</v>
      </c>
      <c r="AD1401" t="s">
        <v>238</v>
      </c>
      <c r="AE1401">
        <v>1</v>
      </c>
      <c r="AF1401">
        <v>0</v>
      </c>
      <c r="AI1401">
        <v>0</v>
      </c>
      <c r="AJ1401">
        <v>65</v>
      </c>
      <c r="AK1401">
        <v>65</v>
      </c>
      <c r="AL1401">
        <v>155</v>
      </c>
      <c r="AM1401">
        <v>72</v>
      </c>
      <c r="AN1401">
        <v>0</v>
      </c>
      <c r="AO1401">
        <v>72</v>
      </c>
      <c r="AP1401" t="s">
        <v>69</v>
      </c>
      <c r="AT1401" t="s">
        <v>86</v>
      </c>
      <c r="AU1401" t="s">
        <v>86</v>
      </c>
      <c r="AV1401" t="s">
        <v>1546</v>
      </c>
      <c r="AW1401" t="s">
        <v>69</v>
      </c>
      <c r="AX1401" t="s">
        <v>126</v>
      </c>
      <c r="AY1401" t="s">
        <v>1547</v>
      </c>
      <c r="AZ1401" t="s">
        <v>264</v>
      </c>
      <c r="BA1401" t="s">
        <v>245</v>
      </c>
      <c r="BB1401" t="s">
        <v>243</v>
      </c>
      <c r="BC1401" t="s">
        <v>245</v>
      </c>
      <c r="BD1401" t="s">
        <v>1554</v>
      </c>
      <c r="BE1401" t="s">
        <v>4031</v>
      </c>
      <c r="BF1401" t="s">
        <v>291</v>
      </c>
      <c r="BG1401" t="s">
        <v>110</v>
      </c>
      <c r="BH1401" t="str">
        <f>IF(COUNTIF(工作表1!A:A, $C1401)&gt;0, "預購款", "非預購款")</f>
        <v>非預購款</v>
      </c>
    </row>
    <row r="1402" spans="1:60" x14ac:dyDescent="0.25">
      <c r="A1402" t="s">
        <v>1540</v>
      </c>
      <c r="B1402" t="s">
        <v>226</v>
      </c>
      <c r="C1402" t="s">
        <v>1541</v>
      </c>
      <c r="D1402" t="s">
        <v>1542</v>
      </c>
      <c r="E1402" t="s">
        <v>1543</v>
      </c>
      <c r="F1402" t="s">
        <v>196</v>
      </c>
      <c r="G1402" t="s">
        <v>1544</v>
      </c>
      <c r="H1402" t="s">
        <v>130</v>
      </c>
      <c r="I1402" t="s">
        <v>1552</v>
      </c>
      <c r="J1402" t="s">
        <v>1553</v>
      </c>
      <c r="K1402" t="s">
        <v>69</v>
      </c>
      <c r="L1402" t="s">
        <v>1545</v>
      </c>
      <c r="M1402" t="s">
        <v>71</v>
      </c>
      <c r="N1402" t="s">
        <v>100</v>
      </c>
      <c r="O1402" t="s">
        <v>1391</v>
      </c>
      <c r="P1402" t="s">
        <v>1392</v>
      </c>
      <c r="R1402" t="s">
        <v>1393</v>
      </c>
      <c r="S1402" t="s">
        <v>201</v>
      </c>
      <c r="T1402" t="s">
        <v>291</v>
      </c>
      <c r="U1402" t="s">
        <v>383</v>
      </c>
      <c r="V1402" t="s">
        <v>384</v>
      </c>
      <c r="W1402">
        <v>1080</v>
      </c>
      <c r="X1402">
        <v>44.99</v>
      </c>
      <c r="Y1402">
        <v>139</v>
      </c>
      <c r="Z1402">
        <v>779000</v>
      </c>
      <c r="AA1402">
        <v>167400</v>
      </c>
      <c r="AB1402">
        <v>570</v>
      </c>
      <c r="AD1402" t="s">
        <v>238</v>
      </c>
      <c r="AE1402">
        <v>1</v>
      </c>
      <c r="AF1402">
        <v>0</v>
      </c>
      <c r="AI1402">
        <v>0</v>
      </c>
      <c r="AJ1402">
        <v>75</v>
      </c>
      <c r="AK1402">
        <v>75</v>
      </c>
      <c r="AL1402">
        <v>155</v>
      </c>
      <c r="AM1402">
        <v>76</v>
      </c>
      <c r="AN1402">
        <v>0</v>
      </c>
      <c r="AO1402">
        <v>76</v>
      </c>
      <c r="AP1402" t="s">
        <v>69</v>
      </c>
      <c r="AT1402" t="s">
        <v>86</v>
      </c>
      <c r="AU1402" t="s">
        <v>86</v>
      </c>
      <c r="AV1402" t="s">
        <v>1546</v>
      </c>
      <c r="AW1402" t="s">
        <v>69</v>
      </c>
      <c r="AX1402" t="s">
        <v>126</v>
      </c>
      <c r="AY1402" t="s">
        <v>1547</v>
      </c>
      <c r="AZ1402" t="s">
        <v>264</v>
      </c>
      <c r="BA1402" t="s">
        <v>245</v>
      </c>
      <c r="BB1402" t="s">
        <v>243</v>
      </c>
      <c r="BC1402" t="s">
        <v>245</v>
      </c>
      <c r="BD1402" t="s">
        <v>1555</v>
      </c>
      <c r="BE1402" t="s">
        <v>4031</v>
      </c>
      <c r="BF1402" t="s">
        <v>291</v>
      </c>
      <c r="BG1402" t="s">
        <v>110</v>
      </c>
      <c r="BH1402" t="str">
        <f>IF(COUNTIF(工作表1!A:A, $C1402)&gt;0, "預購款", "非預購款")</f>
        <v>非預購款</v>
      </c>
    </row>
    <row r="1403" spans="1:60" x14ac:dyDescent="0.25">
      <c r="A1403" t="s">
        <v>1540</v>
      </c>
      <c r="B1403" t="s">
        <v>226</v>
      </c>
      <c r="C1403" t="s">
        <v>1541</v>
      </c>
      <c r="D1403" t="s">
        <v>1542</v>
      </c>
      <c r="E1403" t="s">
        <v>1543</v>
      </c>
      <c r="F1403" t="s">
        <v>196</v>
      </c>
      <c r="G1403" t="s">
        <v>1544</v>
      </c>
      <c r="H1403" t="s">
        <v>132</v>
      </c>
      <c r="I1403" t="s">
        <v>1552</v>
      </c>
      <c r="J1403" t="s">
        <v>1553</v>
      </c>
      <c r="K1403" t="s">
        <v>69</v>
      </c>
      <c r="L1403" t="s">
        <v>1545</v>
      </c>
      <c r="M1403" t="s">
        <v>71</v>
      </c>
      <c r="N1403" t="s">
        <v>100</v>
      </c>
      <c r="O1403" t="s">
        <v>1391</v>
      </c>
      <c r="P1403" t="s">
        <v>1392</v>
      </c>
      <c r="R1403" t="s">
        <v>1393</v>
      </c>
      <c r="S1403" t="s">
        <v>201</v>
      </c>
      <c r="T1403" t="s">
        <v>291</v>
      </c>
      <c r="U1403" t="s">
        <v>383</v>
      </c>
      <c r="V1403" t="s">
        <v>384</v>
      </c>
      <c r="W1403">
        <v>1080</v>
      </c>
      <c r="X1403">
        <v>44.99</v>
      </c>
      <c r="Y1403">
        <v>139</v>
      </c>
      <c r="Z1403">
        <v>779000</v>
      </c>
      <c r="AA1403">
        <v>167400</v>
      </c>
      <c r="AB1403">
        <v>570</v>
      </c>
      <c r="AD1403" t="s">
        <v>238</v>
      </c>
      <c r="AE1403">
        <v>1</v>
      </c>
      <c r="AF1403">
        <v>0</v>
      </c>
      <c r="AI1403">
        <v>0</v>
      </c>
      <c r="AJ1403">
        <v>15</v>
      </c>
      <c r="AK1403">
        <v>15</v>
      </c>
      <c r="AL1403">
        <v>155</v>
      </c>
      <c r="AM1403">
        <v>23</v>
      </c>
      <c r="AN1403">
        <v>0</v>
      </c>
      <c r="AO1403">
        <v>23</v>
      </c>
      <c r="AP1403" t="s">
        <v>69</v>
      </c>
      <c r="AT1403" t="s">
        <v>86</v>
      </c>
      <c r="AU1403" t="s">
        <v>86</v>
      </c>
      <c r="AV1403" t="s">
        <v>1546</v>
      </c>
      <c r="AW1403" t="s">
        <v>69</v>
      </c>
      <c r="AX1403" t="s">
        <v>126</v>
      </c>
      <c r="AY1403" t="s">
        <v>1547</v>
      </c>
      <c r="AZ1403" t="s">
        <v>264</v>
      </c>
      <c r="BA1403" t="s">
        <v>245</v>
      </c>
      <c r="BB1403" t="s">
        <v>243</v>
      </c>
      <c r="BC1403" t="s">
        <v>245</v>
      </c>
      <c r="BD1403" t="s">
        <v>1556</v>
      </c>
      <c r="BE1403" t="s">
        <v>4031</v>
      </c>
      <c r="BF1403" t="s">
        <v>291</v>
      </c>
      <c r="BG1403" t="s">
        <v>110</v>
      </c>
      <c r="BH1403" t="str">
        <f>IF(COUNTIF(工作表1!A:A, $C1403)&gt;0, "預購款", "非預購款")</f>
        <v>非預購款</v>
      </c>
    </row>
    <row r="1404" spans="1:60" x14ac:dyDescent="0.25">
      <c r="A1404" t="s">
        <v>3814</v>
      </c>
      <c r="B1404" t="s">
        <v>226</v>
      </c>
      <c r="C1404" t="s">
        <v>3815</v>
      </c>
      <c r="D1404" t="s">
        <v>3816</v>
      </c>
      <c r="E1404" t="s">
        <v>3817</v>
      </c>
      <c r="F1404" t="s">
        <v>196</v>
      </c>
      <c r="G1404" t="s">
        <v>3818</v>
      </c>
      <c r="H1404" t="s">
        <v>119</v>
      </c>
      <c r="I1404" t="s">
        <v>97</v>
      </c>
      <c r="J1404" t="s">
        <v>98</v>
      </c>
      <c r="K1404" t="s">
        <v>69</v>
      </c>
      <c r="L1404" t="s">
        <v>3819</v>
      </c>
      <c r="M1404" t="s">
        <v>71</v>
      </c>
      <c r="N1404" t="s">
        <v>198</v>
      </c>
      <c r="O1404" t="s">
        <v>1307</v>
      </c>
      <c r="P1404" t="s">
        <v>1308</v>
      </c>
      <c r="R1404" t="s">
        <v>1309</v>
      </c>
      <c r="S1404" t="s">
        <v>201</v>
      </c>
      <c r="T1404" t="s">
        <v>291</v>
      </c>
      <c r="U1404" t="s">
        <v>104</v>
      </c>
      <c r="V1404" t="s">
        <v>1519</v>
      </c>
      <c r="W1404">
        <v>299</v>
      </c>
      <c r="X1404">
        <v>12.99</v>
      </c>
      <c r="Y1404">
        <v>39</v>
      </c>
      <c r="Z1404">
        <v>209000</v>
      </c>
      <c r="AA1404">
        <v>189865</v>
      </c>
      <c r="AB1404">
        <v>118</v>
      </c>
      <c r="AD1404" t="s">
        <v>238</v>
      </c>
      <c r="AE1404">
        <v>3</v>
      </c>
      <c r="AF1404">
        <v>0</v>
      </c>
      <c r="AI1404">
        <v>30</v>
      </c>
      <c r="AJ1404">
        <v>50</v>
      </c>
      <c r="AK1404">
        <v>80</v>
      </c>
      <c r="AL1404">
        <v>635</v>
      </c>
      <c r="AM1404">
        <v>0</v>
      </c>
      <c r="AN1404">
        <v>0</v>
      </c>
      <c r="AO1404">
        <v>0</v>
      </c>
      <c r="AP1404" t="s">
        <v>69</v>
      </c>
      <c r="AT1404" t="s">
        <v>86</v>
      </c>
      <c r="AU1404" t="s">
        <v>86</v>
      </c>
      <c r="AV1404" t="s">
        <v>3190</v>
      </c>
      <c r="AW1404" t="s">
        <v>69</v>
      </c>
      <c r="AX1404" t="s">
        <v>126</v>
      </c>
      <c r="AY1404" t="s">
        <v>3820</v>
      </c>
      <c r="AZ1404" t="s">
        <v>243</v>
      </c>
      <c r="BA1404" t="s">
        <v>245</v>
      </c>
      <c r="BB1404" t="s">
        <v>264</v>
      </c>
      <c r="BC1404" t="s">
        <v>264</v>
      </c>
      <c r="BD1404" t="s">
        <v>4058</v>
      </c>
      <c r="BE1404" t="s">
        <v>4059</v>
      </c>
      <c r="BF1404" t="s">
        <v>291</v>
      </c>
      <c r="BG1404" t="s">
        <v>150</v>
      </c>
      <c r="BH1404" t="str">
        <f>IF(COUNTIF(工作表1!A:A, $C1404)&gt;0, "預購款", "非預購款")</f>
        <v>非預購款</v>
      </c>
    </row>
    <row r="1405" spans="1:60" x14ac:dyDescent="0.25">
      <c r="A1405" t="s">
        <v>3814</v>
      </c>
      <c r="B1405" t="s">
        <v>226</v>
      </c>
      <c r="C1405" t="s">
        <v>3815</v>
      </c>
      <c r="D1405" t="s">
        <v>3816</v>
      </c>
      <c r="E1405" t="s">
        <v>3817</v>
      </c>
      <c r="F1405" t="s">
        <v>196</v>
      </c>
      <c r="G1405" t="s">
        <v>3818</v>
      </c>
      <c r="H1405" t="s">
        <v>130</v>
      </c>
      <c r="I1405" t="s">
        <v>97</v>
      </c>
      <c r="J1405" t="s">
        <v>98</v>
      </c>
      <c r="K1405" t="s">
        <v>69</v>
      </c>
      <c r="L1405" t="s">
        <v>3819</v>
      </c>
      <c r="M1405" t="s">
        <v>71</v>
      </c>
      <c r="N1405" t="s">
        <v>198</v>
      </c>
      <c r="O1405" t="s">
        <v>1307</v>
      </c>
      <c r="P1405" t="s">
        <v>1308</v>
      </c>
      <c r="R1405" t="s">
        <v>1309</v>
      </c>
      <c r="S1405" t="s">
        <v>201</v>
      </c>
      <c r="T1405" t="s">
        <v>291</v>
      </c>
      <c r="U1405" t="s">
        <v>104</v>
      </c>
      <c r="V1405" t="s">
        <v>1519</v>
      </c>
      <c r="W1405">
        <v>299</v>
      </c>
      <c r="X1405">
        <v>12.99</v>
      </c>
      <c r="Y1405">
        <v>39</v>
      </c>
      <c r="Z1405">
        <v>209000</v>
      </c>
      <c r="AA1405">
        <v>189865</v>
      </c>
      <c r="AB1405">
        <v>118</v>
      </c>
      <c r="AD1405" t="s">
        <v>238</v>
      </c>
      <c r="AE1405">
        <v>3</v>
      </c>
      <c r="AF1405">
        <v>0</v>
      </c>
      <c r="AI1405">
        <v>25</v>
      </c>
      <c r="AJ1405">
        <v>65</v>
      </c>
      <c r="AK1405">
        <v>90</v>
      </c>
      <c r="AL1405">
        <v>635</v>
      </c>
      <c r="AM1405">
        <v>0</v>
      </c>
      <c r="AN1405">
        <v>0</v>
      </c>
      <c r="AO1405">
        <v>0</v>
      </c>
      <c r="AP1405" t="s">
        <v>69</v>
      </c>
      <c r="AT1405" t="s">
        <v>86</v>
      </c>
      <c r="AU1405" t="s">
        <v>86</v>
      </c>
      <c r="AV1405" t="s">
        <v>3190</v>
      </c>
      <c r="AW1405" t="s">
        <v>69</v>
      </c>
      <c r="AX1405" t="s">
        <v>126</v>
      </c>
      <c r="AY1405" t="s">
        <v>3820</v>
      </c>
      <c r="AZ1405" t="s">
        <v>243</v>
      </c>
      <c r="BA1405" t="s">
        <v>245</v>
      </c>
      <c r="BB1405" t="s">
        <v>264</v>
      </c>
      <c r="BC1405" t="s">
        <v>264</v>
      </c>
      <c r="BD1405" t="s">
        <v>4060</v>
      </c>
      <c r="BE1405" t="s">
        <v>4059</v>
      </c>
      <c r="BF1405" t="s">
        <v>291</v>
      </c>
      <c r="BG1405" t="s">
        <v>150</v>
      </c>
      <c r="BH1405" t="str">
        <f>IF(COUNTIF(工作表1!A:A, $C1405)&gt;0, "預購款", "非預購款")</f>
        <v>非預購款</v>
      </c>
    </row>
    <row r="1406" spans="1:60" x14ac:dyDescent="0.25">
      <c r="A1406" t="s">
        <v>3814</v>
      </c>
      <c r="B1406" t="s">
        <v>226</v>
      </c>
      <c r="C1406" t="s">
        <v>3815</v>
      </c>
      <c r="D1406" t="s">
        <v>3816</v>
      </c>
      <c r="E1406" t="s">
        <v>3817</v>
      </c>
      <c r="F1406" t="s">
        <v>196</v>
      </c>
      <c r="G1406" t="s">
        <v>3818</v>
      </c>
      <c r="H1406" t="s">
        <v>132</v>
      </c>
      <c r="I1406" t="s">
        <v>97</v>
      </c>
      <c r="J1406" t="s">
        <v>98</v>
      </c>
      <c r="K1406" t="s">
        <v>69</v>
      </c>
      <c r="L1406" t="s">
        <v>3819</v>
      </c>
      <c r="M1406" t="s">
        <v>71</v>
      </c>
      <c r="N1406" t="s">
        <v>198</v>
      </c>
      <c r="O1406" t="s">
        <v>1307</v>
      </c>
      <c r="P1406" t="s">
        <v>1308</v>
      </c>
      <c r="R1406" t="s">
        <v>1309</v>
      </c>
      <c r="S1406" t="s">
        <v>201</v>
      </c>
      <c r="T1406" t="s">
        <v>291</v>
      </c>
      <c r="U1406" t="s">
        <v>104</v>
      </c>
      <c r="V1406" t="s">
        <v>1519</v>
      </c>
      <c r="W1406">
        <v>299</v>
      </c>
      <c r="X1406">
        <v>12.99</v>
      </c>
      <c r="Y1406">
        <v>39</v>
      </c>
      <c r="Z1406">
        <v>209000</v>
      </c>
      <c r="AA1406">
        <v>189865</v>
      </c>
      <c r="AB1406">
        <v>118</v>
      </c>
      <c r="AD1406" t="s">
        <v>238</v>
      </c>
      <c r="AE1406">
        <v>3</v>
      </c>
      <c r="AF1406">
        <v>0</v>
      </c>
      <c r="AI1406">
        <v>15</v>
      </c>
      <c r="AJ1406">
        <v>30</v>
      </c>
      <c r="AK1406">
        <v>45</v>
      </c>
      <c r="AL1406">
        <v>635</v>
      </c>
      <c r="AM1406">
        <v>0</v>
      </c>
      <c r="AN1406">
        <v>0</v>
      </c>
      <c r="AO1406">
        <v>0</v>
      </c>
      <c r="AP1406" t="s">
        <v>69</v>
      </c>
      <c r="AT1406" t="s">
        <v>86</v>
      </c>
      <c r="AU1406" t="s">
        <v>86</v>
      </c>
      <c r="AV1406" t="s">
        <v>3190</v>
      </c>
      <c r="AW1406" t="s">
        <v>69</v>
      </c>
      <c r="AX1406" t="s">
        <v>126</v>
      </c>
      <c r="AY1406" t="s">
        <v>3820</v>
      </c>
      <c r="AZ1406" t="s">
        <v>243</v>
      </c>
      <c r="BA1406" t="s">
        <v>245</v>
      </c>
      <c r="BB1406" t="s">
        <v>264</v>
      </c>
      <c r="BC1406" t="s">
        <v>264</v>
      </c>
      <c r="BD1406" t="s">
        <v>4061</v>
      </c>
      <c r="BE1406" t="s">
        <v>4059</v>
      </c>
      <c r="BF1406" t="s">
        <v>291</v>
      </c>
      <c r="BG1406" t="s">
        <v>150</v>
      </c>
      <c r="BH1406" t="str">
        <f>IF(COUNTIF(工作表1!A:A, $C1406)&gt;0, "預購款", "非預購款")</f>
        <v>非預購款</v>
      </c>
    </row>
    <row r="1407" spans="1:60" x14ac:dyDescent="0.25">
      <c r="A1407" t="s">
        <v>3814</v>
      </c>
      <c r="B1407" t="s">
        <v>226</v>
      </c>
      <c r="C1407" t="s">
        <v>3815</v>
      </c>
      <c r="D1407" t="s">
        <v>3816</v>
      </c>
      <c r="E1407" t="s">
        <v>3817</v>
      </c>
      <c r="F1407" t="s">
        <v>196</v>
      </c>
      <c r="G1407" t="s">
        <v>3818</v>
      </c>
      <c r="H1407" t="s">
        <v>119</v>
      </c>
      <c r="I1407" t="s">
        <v>214</v>
      </c>
      <c r="J1407" t="s">
        <v>215</v>
      </c>
      <c r="K1407" t="s">
        <v>69</v>
      </c>
      <c r="L1407" t="s">
        <v>3819</v>
      </c>
      <c r="M1407" t="s">
        <v>71</v>
      </c>
      <c r="N1407" t="s">
        <v>198</v>
      </c>
      <c r="O1407" t="s">
        <v>1307</v>
      </c>
      <c r="P1407" t="s">
        <v>1308</v>
      </c>
      <c r="R1407" t="s">
        <v>1309</v>
      </c>
      <c r="S1407" t="s">
        <v>201</v>
      </c>
      <c r="T1407" t="s">
        <v>291</v>
      </c>
      <c r="U1407" t="s">
        <v>104</v>
      </c>
      <c r="V1407" t="s">
        <v>1519</v>
      </c>
      <c r="W1407">
        <v>299</v>
      </c>
      <c r="X1407">
        <v>12.99</v>
      </c>
      <c r="Y1407">
        <v>39</v>
      </c>
      <c r="Z1407">
        <v>209000</v>
      </c>
      <c r="AA1407">
        <v>189865</v>
      </c>
      <c r="AB1407">
        <v>118</v>
      </c>
      <c r="AD1407" t="s">
        <v>238</v>
      </c>
      <c r="AE1407">
        <v>3</v>
      </c>
      <c r="AF1407">
        <v>0</v>
      </c>
      <c r="AI1407">
        <v>30</v>
      </c>
      <c r="AJ1407">
        <v>55</v>
      </c>
      <c r="AK1407">
        <v>85</v>
      </c>
      <c r="AL1407">
        <v>635</v>
      </c>
      <c r="AM1407">
        <v>0</v>
      </c>
      <c r="AN1407">
        <v>0</v>
      </c>
      <c r="AO1407">
        <v>0</v>
      </c>
      <c r="AP1407" t="s">
        <v>69</v>
      </c>
      <c r="AT1407" t="s">
        <v>86</v>
      </c>
      <c r="AU1407" t="s">
        <v>86</v>
      </c>
      <c r="AV1407" t="s">
        <v>3190</v>
      </c>
      <c r="AW1407" t="s">
        <v>69</v>
      </c>
      <c r="AX1407" t="s">
        <v>126</v>
      </c>
      <c r="AY1407" t="s">
        <v>3820</v>
      </c>
      <c r="AZ1407" t="s">
        <v>243</v>
      </c>
      <c r="BA1407" t="s">
        <v>245</v>
      </c>
      <c r="BB1407" t="s">
        <v>264</v>
      </c>
      <c r="BC1407" t="s">
        <v>264</v>
      </c>
      <c r="BD1407" t="s">
        <v>4062</v>
      </c>
      <c r="BE1407" t="s">
        <v>4059</v>
      </c>
      <c r="BF1407" t="s">
        <v>291</v>
      </c>
      <c r="BG1407" t="s">
        <v>150</v>
      </c>
      <c r="BH1407" t="str">
        <f>IF(COUNTIF(工作表1!A:A, $C1407)&gt;0, "預購款", "非預購款")</f>
        <v>非預購款</v>
      </c>
    </row>
    <row r="1408" spans="1:60" x14ac:dyDescent="0.25">
      <c r="A1408" t="s">
        <v>3814</v>
      </c>
      <c r="B1408" t="s">
        <v>226</v>
      </c>
      <c r="C1408" t="s">
        <v>3815</v>
      </c>
      <c r="D1408" t="s">
        <v>3816</v>
      </c>
      <c r="E1408" t="s">
        <v>3817</v>
      </c>
      <c r="F1408" t="s">
        <v>196</v>
      </c>
      <c r="G1408" t="s">
        <v>3818</v>
      </c>
      <c r="H1408" t="s">
        <v>130</v>
      </c>
      <c r="I1408" t="s">
        <v>214</v>
      </c>
      <c r="J1408" t="s">
        <v>215</v>
      </c>
      <c r="K1408" t="s">
        <v>69</v>
      </c>
      <c r="L1408" t="s">
        <v>3819</v>
      </c>
      <c r="M1408" t="s">
        <v>71</v>
      </c>
      <c r="N1408" t="s">
        <v>198</v>
      </c>
      <c r="O1408" t="s">
        <v>1307</v>
      </c>
      <c r="P1408" t="s">
        <v>1308</v>
      </c>
      <c r="R1408" t="s">
        <v>1309</v>
      </c>
      <c r="S1408" t="s">
        <v>201</v>
      </c>
      <c r="T1408" t="s">
        <v>291</v>
      </c>
      <c r="U1408" t="s">
        <v>104</v>
      </c>
      <c r="V1408" t="s">
        <v>1519</v>
      </c>
      <c r="W1408">
        <v>299</v>
      </c>
      <c r="X1408">
        <v>12.99</v>
      </c>
      <c r="Y1408">
        <v>39</v>
      </c>
      <c r="Z1408">
        <v>209000</v>
      </c>
      <c r="AA1408">
        <v>189865</v>
      </c>
      <c r="AB1408">
        <v>118</v>
      </c>
      <c r="AD1408" t="s">
        <v>238</v>
      </c>
      <c r="AE1408">
        <v>3</v>
      </c>
      <c r="AF1408">
        <v>0</v>
      </c>
      <c r="AI1408">
        <v>20</v>
      </c>
      <c r="AJ1408">
        <v>60</v>
      </c>
      <c r="AK1408">
        <v>80</v>
      </c>
      <c r="AL1408">
        <v>635</v>
      </c>
      <c r="AM1408">
        <v>0</v>
      </c>
      <c r="AN1408">
        <v>0</v>
      </c>
      <c r="AO1408">
        <v>0</v>
      </c>
      <c r="AP1408" t="s">
        <v>69</v>
      </c>
      <c r="AT1408" t="s">
        <v>86</v>
      </c>
      <c r="AU1408" t="s">
        <v>86</v>
      </c>
      <c r="AV1408" t="s">
        <v>3190</v>
      </c>
      <c r="AW1408" t="s">
        <v>69</v>
      </c>
      <c r="AX1408" t="s">
        <v>126</v>
      </c>
      <c r="AY1408" t="s">
        <v>3820</v>
      </c>
      <c r="AZ1408" t="s">
        <v>243</v>
      </c>
      <c r="BA1408" t="s">
        <v>245</v>
      </c>
      <c r="BB1408" t="s">
        <v>264</v>
      </c>
      <c r="BC1408" t="s">
        <v>264</v>
      </c>
      <c r="BD1408" t="s">
        <v>4063</v>
      </c>
      <c r="BE1408" t="s">
        <v>4059</v>
      </c>
      <c r="BF1408" t="s">
        <v>291</v>
      </c>
      <c r="BG1408" t="s">
        <v>150</v>
      </c>
      <c r="BH1408" t="str">
        <f>IF(COUNTIF(工作表1!A:A, $C1408)&gt;0, "預購款", "非預購款")</f>
        <v>非預購款</v>
      </c>
    </row>
    <row r="1409" spans="1:60" x14ac:dyDescent="0.25">
      <c r="A1409" t="s">
        <v>3814</v>
      </c>
      <c r="B1409" t="s">
        <v>226</v>
      </c>
      <c r="C1409" t="s">
        <v>3815</v>
      </c>
      <c r="D1409" t="s">
        <v>3816</v>
      </c>
      <c r="E1409" t="s">
        <v>3817</v>
      </c>
      <c r="F1409" t="s">
        <v>196</v>
      </c>
      <c r="G1409" t="s">
        <v>3818</v>
      </c>
      <c r="H1409" t="s">
        <v>132</v>
      </c>
      <c r="I1409" t="s">
        <v>214</v>
      </c>
      <c r="J1409" t="s">
        <v>215</v>
      </c>
      <c r="K1409" t="s">
        <v>69</v>
      </c>
      <c r="L1409" t="s">
        <v>3819</v>
      </c>
      <c r="M1409" t="s">
        <v>71</v>
      </c>
      <c r="N1409" t="s">
        <v>198</v>
      </c>
      <c r="O1409" t="s">
        <v>1307</v>
      </c>
      <c r="P1409" t="s">
        <v>1308</v>
      </c>
      <c r="R1409" t="s">
        <v>1309</v>
      </c>
      <c r="S1409" t="s">
        <v>201</v>
      </c>
      <c r="T1409" t="s">
        <v>291</v>
      </c>
      <c r="U1409" t="s">
        <v>104</v>
      </c>
      <c r="V1409" t="s">
        <v>1519</v>
      </c>
      <c r="W1409">
        <v>299</v>
      </c>
      <c r="X1409">
        <v>12.99</v>
      </c>
      <c r="Y1409">
        <v>39</v>
      </c>
      <c r="Z1409">
        <v>209000</v>
      </c>
      <c r="AA1409">
        <v>189865</v>
      </c>
      <c r="AB1409">
        <v>118</v>
      </c>
      <c r="AD1409" t="s">
        <v>238</v>
      </c>
      <c r="AE1409">
        <v>3</v>
      </c>
      <c r="AF1409">
        <v>0</v>
      </c>
      <c r="AI1409">
        <v>15</v>
      </c>
      <c r="AJ1409">
        <v>30</v>
      </c>
      <c r="AK1409">
        <v>45</v>
      </c>
      <c r="AL1409">
        <v>635</v>
      </c>
      <c r="AM1409">
        <v>0</v>
      </c>
      <c r="AN1409">
        <v>0</v>
      </c>
      <c r="AO1409">
        <v>0</v>
      </c>
      <c r="AP1409" t="s">
        <v>69</v>
      </c>
      <c r="AT1409" t="s">
        <v>86</v>
      </c>
      <c r="AU1409" t="s">
        <v>86</v>
      </c>
      <c r="AV1409" t="s">
        <v>3190</v>
      </c>
      <c r="AW1409" t="s">
        <v>69</v>
      </c>
      <c r="AX1409" t="s">
        <v>126</v>
      </c>
      <c r="AY1409" t="s">
        <v>3820</v>
      </c>
      <c r="AZ1409" t="s">
        <v>243</v>
      </c>
      <c r="BA1409" t="s">
        <v>245</v>
      </c>
      <c r="BB1409" t="s">
        <v>264</v>
      </c>
      <c r="BC1409" t="s">
        <v>264</v>
      </c>
      <c r="BD1409" t="s">
        <v>4064</v>
      </c>
      <c r="BE1409" t="s">
        <v>4059</v>
      </c>
      <c r="BF1409" t="s">
        <v>291</v>
      </c>
      <c r="BG1409" t="s">
        <v>150</v>
      </c>
      <c r="BH1409" t="str">
        <f>IF(COUNTIF(工作表1!A:A, $C1409)&gt;0, "預購款", "非預購款")</f>
        <v>非預購款</v>
      </c>
    </row>
    <row r="1410" spans="1:60" x14ac:dyDescent="0.25">
      <c r="A1410" t="s">
        <v>3814</v>
      </c>
      <c r="B1410" t="s">
        <v>226</v>
      </c>
      <c r="C1410" t="s">
        <v>3815</v>
      </c>
      <c r="D1410" t="s">
        <v>3816</v>
      </c>
      <c r="E1410" t="s">
        <v>3817</v>
      </c>
      <c r="F1410" t="s">
        <v>196</v>
      </c>
      <c r="G1410" t="s">
        <v>3818</v>
      </c>
      <c r="H1410" t="s">
        <v>119</v>
      </c>
      <c r="I1410" t="s">
        <v>171</v>
      </c>
      <c r="J1410" t="s">
        <v>172</v>
      </c>
      <c r="K1410" t="s">
        <v>69</v>
      </c>
      <c r="L1410" t="s">
        <v>3819</v>
      </c>
      <c r="M1410" t="s">
        <v>71</v>
      </c>
      <c r="N1410" t="s">
        <v>198</v>
      </c>
      <c r="O1410" t="s">
        <v>1307</v>
      </c>
      <c r="P1410" t="s">
        <v>1308</v>
      </c>
      <c r="R1410" t="s">
        <v>1309</v>
      </c>
      <c r="S1410" t="s">
        <v>201</v>
      </c>
      <c r="T1410" t="s">
        <v>291</v>
      </c>
      <c r="U1410" t="s">
        <v>104</v>
      </c>
      <c r="V1410" t="s">
        <v>1519</v>
      </c>
      <c r="W1410">
        <v>299</v>
      </c>
      <c r="X1410">
        <v>12.99</v>
      </c>
      <c r="Y1410">
        <v>39</v>
      </c>
      <c r="Z1410">
        <v>209000</v>
      </c>
      <c r="AA1410">
        <v>189865</v>
      </c>
      <c r="AB1410">
        <v>118</v>
      </c>
      <c r="AD1410" t="s">
        <v>238</v>
      </c>
      <c r="AE1410">
        <v>3</v>
      </c>
      <c r="AF1410">
        <v>0</v>
      </c>
      <c r="AI1410">
        <v>50</v>
      </c>
      <c r="AJ1410">
        <v>50</v>
      </c>
      <c r="AK1410">
        <v>100</v>
      </c>
      <c r="AL1410">
        <v>635</v>
      </c>
      <c r="AM1410">
        <v>0</v>
      </c>
      <c r="AN1410">
        <v>0</v>
      </c>
      <c r="AO1410">
        <v>0</v>
      </c>
      <c r="AP1410" t="s">
        <v>69</v>
      </c>
      <c r="AT1410" t="s">
        <v>86</v>
      </c>
      <c r="AU1410" t="s">
        <v>86</v>
      </c>
      <c r="AV1410" t="s">
        <v>3190</v>
      </c>
      <c r="AW1410" t="s">
        <v>69</v>
      </c>
      <c r="AX1410" t="s">
        <v>126</v>
      </c>
      <c r="AY1410" t="s">
        <v>3820</v>
      </c>
      <c r="AZ1410" t="s">
        <v>243</v>
      </c>
      <c r="BA1410" t="s">
        <v>245</v>
      </c>
      <c r="BB1410" t="s">
        <v>264</v>
      </c>
      <c r="BC1410" t="s">
        <v>264</v>
      </c>
      <c r="BD1410" t="s">
        <v>3821</v>
      </c>
      <c r="BE1410" t="s">
        <v>4059</v>
      </c>
      <c r="BF1410" t="s">
        <v>291</v>
      </c>
      <c r="BG1410" t="s">
        <v>150</v>
      </c>
      <c r="BH1410" t="str">
        <f>IF(COUNTIF(工作表1!A:A, $C1410)&gt;0, "預購款", "非預購款")</f>
        <v>非預購款</v>
      </c>
    </row>
    <row r="1411" spans="1:60" x14ac:dyDescent="0.25">
      <c r="A1411" t="s">
        <v>3814</v>
      </c>
      <c r="B1411" t="s">
        <v>226</v>
      </c>
      <c r="C1411" t="s">
        <v>3815</v>
      </c>
      <c r="D1411" t="s">
        <v>3816</v>
      </c>
      <c r="E1411" t="s">
        <v>3817</v>
      </c>
      <c r="F1411" t="s">
        <v>196</v>
      </c>
      <c r="G1411" t="s">
        <v>3818</v>
      </c>
      <c r="H1411" t="s">
        <v>130</v>
      </c>
      <c r="I1411" t="s">
        <v>171</v>
      </c>
      <c r="J1411" t="s">
        <v>172</v>
      </c>
      <c r="K1411" t="s">
        <v>69</v>
      </c>
      <c r="L1411" t="s">
        <v>3819</v>
      </c>
      <c r="M1411" t="s">
        <v>71</v>
      </c>
      <c r="N1411" t="s">
        <v>198</v>
      </c>
      <c r="O1411" t="s">
        <v>1307</v>
      </c>
      <c r="P1411" t="s">
        <v>1308</v>
      </c>
      <c r="R1411" t="s">
        <v>1309</v>
      </c>
      <c r="S1411" t="s">
        <v>201</v>
      </c>
      <c r="T1411" t="s">
        <v>291</v>
      </c>
      <c r="U1411" t="s">
        <v>104</v>
      </c>
      <c r="V1411" t="s">
        <v>1519</v>
      </c>
      <c r="W1411">
        <v>299</v>
      </c>
      <c r="X1411">
        <v>12.99</v>
      </c>
      <c r="Y1411">
        <v>39</v>
      </c>
      <c r="Z1411">
        <v>209000</v>
      </c>
      <c r="AA1411">
        <v>189865</v>
      </c>
      <c r="AB1411">
        <v>118</v>
      </c>
      <c r="AD1411" t="s">
        <v>238</v>
      </c>
      <c r="AE1411">
        <v>3</v>
      </c>
      <c r="AF1411">
        <v>0</v>
      </c>
      <c r="AI1411">
        <v>40</v>
      </c>
      <c r="AJ1411">
        <v>20</v>
      </c>
      <c r="AK1411">
        <v>60</v>
      </c>
      <c r="AL1411">
        <v>635</v>
      </c>
      <c r="AM1411">
        <v>0</v>
      </c>
      <c r="AN1411">
        <v>0</v>
      </c>
      <c r="AO1411">
        <v>0</v>
      </c>
      <c r="AP1411" t="s">
        <v>69</v>
      </c>
      <c r="AT1411" t="s">
        <v>86</v>
      </c>
      <c r="AU1411" t="s">
        <v>86</v>
      </c>
      <c r="AV1411" t="s">
        <v>3190</v>
      </c>
      <c r="AW1411" t="s">
        <v>69</v>
      </c>
      <c r="AX1411" t="s">
        <v>126</v>
      </c>
      <c r="AY1411" t="s">
        <v>3820</v>
      </c>
      <c r="AZ1411" t="s">
        <v>243</v>
      </c>
      <c r="BA1411" t="s">
        <v>245</v>
      </c>
      <c r="BB1411" t="s">
        <v>264</v>
      </c>
      <c r="BC1411" t="s">
        <v>264</v>
      </c>
      <c r="BD1411" t="s">
        <v>3823</v>
      </c>
      <c r="BE1411" t="s">
        <v>4059</v>
      </c>
      <c r="BF1411" t="s">
        <v>291</v>
      </c>
      <c r="BG1411" t="s">
        <v>150</v>
      </c>
      <c r="BH1411" t="str">
        <f>IF(COUNTIF(工作表1!A:A, $C1411)&gt;0, "預購款", "非預購款")</f>
        <v>非預購款</v>
      </c>
    </row>
    <row r="1412" spans="1:60" x14ac:dyDescent="0.25">
      <c r="A1412" t="s">
        <v>3814</v>
      </c>
      <c r="B1412" t="s">
        <v>226</v>
      </c>
      <c r="C1412" t="s">
        <v>3815</v>
      </c>
      <c r="D1412" t="s">
        <v>3816</v>
      </c>
      <c r="E1412" t="s">
        <v>3817</v>
      </c>
      <c r="F1412" t="s">
        <v>196</v>
      </c>
      <c r="G1412" t="s">
        <v>3818</v>
      </c>
      <c r="H1412" t="s">
        <v>132</v>
      </c>
      <c r="I1412" t="s">
        <v>171</v>
      </c>
      <c r="J1412" t="s">
        <v>172</v>
      </c>
      <c r="K1412" t="s">
        <v>69</v>
      </c>
      <c r="L1412" t="s">
        <v>3819</v>
      </c>
      <c r="M1412" t="s">
        <v>71</v>
      </c>
      <c r="N1412" t="s">
        <v>198</v>
      </c>
      <c r="O1412" t="s">
        <v>1307</v>
      </c>
      <c r="P1412" t="s">
        <v>1308</v>
      </c>
      <c r="R1412" t="s">
        <v>1309</v>
      </c>
      <c r="S1412" t="s">
        <v>201</v>
      </c>
      <c r="T1412" t="s">
        <v>291</v>
      </c>
      <c r="U1412" t="s">
        <v>104</v>
      </c>
      <c r="V1412" t="s">
        <v>1519</v>
      </c>
      <c r="W1412">
        <v>299</v>
      </c>
      <c r="X1412">
        <v>12.99</v>
      </c>
      <c r="Y1412">
        <v>39</v>
      </c>
      <c r="Z1412">
        <v>209000</v>
      </c>
      <c r="AA1412">
        <v>189865</v>
      </c>
      <c r="AB1412">
        <v>118</v>
      </c>
      <c r="AD1412" t="s">
        <v>238</v>
      </c>
      <c r="AE1412">
        <v>3</v>
      </c>
      <c r="AF1412">
        <v>0</v>
      </c>
      <c r="AI1412">
        <v>30</v>
      </c>
      <c r="AJ1412">
        <v>20</v>
      </c>
      <c r="AK1412">
        <v>50</v>
      </c>
      <c r="AL1412">
        <v>635</v>
      </c>
      <c r="AM1412">
        <v>0</v>
      </c>
      <c r="AN1412">
        <v>0</v>
      </c>
      <c r="AO1412">
        <v>0</v>
      </c>
      <c r="AP1412" t="s">
        <v>69</v>
      </c>
      <c r="AT1412" t="s">
        <v>86</v>
      </c>
      <c r="AU1412" t="s">
        <v>86</v>
      </c>
      <c r="AV1412" t="s">
        <v>3190</v>
      </c>
      <c r="AW1412" t="s">
        <v>69</v>
      </c>
      <c r="AX1412" t="s">
        <v>126</v>
      </c>
      <c r="AY1412" t="s">
        <v>3820</v>
      </c>
      <c r="AZ1412" t="s">
        <v>243</v>
      </c>
      <c r="BA1412" t="s">
        <v>245</v>
      </c>
      <c r="BB1412" t="s">
        <v>264</v>
      </c>
      <c r="BC1412" t="s">
        <v>264</v>
      </c>
      <c r="BD1412" t="s">
        <v>3824</v>
      </c>
      <c r="BE1412" t="s">
        <v>4059</v>
      </c>
      <c r="BF1412" t="s">
        <v>291</v>
      </c>
      <c r="BG1412" t="s">
        <v>150</v>
      </c>
      <c r="BH1412" t="str">
        <f>IF(COUNTIF(工作表1!A:A, $C1412)&gt;0, "預購款", "非預購款")</f>
        <v>非預購款</v>
      </c>
    </row>
    <row r="1413" spans="1:60" x14ac:dyDescent="0.25">
      <c r="A1413" t="s">
        <v>4065</v>
      </c>
      <c r="B1413" t="s">
        <v>226</v>
      </c>
      <c r="C1413" t="s">
        <v>4066</v>
      </c>
      <c r="D1413" t="s">
        <v>4067</v>
      </c>
      <c r="E1413" t="s">
        <v>4068</v>
      </c>
      <c r="F1413" t="s">
        <v>196</v>
      </c>
      <c r="G1413" t="s">
        <v>4069</v>
      </c>
      <c r="H1413" t="s">
        <v>119</v>
      </c>
      <c r="I1413" t="s">
        <v>134</v>
      </c>
      <c r="J1413" t="s">
        <v>135</v>
      </c>
      <c r="K1413" t="s">
        <v>69</v>
      </c>
      <c r="L1413" t="s">
        <v>4070</v>
      </c>
      <c r="M1413" t="s">
        <v>71</v>
      </c>
      <c r="N1413" t="s">
        <v>198</v>
      </c>
      <c r="O1413" t="s">
        <v>3966</v>
      </c>
      <c r="P1413" t="s">
        <v>3967</v>
      </c>
      <c r="R1413" t="s">
        <v>1798</v>
      </c>
      <c r="S1413" t="s">
        <v>201</v>
      </c>
      <c r="T1413" t="s">
        <v>291</v>
      </c>
      <c r="U1413" t="s">
        <v>735</v>
      </c>
      <c r="V1413" t="s">
        <v>4071</v>
      </c>
      <c r="W1413">
        <v>1480</v>
      </c>
      <c r="X1413">
        <v>59.99</v>
      </c>
      <c r="Y1413">
        <v>189</v>
      </c>
      <c r="Z1413">
        <v>1069000</v>
      </c>
      <c r="AA1413">
        <v>192400</v>
      </c>
      <c r="AB1413">
        <v>878</v>
      </c>
      <c r="AD1413" t="s">
        <v>238</v>
      </c>
      <c r="AE1413">
        <v>1</v>
      </c>
      <c r="AF1413">
        <v>0</v>
      </c>
      <c r="AI1413">
        <v>30</v>
      </c>
      <c r="AJ1413">
        <v>35</v>
      </c>
      <c r="AK1413">
        <v>65</v>
      </c>
      <c r="AL1413">
        <v>130</v>
      </c>
      <c r="AM1413">
        <v>0</v>
      </c>
      <c r="AN1413">
        <v>0</v>
      </c>
      <c r="AO1413">
        <v>0</v>
      </c>
      <c r="AP1413" t="s">
        <v>69</v>
      </c>
      <c r="AT1413" t="s">
        <v>86</v>
      </c>
      <c r="AU1413" t="s">
        <v>86</v>
      </c>
      <c r="AV1413" t="s">
        <v>81</v>
      </c>
      <c r="AW1413" t="s">
        <v>69</v>
      </c>
      <c r="AX1413" t="s">
        <v>126</v>
      </c>
      <c r="AY1413" t="s">
        <v>858</v>
      </c>
      <c r="AZ1413" t="s">
        <v>264</v>
      </c>
      <c r="BA1413" t="s">
        <v>244</v>
      </c>
      <c r="BB1413" t="s">
        <v>243</v>
      </c>
      <c r="BC1413" t="s">
        <v>245</v>
      </c>
      <c r="BD1413" t="s">
        <v>4072</v>
      </c>
      <c r="BE1413" t="s">
        <v>4073</v>
      </c>
      <c r="BF1413" t="s">
        <v>291</v>
      </c>
      <c r="BG1413" t="s">
        <v>110</v>
      </c>
      <c r="BH1413" t="str">
        <f>IF(COUNTIF(工作表1!A:A, $C1413)&gt;0, "預購款", "非預購款")</f>
        <v>非預購款</v>
      </c>
    </row>
    <row r="1414" spans="1:60" x14ac:dyDescent="0.25">
      <c r="A1414" t="s">
        <v>4065</v>
      </c>
      <c r="B1414" t="s">
        <v>226</v>
      </c>
      <c r="C1414" t="s">
        <v>4066</v>
      </c>
      <c r="D1414" t="s">
        <v>4067</v>
      </c>
      <c r="E1414" t="s">
        <v>4068</v>
      </c>
      <c r="F1414" t="s">
        <v>196</v>
      </c>
      <c r="G1414" t="s">
        <v>4069</v>
      </c>
      <c r="H1414" t="s">
        <v>130</v>
      </c>
      <c r="I1414" t="s">
        <v>134</v>
      </c>
      <c r="J1414" t="s">
        <v>135</v>
      </c>
      <c r="K1414" t="s">
        <v>69</v>
      </c>
      <c r="L1414" t="s">
        <v>4070</v>
      </c>
      <c r="M1414" t="s">
        <v>71</v>
      </c>
      <c r="N1414" t="s">
        <v>198</v>
      </c>
      <c r="O1414" t="s">
        <v>3966</v>
      </c>
      <c r="P1414" t="s">
        <v>3967</v>
      </c>
      <c r="R1414" t="s">
        <v>1798</v>
      </c>
      <c r="S1414" t="s">
        <v>201</v>
      </c>
      <c r="T1414" t="s">
        <v>291</v>
      </c>
      <c r="U1414" t="s">
        <v>735</v>
      </c>
      <c r="V1414" t="s">
        <v>4071</v>
      </c>
      <c r="W1414">
        <v>1480</v>
      </c>
      <c r="X1414">
        <v>59.99</v>
      </c>
      <c r="Y1414">
        <v>189</v>
      </c>
      <c r="Z1414">
        <v>1069000</v>
      </c>
      <c r="AA1414">
        <v>192400</v>
      </c>
      <c r="AB1414">
        <v>878</v>
      </c>
      <c r="AD1414" t="s">
        <v>238</v>
      </c>
      <c r="AE1414">
        <v>1</v>
      </c>
      <c r="AF1414">
        <v>0</v>
      </c>
      <c r="AI1414">
        <v>10</v>
      </c>
      <c r="AJ1414">
        <v>35</v>
      </c>
      <c r="AK1414">
        <v>45</v>
      </c>
      <c r="AL1414">
        <v>130</v>
      </c>
      <c r="AM1414">
        <v>0</v>
      </c>
      <c r="AN1414">
        <v>0</v>
      </c>
      <c r="AO1414">
        <v>0</v>
      </c>
      <c r="AP1414" t="s">
        <v>69</v>
      </c>
      <c r="AT1414" t="s">
        <v>86</v>
      </c>
      <c r="AU1414" t="s">
        <v>86</v>
      </c>
      <c r="AV1414" t="s">
        <v>81</v>
      </c>
      <c r="AW1414" t="s">
        <v>69</v>
      </c>
      <c r="AX1414" t="s">
        <v>126</v>
      </c>
      <c r="AY1414" t="s">
        <v>858</v>
      </c>
      <c r="AZ1414" t="s">
        <v>264</v>
      </c>
      <c r="BA1414" t="s">
        <v>244</v>
      </c>
      <c r="BB1414" t="s">
        <v>243</v>
      </c>
      <c r="BC1414" t="s">
        <v>245</v>
      </c>
      <c r="BD1414" t="s">
        <v>4074</v>
      </c>
      <c r="BE1414" t="s">
        <v>4073</v>
      </c>
      <c r="BF1414" t="s">
        <v>291</v>
      </c>
      <c r="BG1414" t="s">
        <v>110</v>
      </c>
      <c r="BH1414" t="str">
        <f>IF(COUNTIF(工作表1!A:A, $C1414)&gt;0, "預購款", "非預購款")</f>
        <v>非預購款</v>
      </c>
    </row>
    <row r="1415" spans="1:60" x14ac:dyDescent="0.25">
      <c r="A1415" t="s">
        <v>4065</v>
      </c>
      <c r="B1415" t="s">
        <v>226</v>
      </c>
      <c r="C1415" t="s">
        <v>4066</v>
      </c>
      <c r="D1415" t="s">
        <v>4067</v>
      </c>
      <c r="E1415" t="s">
        <v>4068</v>
      </c>
      <c r="F1415" t="s">
        <v>196</v>
      </c>
      <c r="G1415" t="s">
        <v>4069</v>
      </c>
      <c r="H1415" t="s">
        <v>132</v>
      </c>
      <c r="I1415" t="s">
        <v>134</v>
      </c>
      <c r="J1415" t="s">
        <v>135</v>
      </c>
      <c r="K1415" t="s">
        <v>69</v>
      </c>
      <c r="L1415" t="s">
        <v>4070</v>
      </c>
      <c r="M1415" t="s">
        <v>71</v>
      </c>
      <c r="N1415" t="s">
        <v>198</v>
      </c>
      <c r="O1415" t="s">
        <v>3966</v>
      </c>
      <c r="P1415" t="s">
        <v>3967</v>
      </c>
      <c r="R1415" t="s">
        <v>1798</v>
      </c>
      <c r="S1415" t="s">
        <v>201</v>
      </c>
      <c r="T1415" t="s">
        <v>291</v>
      </c>
      <c r="U1415" t="s">
        <v>735</v>
      </c>
      <c r="V1415" t="s">
        <v>4071</v>
      </c>
      <c r="W1415">
        <v>1480</v>
      </c>
      <c r="X1415">
        <v>59.99</v>
      </c>
      <c r="Y1415">
        <v>189</v>
      </c>
      <c r="Z1415">
        <v>1069000</v>
      </c>
      <c r="AA1415">
        <v>192400</v>
      </c>
      <c r="AB1415">
        <v>878</v>
      </c>
      <c r="AD1415" t="s">
        <v>238</v>
      </c>
      <c r="AE1415">
        <v>1</v>
      </c>
      <c r="AF1415">
        <v>0</v>
      </c>
      <c r="AI1415">
        <v>10</v>
      </c>
      <c r="AJ1415">
        <v>10</v>
      </c>
      <c r="AK1415">
        <v>20</v>
      </c>
      <c r="AL1415">
        <v>130</v>
      </c>
      <c r="AM1415">
        <v>0</v>
      </c>
      <c r="AN1415">
        <v>0</v>
      </c>
      <c r="AO1415">
        <v>0</v>
      </c>
      <c r="AP1415" t="s">
        <v>69</v>
      </c>
      <c r="AT1415" t="s">
        <v>86</v>
      </c>
      <c r="AU1415" t="s">
        <v>86</v>
      </c>
      <c r="AV1415" t="s">
        <v>81</v>
      </c>
      <c r="AW1415" t="s">
        <v>69</v>
      </c>
      <c r="AX1415" t="s">
        <v>126</v>
      </c>
      <c r="AY1415" t="s">
        <v>858</v>
      </c>
      <c r="AZ1415" t="s">
        <v>264</v>
      </c>
      <c r="BA1415" t="s">
        <v>244</v>
      </c>
      <c r="BB1415" t="s">
        <v>243</v>
      </c>
      <c r="BC1415" t="s">
        <v>245</v>
      </c>
      <c r="BD1415" t="s">
        <v>4075</v>
      </c>
      <c r="BE1415" t="s">
        <v>4073</v>
      </c>
      <c r="BF1415" t="s">
        <v>291</v>
      </c>
      <c r="BG1415" t="s">
        <v>110</v>
      </c>
      <c r="BH1415" t="str">
        <f>IF(COUNTIF(工作表1!A:A, $C1415)&gt;0, "預購款", "非預購款")</f>
        <v>非預購款</v>
      </c>
    </row>
    <row r="1416" spans="1:60" x14ac:dyDescent="0.25">
      <c r="A1416" t="s">
        <v>3829</v>
      </c>
      <c r="B1416" t="s">
        <v>226</v>
      </c>
      <c r="C1416" t="s">
        <v>3830</v>
      </c>
      <c r="D1416" t="s">
        <v>3831</v>
      </c>
      <c r="E1416" t="s">
        <v>3832</v>
      </c>
      <c r="F1416" t="s">
        <v>196</v>
      </c>
      <c r="G1416" t="s">
        <v>3833</v>
      </c>
      <c r="H1416" t="s">
        <v>119</v>
      </c>
      <c r="I1416" t="s">
        <v>97</v>
      </c>
      <c r="J1416" t="s">
        <v>98</v>
      </c>
      <c r="K1416" t="s">
        <v>69</v>
      </c>
      <c r="L1416" t="s">
        <v>3834</v>
      </c>
      <c r="M1416" t="s">
        <v>71</v>
      </c>
      <c r="N1416" t="s">
        <v>198</v>
      </c>
      <c r="O1416" t="s">
        <v>3439</v>
      </c>
      <c r="P1416" t="s">
        <v>3440</v>
      </c>
      <c r="R1416" t="s">
        <v>1095</v>
      </c>
      <c r="S1416" t="s">
        <v>201</v>
      </c>
      <c r="T1416" t="s">
        <v>258</v>
      </c>
      <c r="U1416" t="s">
        <v>502</v>
      </c>
      <c r="V1416" t="s">
        <v>765</v>
      </c>
      <c r="W1416">
        <v>1080</v>
      </c>
      <c r="X1416">
        <v>44.99</v>
      </c>
      <c r="Y1416">
        <v>139</v>
      </c>
      <c r="Z1416">
        <v>779000</v>
      </c>
      <c r="AA1416">
        <v>210600</v>
      </c>
      <c r="AB1416">
        <v>350</v>
      </c>
      <c r="AD1416" t="s">
        <v>238</v>
      </c>
      <c r="AE1416">
        <v>2</v>
      </c>
      <c r="AF1416">
        <v>0</v>
      </c>
      <c r="AI1416">
        <v>20</v>
      </c>
      <c r="AJ1416">
        <v>60</v>
      </c>
      <c r="AK1416">
        <v>80</v>
      </c>
      <c r="AL1416">
        <v>195</v>
      </c>
      <c r="AM1416">
        <v>0</v>
      </c>
      <c r="AN1416">
        <v>0</v>
      </c>
      <c r="AO1416">
        <v>0</v>
      </c>
      <c r="AP1416" t="s">
        <v>69</v>
      </c>
      <c r="AR1416" t="s">
        <v>86</v>
      </c>
      <c r="AS1416" t="s">
        <v>86</v>
      </c>
      <c r="AT1416" t="s">
        <v>86</v>
      </c>
      <c r="AU1416" t="s">
        <v>86</v>
      </c>
      <c r="AV1416" t="s">
        <v>3835</v>
      </c>
      <c r="AW1416" t="s">
        <v>80</v>
      </c>
      <c r="AX1416" t="s">
        <v>737</v>
      </c>
      <c r="AY1416" t="s">
        <v>3836</v>
      </c>
      <c r="AZ1416" t="s">
        <v>264</v>
      </c>
      <c r="BA1416" t="s">
        <v>244</v>
      </c>
      <c r="BB1416" t="s">
        <v>244</v>
      </c>
      <c r="BC1416" t="s">
        <v>244</v>
      </c>
      <c r="BD1416" t="s">
        <v>3837</v>
      </c>
      <c r="BE1416" t="s">
        <v>4076</v>
      </c>
      <c r="BF1416" t="s">
        <v>240</v>
      </c>
      <c r="BG1416" t="s">
        <v>110</v>
      </c>
      <c r="BH1416" t="str">
        <f>IF(COUNTIF(工作表1!A:A, $C1416)&gt;0, "預購款", "非預購款")</f>
        <v>非預購款</v>
      </c>
    </row>
    <row r="1417" spans="1:60" x14ac:dyDescent="0.25">
      <c r="A1417" t="s">
        <v>3829</v>
      </c>
      <c r="B1417" t="s">
        <v>226</v>
      </c>
      <c r="C1417" t="s">
        <v>3830</v>
      </c>
      <c r="D1417" t="s">
        <v>3831</v>
      </c>
      <c r="E1417" t="s">
        <v>3832</v>
      </c>
      <c r="F1417" t="s">
        <v>196</v>
      </c>
      <c r="G1417" t="s">
        <v>3833</v>
      </c>
      <c r="H1417" t="s">
        <v>130</v>
      </c>
      <c r="I1417" t="s">
        <v>97</v>
      </c>
      <c r="J1417" t="s">
        <v>98</v>
      </c>
      <c r="K1417" t="s">
        <v>69</v>
      </c>
      <c r="L1417" t="s">
        <v>3834</v>
      </c>
      <c r="M1417" t="s">
        <v>71</v>
      </c>
      <c r="N1417" t="s">
        <v>198</v>
      </c>
      <c r="O1417" t="s">
        <v>3439</v>
      </c>
      <c r="P1417" t="s">
        <v>3440</v>
      </c>
      <c r="R1417" t="s">
        <v>1095</v>
      </c>
      <c r="S1417" t="s">
        <v>201</v>
      </c>
      <c r="T1417" t="s">
        <v>258</v>
      </c>
      <c r="U1417" t="s">
        <v>502</v>
      </c>
      <c r="V1417" t="s">
        <v>765</v>
      </c>
      <c r="W1417">
        <v>1080</v>
      </c>
      <c r="X1417">
        <v>44.99</v>
      </c>
      <c r="Y1417">
        <v>139</v>
      </c>
      <c r="Z1417">
        <v>779000</v>
      </c>
      <c r="AA1417">
        <v>210600</v>
      </c>
      <c r="AB1417">
        <v>350</v>
      </c>
      <c r="AD1417" t="s">
        <v>238</v>
      </c>
      <c r="AE1417">
        <v>2</v>
      </c>
      <c r="AF1417">
        <v>0</v>
      </c>
      <c r="AI1417">
        <v>15</v>
      </c>
      <c r="AJ1417">
        <v>30</v>
      </c>
      <c r="AK1417">
        <v>45</v>
      </c>
      <c r="AL1417">
        <v>195</v>
      </c>
      <c r="AM1417">
        <v>0</v>
      </c>
      <c r="AN1417">
        <v>0</v>
      </c>
      <c r="AO1417">
        <v>0</v>
      </c>
      <c r="AP1417" t="s">
        <v>69</v>
      </c>
      <c r="AR1417" t="s">
        <v>86</v>
      </c>
      <c r="AS1417" t="s">
        <v>86</v>
      </c>
      <c r="AT1417" t="s">
        <v>86</v>
      </c>
      <c r="AU1417" t="s">
        <v>86</v>
      </c>
      <c r="AV1417" t="s">
        <v>3835</v>
      </c>
      <c r="AW1417" t="s">
        <v>80</v>
      </c>
      <c r="AX1417" t="s">
        <v>737</v>
      </c>
      <c r="AY1417" t="s">
        <v>3836</v>
      </c>
      <c r="AZ1417" t="s">
        <v>264</v>
      </c>
      <c r="BA1417" t="s">
        <v>244</v>
      </c>
      <c r="BB1417" t="s">
        <v>244</v>
      </c>
      <c r="BC1417" t="s">
        <v>244</v>
      </c>
      <c r="BD1417" t="s">
        <v>3838</v>
      </c>
      <c r="BE1417" t="s">
        <v>4076</v>
      </c>
      <c r="BF1417" t="s">
        <v>240</v>
      </c>
      <c r="BG1417" t="s">
        <v>110</v>
      </c>
      <c r="BH1417" t="str">
        <f>IF(COUNTIF(工作表1!A:A, $C1417)&gt;0, "預購款", "非預購款")</f>
        <v>非預購款</v>
      </c>
    </row>
    <row r="1418" spans="1:60" x14ac:dyDescent="0.25">
      <c r="A1418" t="s">
        <v>3829</v>
      </c>
      <c r="B1418" t="s">
        <v>226</v>
      </c>
      <c r="C1418" t="s">
        <v>3830</v>
      </c>
      <c r="D1418" t="s">
        <v>3831</v>
      </c>
      <c r="E1418" t="s">
        <v>3832</v>
      </c>
      <c r="F1418" t="s">
        <v>196</v>
      </c>
      <c r="G1418" t="s">
        <v>3833</v>
      </c>
      <c r="H1418" t="s">
        <v>132</v>
      </c>
      <c r="I1418" t="s">
        <v>97</v>
      </c>
      <c r="J1418" t="s">
        <v>98</v>
      </c>
      <c r="K1418" t="s">
        <v>69</v>
      </c>
      <c r="L1418" t="s">
        <v>3834</v>
      </c>
      <c r="M1418" t="s">
        <v>71</v>
      </c>
      <c r="N1418" t="s">
        <v>198</v>
      </c>
      <c r="O1418" t="s">
        <v>3439</v>
      </c>
      <c r="P1418" t="s">
        <v>3440</v>
      </c>
      <c r="R1418" t="s">
        <v>1095</v>
      </c>
      <c r="S1418" t="s">
        <v>201</v>
      </c>
      <c r="T1418" t="s">
        <v>258</v>
      </c>
      <c r="U1418" t="s">
        <v>502</v>
      </c>
      <c r="V1418" t="s">
        <v>765</v>
      </c>
      <c r="W1418">
        <v>1080</v>
      </c>
      <c r="X1418">
        <v>44.99</v>
      </c>
      <c r="Y1418">
        <v>139</v>
      </c>
      <c r="Z1418">
        <v>779000</v>
      </c>
      <c r="AA1418">
        <v>210600</v>
      </c>
      <c r="AB1418">
        <v>350</v>
      </c>
      <c r="AD1418" t="s">
        <v>238</v>
      </c>
      <c r="AE1418">
        <v>2</v>
      </c>
      <c r="AF1418">
        <v>0</v>
      </c>
      <c r="AI1418">
        <v>0</v>
      </c>
      <c r="AJ1418">
        <v>10</v>
      </c>
      <c r="AK1418">
        <v>10</v>
      </c>
      <c r="AL1418">
        <v>195</v>
      </c>
      <c r="AM1418">
        <v>0</v>
      </c>
      <c r="AN1418">
        <v>0</v>
      </c>
      <c r="AO1418">
        <v>0</v>
      </c>
      <c r="AP1418" t="s">
        <v>69</v>
      </c>
      <c r="AR1418" t="s">
        <v>86</v>
      </c>
      <c r="AS1418" t="s">
        <v>86</v>
      </c>
      <c r="AT1418" t="s">
        <v>86</v>
      </c>
      <c r="AU1418" t="s">
        <v>86</v>
      </c>
      <c r="AV1418" t="s">
        <v>3835</v>
      </c>
      <c r="AW1418" t="s">
        <v>80</v>
      </c>
      <c r="AX1418" t="s">
        <v>737</v>
      </c>
      <c r="AY1418" t="s">
        <v>3836</v>
      </c>
      <c r="AZ1418" t="s">
        <v>264</v>
      </c>
      <c r="BA1418" t="s">
        <v>244</v>
      </c>
      <c r="BB1418" t="s">
        <v>244</v>
      </c>
      <c r="BC1418" t="s">
        <v>244</v>
      </c>
      <c r="BD1418" t="s">
        <v>3839</v>
      </c>
      <c r="BE1418" t="s">
        <v>4076</v>
      </c>
      <c r="BF1418" t="s">
        <v>240</v>
      </c>
      <c r="BG1418" t="s">
        <v>110</v>
      </c>
      <c r="BH1418" t="str">
        <f>IF(COUNTIF(工作表1!A:A, $C1418)&gt;0, "預購款", "非預購款")</f>
        <v>非預購款</v>
      </c>
    </row>
    <row r="1419" spans="1:60" x14ac:dyDescent="0.25">
      <c r="A1419" t="s">
        <v>4077</v>
      </c>
      <c r="B1419" t="s">
        <v>226</v>
      </c>
      <c r="C1419" t="s">
        <v>4078</v>
      </c>
      <c r="D1419" t="s">
        <v>4079</v>
      </c>
      <c r="E1419" t="s">
        <v>4080</v>
      </c>
      <c r="F1419" t="s">
        <v>196</v>
      </c>
      <c r="G1419" t="s">
        <v>4081</v>
      </c>
      <c r="H1419" t="s">
        <v>119</v>
      </c>
      <c r="I1419" t="s">
        <v>97</v>
      </c>
      <c r="J1419" t="s">
        <v>98</v>
      </c>
      <c r="K1419" t="s">
        <v>69</v>
      </c>
      <c r="L1419" t="s">
        <v>4082</v>
      </c>
      <c r="M1419" t="s">
        <v>71</v>
      </c>
      <c r="N1419" t="s">
        <v>198</v>
      </c>
      <c r="O1419" t="s">
        <v>3966</v>
      </c>
      <c r="P1419" t="s">
        <v>3967</v>
      </c>
      <c r="R1419" t="s">
        <v>1798</v>
      </c>
      <c r="S1419" t="s">
        <v>201</v>
      </c>
      <c r="T1419" t="s">
        <v>258</v>
      </c>
      <c r="U1419" t="s">
        <v>383</v>
      </c>
      <c r="V1419" t="s">
        <v>124</v>
      </c>
      <c r="W1419">
        <v>690</v>
      </c>
      <c r="X1419">
        <v>29.99</v>
      </c>
      <c r="Y1419">
        <v>89</v>
      </c>
      <c r="Z1419">
        <v>499000</v>
      </c>
      <c r="AA1419">
        <v>120750</v>
      </c>
      <c r="AB1419">
        <v>320</v>
      </c>
      <c r="AD1419" t="s">
        <v>238</v>
      </c>
      <c r="AE1419">
        <v>1</v>
      </c>
      <c r="AF1419">
        <v>15</v>
      </c>
      <c r="AI1419">
        <v>0</v>
      </c>
      <c r="AJ1419">
        <v>70</v>
      </c>
      <c r="AK1419">
        <v>85</v>
      </c>
      <c r="AL1419">
        <v>175</v>
      </c>
      <c r="AM1419">
        <v>0</v>
      </c>
      <c r="AN1419">
        <v>0</v>
      </c>
      <c r="AO1419">
        <v>0</v>
      </c>
      <c r="AP1419" t="s">
        <v>69</v>
      </c>
      <c r="AR1419" t="s">
        <v>86</v>
      </c>
      <c r="AS1419" t="s">
        <v>86</v>
      </c>
      <c r="AT1419" t="s">
        <v>86</v>
      </c>
      <c r="AU1419" t="s">
        <v>86</v>
      </c>
      <c r="AV1419" t="s">
        <v>3190</v>
      </c>
      <c r="AW1419" t="s">
        <v>69</v>
      </c>
      <c r="AX1419" t="s">
        <v>126</v>
      </c>
      <c r="AY1419" t="s">
        <v>1257</v>
      </c>
      <c r="AZ1419" t="s">
        <v>264</v>
      </c>
      <c r="BA1419" t="s">
        <v>244</v>
      </c>
      <c r="BB1419" t="s">
        <v>243</v>
      </c>
      <c r="BC1419" t="s">
        <v>245</v>
      </c>
      <c r="BD1419" t="s">
        <v>4083</v>
      </c>
      <c r="BE1419" t="s">
        <v>4084</v>
      </c>
      <c r="BF1419" t="s">
        <v>240</v>
      </c>
      <c r="BG1419" t="s">
        <v>110</v>
      </c>
      <c r="BH1419" t="str">
        <f>IF(COUNTIF(工作表1!A:A, $C1419)&gt;0, "預購款", "非預購款")</f>
        <v>非預購款</v>
      </c>
    </row>
    <row r="1420" spans="1:60" x14ac:dyDescent="0.25">
      <c r="A1420" t="s">
        <v>4077</v>
      </c>
      <c r="B1420" t="s">
        <v>226</v>
      </c>
      <c r="C1420" t="s">
        <v>4078</v>
      </c>
      <c r="D1420" t="s">
        <v>4079</v>
      </c>
      <c r="E1420" t="s">
        <v>4080</v>
      </c>
      <c r="F1420" t="s">
        <v>196</v>
      </c>
      <c r="G1420" t="s">
        <v>4081</v>
      </c>
      <c r="H1420" t="s">
        <v>130</v>
      </c>
      <c r="I1420" t="s">
        <v>97</v>
      </c>
      <c r="J1420" t="s">
        <v>98</v>
      </c>
      <c r="K1420" t="s">
        <v>69</v>
      </c>
      <c r="L1420" t="s">
        <v>4082</v>
      </c>
      <c r="M1420" t="s">
        <v>71</v>
      </c>
      <c r="N1420" t="s">
        <v>198</v>
      </c>
      <c r="O1420" t="s">
        <v>3966</v>
      </c>
      <c r="P1420" t="s">
        <v>3967</v>
      </c>
      <c r="R1420" t="s">
        <v>1798</v>
      </c>
      <c r="S1420" t="s">
        <v>201</v>
      </c>
      <c r="T1420" t="s">
        <v>258</v>
      </c>
      <c r="U1420" t="s">
        <v>383</v>
      </c>
      <c r="V1420" t="s">
        <v>124</v>
      </c>
      <c r="W1420">
        <v>690</v>
      </c>
      <c r="X1420">
        <v>29.99</v>
      </c>
      <c r="Y1420">
        <v>89</v>
      </c>
      <c r="Z1420">
        <v>499000</v>
      </c>
      <c r="AA1420">
        <v>120750</v>
      </c>
      <c r="AB1420">
        <v>320</v>
      </c>
      <c r="AD1420" t="s">
        <v>238</v>
      </c>
      <c r="AE1420">
        <v>1</v>
      </c>
      <c r="AF1420">
        <v>10</v>
      </c>
      <c r="AI1420">
        <v>0</v>
      </c>
      <c r="AJ1420">
        <v>60</v>
      </c>
      <c r="AK1420">
        <v>70</v>
      </c>
      <c r="AL1420">
        <v>175</v>
      </c>
      <c r="AM1420">
        <v>0</v>
      </c>
      <c r="AN1420">
        <v>0</v>
      </c>
      <c r="AO1420">
        <v>0</v>
      </c>
      <c r="AP1420" t="s">
        <v>69</v>
      </c>
      <c r="AR1420" t="s">
        <v>86</v>
      </c>
      <c r="AS1420" t="s">
        <v>86</v>
      </c>
      <c r="AT1420" t="s">
        <v>86</v>
      </c>
      <c r="AU1420" t="s">
        <v>86</v>
      </c>
      <c r="AV1420" t="s">
        <v>3190</v>
      </c>
      <c r="AW1420" t="s">
        <v>69</v>
      </c>
      <c r="AX1420" t="s">
        <v>126</v>
      </c>
      <c r="AY1420" t="s">
        <v>1257</v>
      </c>
      <c r="AZ1420" t="s">
        <v>264</v>
      </c>
      <c r="BA1420" t="s">
        <v>244</v>
      </c>
      <c r="BB1420" t="s">
        <v>243</v>
      </c>
      <c r="BC1420" t="s">
        <v>245</v>
      </c>
      <c r="BD1420" t="s">
        <v>4085</v>
      </c>
      <c r="BE1420" t="s">
        <v>4084</v>
      </c>
      <c r="BF1420" t="s">
        <v>240</v>
      </c>
      <c r="BG1420" t="s">
        <v>110</v>
      </c>
      <c r="BH1420" t="str">
        <f>IF(COUNTIF(工作表1!A:A, $C1420)&gt;0, "預購款", "非預購款")</f>
        <v>非預購款</v>
      </c>
    </row>
    <row r="1421" spans="1:60" x14ac:dyDescent="0.25">
      <c r="A1421" t="s">
        <v>4077</v>
      </c>
      <c r="B1421" t="s">
        <v>226</v>
      </c>
      <c r="C1421" t="s">
        <v>4078</v>
      </c>
      <c r="D1421" t="s">
        <v>4079</v>
      </c>
      <c r="E1421" t="s">
        <v>4080</v>
      </c>
      <c r="F1421" t="s">
        <v>196</v>
      </c>
      <c r="G1421" t="s">
        <v>4081</v>
      </c>
      <c r="H1421" t="s">
        <v>132</v>
      </c>
      <c r="I1421" t="s">
        <v>97</v>
      </c>
      <c r="J1421" t="s">
        <v>98</v>
      </c>
      <c r="K1421" t="s">
        <v>69</v>
      </c>
      <c r="L1421" t="s">
        <v>4082</v>
      </c>
      <c r="M1421" t="s">
        <v>71</v>
      </c>
      <c r="N1421" t="s">
        <v>198</v>
      </c>
      <c r="O1421" t="s">
        <v>3966</v>
      </c>
      <c r="P1421" t="s">
        <v>3967</v>
      </c>
      <c r="R1421" t="s">
        <v>1798</v>
      </c>
      <c r="S1421" t="s">
        <v>201</v>
      </c>
      <c r="T1421" t="s">
        <v>258</v>
      </c>
      <c r="U1421" t="s">
        <v>383</v>
      </c>
      <c r="V1421" t="s">
        <v>124</v>
      </c>
      <c r="W1421">
        <v>690</v>
      </c>
      <c r="X1421">
        <v>29.99</v>
      </c>
      <c r="Y1421">
        <v>89</v>
      </c>
      <c r="Z1421">
        <v>499000</v>
      </c>
      <c r="AA1421">
        <v>120750</v>
      </c>
      <c r="AB1421">
        <v>320</v>
      </c>
      <c r="AD1421" t="s">
        <v>238</v>
      </c>
      <c r="AE1421">
        <v>1</v>
      </c>
      <c r="AF1421">
        <v>0</v>
      </c>
      <c r="AI1421">
        <v>0</v>
      </c>
      <c r="AJ1421">
        <v>20</v>
      </c>
      <c r="AK1421">
        <v>20</v>
      </c>
      <c r="AL1421">
        <v>175</v>
      </c>
      <c r="AM1421">
        <v>0</v>
      </c>
      <c r="AN1421">
        <v>0</v>
      </c>
      <c r="AO1421">
        <v>0</v>
      </c>
      <c r="AP1421" t="s">
        <v>69</v>
      </c>
      <c r="AR1421" t="s">
        <v>86</v>
      </c>
      <c r="AS1421" t="s">
        <v>86</v>
      </c>
      <c r="AT1421" t="s">
        <v>86</v>
      </c>
      <c r="AU1421" t="s">
        <v>86</v>
      </c>
      <c r="AV1421" t="s">
        <v>3190</v>
      </c>
      <c r="AW1421" t="s">
        <v>69</v>
      </c>
      <c r="AX1421" t="s">
        <v>126</v>
      </c>
      <c r="AY1421" t="s">
        <v>1257</v>
      </c>
      <c r="AZ1421" t="s">
        <v>264</v>
      </c>
      <c r="BA1421" t="s">
        <v>244</v>
      </c>
      <c r="BB1421" t="s">
        <v>243</v>
      </c>
      <c r="BC1421" t="s">
        <v>245</v>
      </c>
      <c r="BD1421" t="s">
        <v>4086</v>
      </c>
      <c r="BE1421" t="s">
        <v>4084</v>
      </c>
      <c r="BF1421" t="s">
        <v>240</v>
      </c>
      <c r="BG1421" t="s">
        <v>110</v>
      </c>
      <c r="BH1421" t="str">
        <f>IF(COUNTIF(工作表1!A:A, $C1421)&gt;0, "預購款", "非預購款")</f>
        <v>非預購款</v>
      </c>
    </row>
    <row r="1422" spans="1:60" x14ac:dyDescent="0.25">
      <c r="A1422" t="s">
        <v>4087</v>
      </c>
      <c r="B1422" t="s">
        <v>226</v>
      </c>
      <c r="C1422" t="s">
        <v>4088</v>
      </c>
      <c r="D1422" t="s">
        <v>4089</v>
      </c>
      <c r="E1422" t="s">
        <v>4090</v>
      </c>
      <c r="F1422" t="s">
        <v>196</v>
      </c>
      <c r="G1422" t="s">
        <v>4091</v>
      </c>
      <c r="H1422" t="s">
        <v>273</v>
      </c>
      <c r="I1422" t="s">
        <v>120</v>
      </c>
      <c r="J1422" t="s">
        <v>121</v>
      </c>
      <c r="K1422" t="s">
        <v>80</v>
      </c>
      <c r="L1422" t="s">
        <v>4082</v>
      </c>
      <c r="M1422" t="s">
        <v>71</v>
      </c>
      <c r="N1422" t="s">
        <v>198</v>
      </c>
      <c r="O1422" t="s">
        <v>3966</v>
      </c>
      <c r="P1422" t="s">
        <v>3967</v>
      </c>
      <c r="R1422" t="s">
        <v>1798</v>
      </c>
      <c r="S1422" t="s">
        <v>201</v>
      </c>
      <c r="T1422" t="s">
        <v>274</v>
      </c>
      <c r="U1422" t="s">
        <v>383</v>
      </c>
      <c r="V1422" t="s">
        <v>124</v>
      </c>
      <c r="W1422">
        <v>790</v>
      </c>
      <c r="X1422">
        <v>34.99</v>
      </c>
      <c r="Y1422">
        <v>99</v>
      </c>
      <c r="Z1422">
        <v>569000</v>
      </c>
      <c r="AA1422">
        <v>268600</v>
      </c>
      <c r="AB1422">
        <v>400</v>
      </c>
      <c r="AD1422" t="s">
        <v>238</v>
      </c>
      <c r="AE1422">
        <v>2</v>
      </c>
      <c r="AF1422">
        <v>5</v>
      </c>
      <c r="AI1422">
        <v>20</v>
      </c>
      <c r="AJ1422">
        <v>65</v>
      </c>
      <c r="AK1422">
        <v>90</v>
      </c>
      <c r="AL1422">
        <v>340</v>
      </c>
      <c r="AM1422">
        <v>0</v>
      </c>
      <c r="AN1422">
        <v>0</v>
      </c>
      <c r="AO1422">
        <v>0</v>
      </c>
      <c r="AP1422" t="s">
        <v>69</v>
      </c>
      <c r="AS1422" t="s">
        <v>86</v>
      </c>
      <c r="AT1422" t="s">
        <v>86</v>
      </c>
      <c r="AU1422" t="s">
        <v>86</v>
      </c>
      <c r="AV1422" t="s">
        <v>4092</v>
      </c>
      <c r="AW1422" t="s">
        <v>69</v>
      </c>
      <c r="AX1422" t="s">
        <v>126</v>
      </c>
      <c r="AY1422" t="s">
        <v>4093</v>
      </c>
      <c r="AZ1422" t="s">
        <v>264</v>
      </c>
      <c r="BA1422" t="s">
        <v>244</v>
      </c>
      <c r="BB1422" t="s">
        <v>243</v>
      </c>
      <c r="BC1422" t="s">
        <v>245</v>
      </c>
      <c r="BD1422" t="s">
        <v>4094</v>
      </c>
      <c r="BE1422" t="s">
        <v>4095</v>
      </c>
      <c r="BF1422" t="s">
        <v>279</v>
      </c>
      <c r="BG1422" t="s">
        <v>110</v>
      </c>
      <c r="BH1422" t="str">
        <f>IF(COUNTIF(工作表1!A:A, $C1422)&gt;0, "預購款", "非預購款")</f>
        <v>非預購款</v>
      </c>
    </row>
    <row r="1423" spans="1:60" x14ac:dyDescent="0.25">
      <c r="A1423" t="s">
        <v>4087</v>
      </c>
      <c r="B1423" t="s">
        <v>226</v>
      </c>
      <c r="C1423" t="s">
        <v>4088</v>
      </c>
      <c r="D1423" t="s">
        <v>4089</v>
      </c>
      <c r="E1423" t="s">
        <v>4090</v>
      </c>
      <c r="F1423" t="s">
        <v>196</v>
      </c>
      <c r="G1423" t="s">
        <v>4091</v>
      </c>
      <c r="H1423" t="s">
        <v>501</v>
      </c>
      <c r="I1423" t="s">
        <v>120</v>
      </c>
      <c r="J1423" t="s">
        <v>121</v>
      </c>
      <c r="K1423" t="s">
        <v>80</v>
      </c>
      <c r="L1423" t="s">
        <v>4082</v>
      </c>
      <c r="M1423" t="s">
        <v>71</v>
      </c>
      <c r="N1423" t="s">
        <v>198</v>
      </c>
      <c r="O1423" t="s">
        <v>3966</v>
      </c>
      <c r="P1423" t="s">
        <v>3967</v>
      </c>
      <c r="R1423" t="s">
        <v>1798</v>
      </c>
      <c r="S1423" t="s">
        <v>201</v>
      </c>
      <c r="T1423" t="s">
        <v>274</v>
      </c>
      <c r="U1423" t="s">
        <v>383</v>
      </c>
      <c r="V1423" t="s">
        <v>124</v>
      </c>
      <c r="W1423">
        <v>790</v>
      </c>
      <c r="X1423">
        <v>34.99</v>
      </c>
      <c r="Y1423">
        <v>99</v>
      </c>
      <c r="Z1423">
        <v>569000</v>
      </c>
      <c r="AA1423">
        <v>268600</v>
      </c>
      <c r="AB1423">
        <v>400</v>
      </c>
      <c r="AD1423" t="s">
        <v>238</v>
      </c>
      <c r="AE1423">
        <v>2</v>
      </c>
      <c r="AF1423">
        <v>0</v>
      </c>
      <c r="AI1423">
        <v>15</v>
      </c>
      <c r="AJ1423">
        <v>25</v>
      </c>
      <c r="AK1423">
        <v>40</v>
      </c>
      <c r="AL1423">
        <v>340</v>
      </c>
      <c r="AM1423">
        <v>0</v>
      </c>
      <c r="AN1423">
        <v>0</v>
      </c>
      <c r="AO1423">
        <v>0</v>
      </c>
      <c r="AP1423" t="s">
        <v>69</v>
      </c>
      <c r="AS1423" t="s">
        <v>86</v>
      </c>
      <c r="AT1423" t="s">
        <v>86</v>
      </c>
      <c r="AU1423" t="s">
        <v>86</v>
      </c>
      <c r="AV1423" t="s">
        <v>4092</v>
      </c>
      <c r="AW1423" t="s">
        <v>69</v>
      </c>
      <c r="AX1423" t="s">
        <v>126</v>
      </c>
      <c r="AY1423" t="s">
        <v>4093</v>
      </c>
      <c r="AZ1423" t="s">
        <v>264</v>
      </c>
      <c r="BA1423" t="s">
        <v>244</v>
      </c>
      <c r="BB1423" t="s">
        <v>243</v>
      </c>
      <c r="BC1423" t="s">
        <v>245</v>
      </c>
      <c r="BD1423" t="s">
        <v>4096</v>
      </c>
      <c r="BE1423" t="s">
        <v>4095</v>
      </c>
      <c r="BF1423" t="s">
        <v>279</v>
      </c>
      <c r="BG1423" t="s">
        <v>110</v>
      </c>
      <c r="BH1423" t="str">
        <f>IF(COUNTIF(工作表1!A:A, $C1423)&gt;0, "預購款", "非預購款")</f>
        <v>非預購款</v>
      </c>
    </row>
    <row r="1424" spans="1:60" x14ac:dyDescent="0.25">
      <c r="A1424" t="s">
        <v>4087</v>
      </c>
      <c r="B1424" t="s">
        <v>226</v>
      </c>
      <c r="C1424" t="s">
        <v>4088</v>
      </c>
      <c r="D1424" t="s">
        <v>4089</v>
      </c>
      <c r="E1424" t="s">
        <v>4090</v>
      </c>
      <c r="F1424" t="s">
        <v>196</v>
      </c>
      <c r="G1424" t="s">
        <v>4091</v>
      </c>
      <c r="H1424" t="s">
        <v>280</v>
      </c>
      <c r="I1424" t="s">
        <v>120</v>
      </c>
      <c r="J1424" t="s">
        <v>121</v>
      </c>
      <c r="K1424" t="s">
        <v>80</v>
      </c>
      <c r="L1424" t="s">
        <v>4082</v>
      </c>
      <c r="M1424" t="s">
        <v>71</v>
      </c>
      <c r="N1424" t="s">
        <v>198</v>
      </c>
      <c r="O1424" t="s">
        <v>3966</v>
      </c>
      <c r="P1424" t="s">
        <v>3967</v>
      </c>
      <c r="R1424" t="s">
        <v>1798</v>
      </c>
      <c r="S1424" t="s">
        <v>201</v>
      </c>
      <c r="T1424" t="s">
        <v>274</v>
      </c>
      <c r="U1424" t="s">
        <v>383</v>
      </c>
      <c r="V1424" t="s">
        <v>124</v>
      </c>
      <c r="W1424">
        <v>790</v>
      </c>
      <c r="X1424">
        <v>34.99</v>
      </c>
      <c r="Y1424">
        <v>99</v>
      </c>
      <c r="Z1424">
        <v>569000</v>
      </c>
      <c r="AA1424">
        <v>268600</v>
      </c>
      <c r="AB1424">
        <v>400</v>
      </c>
      <c r="AD1424" t="s">
        <v>238</v>
      </c>
      <c r="AE1424">
        <v>2</v>
      </c>
      <c r="AF1424">
        <v>0</v>
      </c>
      <c r="AI1424">
        <v>20</v>
      </c>
      <c r="AJ1424">
        <v>40</v>
      </c>
      <c r="AK1424">
        <v>60</v>
      </c>
      <c r="AL1424">
        <v>340</v>
      </c>
      <c r="AM1424">
        <v>0</v>
      </c>
      <c r="AN1424">
        <v>0</v>
      </c>
      <c r="AO1424">
        <v>0</v>
      </c>
      <c r="AP1424" t="s">
        <v>69</v>
      </c>
      <c r="AS1424" t="s">
        <v>86</v>
      </c>
      <c r="AT1424" t="s">
        <v>86</v>
      </c>
      <c r="AU1424" t="s">
        <v>86</v>
      </c>
      <c r="AV1424" t="s">
        <v>4092</v>
      </c>
      <c r="AW1424" t="s">
        <v>69</v>
      </c>
      <c r="AX1424" t="s">
        <v>126</v>
      </c>
      <c r="AY1424" t="s">
        <v>4093</v>
      </c>
      <c r="AZ1424" t="s">
        <v>264</v>
      </c>
      <c r="BA1424" t="s">
        <v>244</v>
      </c>
      <c r="BB1424" t="s">
        <v>243</v>
      </c>
      <c r="BC1424" t="s">
        <v>245</v>
      </c>
      <c r="BD1424" t="s">
        <v>4097</v>
      </c>
      <c r="BE1424" t="s">
        <v>4095</v>
      </c>
      <c r="BF1424" t="s">
        <v>279</v>
      </c>
      <c r="BG1424" t="s">
        <v>110</v>
      </c>
      <c r="BH1424" t="str">
        <f>IF(COUNTIF(工作表1!A:A, $C1424)&gt;0, "預購款", "非預購款")</f>
        <v>非預購款</v>
      </c>
    </row>
    <row r="1425" spans="1:60" x14ac:dyDescent="0.25">
      <c r="A1425" t="s">
        <v>4087</v>
      </c>
      <c r="B1425" t="s">
        <v>226</v>
      </c>
      <c r="C1425" t="s">
        <v>4088</v>
      </c>
      <c r="D1425" t="s">
        <v>4089</v>
      </c>
      <c r="E1425" t="s">
        <v>4090</v>
      </c>
      <c r="F1425" t="s">
        <v>196</v>
      </c>
      <c r="G1425" t="s">
        <v>4091</v>
      </c>
      <c r="H1425" t="s">
        <v>273</v>
      </c>
      <c r="I1425" t="s">
        <v>97</v>
      </c>
      <c r="J1425" t="s">
        <v>98</v>
      </c>
      <c r="K1425" t="s">
        <v>69</v>
      </c>
      <c r="L1425" t="s">
        <v>4082</v>
      </c>
      <c r="M1425" t="s">
        <v>71</v>
      </c>
      <c r="N1425" t="s">
        <v>198</v>
      </c>
      <c r="O1425" t="s">
        <v>3966</v>
      </c>
      <c r="P1425" t="s">
        <v>3967</v>
      </c>
      <c r="R1425" t="s">
        <v>1798</v>
      </c>
      <c r="S1425" t="s">
        <v>201</v>
      </c>
      <c r="T1425" t="s">
        <v>274</v>
      </c>
      <c r="U1425" t="s">
        <v>383</v>
      </c>
      <c r="V1425" t="s">
        <v>124</v>
      </c>
      <c r="W1425">
        <v>790</v>
      </c>
      <c r="X1425">
        <v>34.99</v>
      </c>
      <c r="Y1425">
        <v>99</v>
      </c>
      <c r="Z1425">
        <v>569000</v>
      </c>
      <c r="AA1425">
        <v>268600</v>
      </c>
      <c r="AB1425">
        <v>400</v>
      </c>
      <c r="AD1425" t="s">
        <v>238</v>
      </c>
      <c r="AE1425">
        <v>2</v>
      </c>
      <c r="AF1425">
        <v>0</v>
      </c>
      <c r="AI1425">
        <v>10</v>
      </c>
      <c r="AJ1425">
        <v>85</v>
      </c>
      <c r="AK1425">
        <v>95</v>
      </c>
      <c r="AL1425">
        <v>340</v>
      </c>
      <c r="AM1425">
        <v>0</v>
      </c>
      <c r="AN1425">
        <v>0</v>
      </c>
      <c r="AO1425">
        <v>0</v>
      </c>
      <c r="AP1425" t="s">
        <v>69</v>
      </c>
      <c r="AS1425" t="s">
        <v>86</v>
      </c>
      <c r="AT1425" t="s">
        <v>86</v>
      </c>
      <c r="AU1425" t="s">
        <v>86</v>
      </c>
      <c r="AV1425" t="s">
        <v>4092</v>
      </c>
      <c r="AW1425" t="s">
        <v>69</v>
      </c>
      <c r="AX1425" t="s">
        <v>126</v>
      </c>
      <c r="AY1425" t="s">
        <v>4093</v>
      </c>
      <c r="AZ1425" t="s">
        <v>264</v>
      </c>
      <c r="BA1425" t="s">
        <v>244</v>
      </c>
      <c r="BB1425" t="s">
        <v>243</v>
      </c>
      <c r="BC1425" t="s">
        <v>245</v>
      </c>
      <c r="BD1425" t="s">
        <v>4098</v>
      </c>
      <c r="BE1425" t="s">
        <v>4095</v>
      </c>
      <c r="BF1425" t="s">
        <v>279</v>
      </c>
      <c r="BG1425" t="s">
        <v>110</v>
      </c>
      <c r="BH1425" t="str">
        <f>IF(COUNTIF(工作表1!A:A, $C1425)&gt;0, "預購款", "非預購款")</f>
        <v>非預購款</v>
      </c>
    </row>
    <row r="1426" spans="1:60" x14ac:dyDescent="0.25">
      <c r="A1426" t="s">
        <v>4087</v>
      </c>
      <c r="B1426" t="s">
        <v>226</v>
      </c>
      <c r="C1426" t="s">
        <v>4088</v>
      </c>
      <c r="D1426" t="s">
        <v>4089</v>
      </c>
      <c r="E1426" t="s">
        <v>4090</v>
      </c>
      <c r="F1426" t="s">
        <v>196</v>
      </c>
      <c r="G1426" t="s">
        <v>4091</v>
      </c>
      <c r="H1426" t="s">
        <v>501</v>
      </c>
      <c r="I1426" t="s">
        <v>97</v>
      </c>
      <c r="J1426" t="s">
        <v>98</v>
      </c>
      <c r="K1426" t="s">
        <v>69</v>
      </c>
      <c r="L1426" t="s">
        <v>4082</v>
      </c>
      <c r="M1426" t="s">
        <v>71</v>
      </c>
      <c r="N1426" t="s">
        <v>198</v>
      </c>
      <c r="O1426" t="s">
        <v>3966</v>
      </c>
      <c r="P1426" t="s">
        <v>3967</v>
      </c>
      <c r="R1426" t="s">
        <v>1798</v>
      </c>
      <c r="S1426" t="s">
        <v>201</v>
      </c>
      <c r="T1426" t="s">
        <v>274</v>
      </c>
      <c r="U1426" t="s">
        <v>383</v>
      </c>
      <c r="V1426" t="s">
        <v>124</v>
      </c>
      <c r="W1426">
        <v>790</v>
      </c>
      <c r="X1426">
        <v>34.99</v>
      </c>
      <c r="Y1426">
        <v>99</v>
      </c>
      <c r="Z1426">
        <v>569000</v>
      </c>
      <c r="AA1426">
        <v>268600</v>
      </c>
      <c r="AB1426">
        <v>400</v>
      </c>
      <c r="AD1426" t="s">
        <v>238</v>
      </c>
      <c r="AE1426">
        <v>2</v>
      </c>
      <c r="AF1426">
        <v>0</v>
      </c>
      <c r="AI1426">
        <v>10</v>
      </c>
      <c r="AJ1426">
        <v>10</v>
      </c>
      <c r="AK1426">
        <v>20</v>
      </c>
      <c r="AL1426">
        <v>340</v>
      </c>
      <c r="AM1426">
        <v>0</v>
      </c>
      <c r="AN1426">
        <v>0</v>
      </c>
      <c r="AO1426">
        <v>0</v>
      </c>
      <c r="AP1426" t="s">
        <v>69</v>
      </c>
      <c r="AS1426" t="s">
        <v>86</v>
      </c>
      <c r="AT1426" t="s">
        <v>86</v>
      </c>
      <c r="AU1426" t="s">
        <v>86</v>
      </c>
      <c r="AV1426" t="s">
        <v>4092</v>
      </c>
      <c r="AW1426" t="s">
        <v>69</v>
      </c>
      <c r="AX1426" t="s">
        <v>126</v>
      </c>
      <c r="AY1426" t="s">
        <v>4093</v>
      </c>
      <c r="AZ1426" t="s">
        <v>264</v>
      </c>
      <c r="BA1426" t="s">
        <v>244</v>
      </c>
      <c r="BB1426" t="s">
        <v>243</v>
      </c>
      <c r="BC1426" t="s">
        <v>245</v>
      </c>
      <c r="BD1426" t="s">
        <v>4099</v>
      </c>
      <c r="BE1426" t="s">
        <v>4095</v>
      </c>
      <c r="BF1426" t="s">
        <v>279</v>
      </c>
      <c r="BG1426" t="s">
        <v>110</v>
      </c>
      <c r="BH1426" t="str">
        <f>IF(COUNTIF(工作表1!A:A, $C1426)&gt;0, "預購款", "非預購款")</f>
        <v>非預購款</v>
      </c>
    </row>
    <row r="1427" spans="1:60" x14ac:dyDescent="0.25">
      <c r="A1427" t="s">
        <v>4087</v>
      </c>
      <c r="B1427" t="s">
        <v>226</v>
      </c>
      <c r="C1427" t="s">
        <v>4088</v>
      </c>
      <c r="D1427" t="s">
        <v>4089</v>
      </c>
      <c r="E1427" t="s">
        <v>4090</v>
      </c>
      <c r="F1427" t="s">
        <v>196</v>
      </c>
      <c r="G1427" t="s">
        <v>4091</v>
      </c>
      <c r="H1427" t="s">
        <v>280</v>
      </c>
      <c r="I1427" t="s">
        <v>97</v>
      </c>
      <c r="J1427" t="s">
        <v>98</v>
      </c>
      <c r="K1427" t="s">
        <v>69</v>
      </c>
      <c r="L1427" t="s">
        <v>4082</v>
      </c>
      <c r="M1427" t="s">
        <v>71</v>
      </c>
      <c r="N1427" t="s">
        <v>198</v>
      </c>
      <c r="O1427" t="s">
        <v>3966</v>
      </c>
      <c r="P1427" t="s">
        <v>3967</v>
      </c>
      <c r="R1427" t="s">
        <v>1798</v>
      </c>
      <c r="S1427" t="s">
        <v>201</v>
      </c>
      <c r="T1427" t="s">
        <v>274</v>
      </c>
      <c r="U1427" t="s">
        <v>383</v>
      </c>
      <c r="V1427" t="s">
        <v>124</v>
      </c>
      <c r="W1427">
        <v>790</v>
      </c>
      <c r="X1427">
        <v>34.99</v>
      </c>
      <c r="Y1427">
        <v>99</v>
      </c>
      <c r="Z1427">
        <v>569000</v>
      </c>
      <c r="AA1427">
        <v>268600</v>
      </c>
      <c r="AB1427">
        <v>400</v>
      </c>
      <c r="AD1427" t="s">
        <v>238</v>
      </c>
      <c r="AE1427">
        <v>2</v>
      </c>
      <c r="AF1427">
        <v>0</v>
      </c>
      <c r="AI1427">
        <v>10</v>
      </c>
      <c r="AJ1427">
        <v>25</v>
      </c>
      <c r="AK1427">
        <v>35</v>
      </c>
      <c r="AL1427">
        <v>340</v>
      </c>
      <c r="AM1427">
        <v>0</v>
      </c>
      <c r="AN1427">
        <v>0</v>
      </c>
      <c r="AO1427">
        <v>0</v>
      </c>
      <c r="AP1427" t="s">
        <v>69</v>
      </c>
      <c r="AS1427" t="s">
        <v>86</v>
      </c>
      <c r="AT1427" t="s">
        <v>86</v>
      </c>
      <c r="AU1427" t="s">
        <v>86</v>
      </c>
      <c r="AV1427" t="s">
        <v>4092</v>
      </c>
      <c r="AW1427" t="s">
        <v>69</v>
      </c>
      <c r="AX1427" t="s">
        <v>126</v>
      </c>
      <c r="AY1427" t="s">
        <v>4093</v>
      </c>
      <c r="AZ1427" t="s">
        <v>264</v>
      </c>
      <c r="BA1427" t="s">
        <v>244</v>
      </c>
      <c r="BB1427" t="s">
        <v>243</v>
      </c>
      <c r="BC1427" t="s">
        <v>245</v>
      </c>
      <c r="BD1427" t="s">
        <v>4100</v>
      </c>
      <c r="BE1427" t="s">
        <v>4095</v>
      </c>
      <c r="BF1427" t="s">
        <v>279</v>
      </c>
      <c r="BG1427" t="s">
        <v>110</v>
      </c>
      <c r="BH1427" t="str">
        <f>IF(COUNTIF(工作表1!A:A, $C1427)&gt;0, "預購款", "非預購款")</f>
        <v>非預購款</v>
      </c>
    </row>
    <row r="1428" spans="1:60" x14ac:dyDescent="0.25">
      <c r="A1428" t="s">
        <v>1236</v>
      </c>
      <c r="B1428" t="s">
        <v>283</v>
      </c>
      <c r="C1428" t="s">
        <v>1237</v>
      </c>
      <c r="D1428" t="s">
        <v>1238</v>
      </c>
      <c r="E1428" t="s">
        <v>1239</v>
      </c>
      <c r="F1428" t="s">
        <v>196</v>
      </c>
      <c r="G1428" t="s">
        <v>1240</v>
      </c>
      <c r="H1428" t="s">
        <v>119</v>
      </c>
      <c r="I1428" t="s">
        <v>97</v>
      </c>
      <c r="J1428" t="s">
        <v>98</v>
      </c>
      <c r="K1428" t="s">
        <v>69</v>
      </c>
      <c r="L1428" t="s">
        <v>1241</v>
      </c>
      <c r="M1428" t="s">
        <v>71</v>
      </c>
      <c r="N1428" t="s">
        <v>100</v>
      </c>
      <c r="O1428" t="s">
        <v>1136</v>
      </c>
      <c r="P1428" t="s">
        <v>1137</v>
      </c>
      <c r="R1428" t="s">
        <v>1138</v>
      </c>
      <c r="S1428" t="s">
        <v>201</v>
      </c>
      <c r="T1428" t="s">
        <v>76</v>
      </c>
      <c r="U1428" t="s">
        <v>104</v>
      </c>
      <c r="V1428" t="s">
        <v>653</v>
      </c>
      <c r="W1428">
        <v>490</v>
      </c>
      <c r="X1428">
        <v>22.99</v>
      </c>
      <c r="Y1428">
        <v>60</v>
      </c>
      <c r="Z1428">
        <v>355000</v>
      </c>
      <c r="AA1428">
        <v>88200</v>
      </c>
      <c r="AB1428">
        <v>178</v>
      </c>
      <c r="AD1428" t="s">
        <v>238</v>
      </c>
      <c r="AE1428">
        <v>1</v>
      </c>
      <c r="AF1428">
        <v>0</v>
      </c>
      <c r="AI1428">
        <v>0</v>
      </c>
      <c r="AJ1428">
        <v>80</v>
      </c>
      <c r="AK1428">
        <v>80</v>
      </c>
      <c r="AL1428">
        <v>180</v>
      </c>
      <c r="AM1428">
        <v>74</v>
      </c>
      <c r="AN1428">
        <v>0</v>
      </c>
      <c r="AO1428">
        <v>74</v>
      </c>
      <c r="AP1428" t="s">
        <v>69</v>
      </c>
      <c r="AR1428" t="s">
        <v>261</v>
      </c>
      <c r="AS1428" t="s">
        <v>261</v>
      </c>
      <c r="AT1428" t="s">
        <v>261</v>
      </c>
      <c r="AU1428" t="s">
        <v>261</v>
      </c>
      <c r="AV1428" t="s">
        <v>1033</v>
      </c>
      <c r="AW1428" t="s">
        <v>69</v>
      </c>
      <c r="AX1428" t="s">
        <v>218</v>
      </c>
      <c r="AY1428" t="s">
        <v>1242</v>
      </c>
      <c r="AZ1428" t="s">
        <v>243</v>
      </c>
      <c r="BA1428" t="s">
        <v>244</v>
      </c>
      <c r="BB1428" t="s">
        <v>244</v>
      </c>
      <c r="BC1428" t="s">
        <v>244</v>
      </c>
      <c r="BD1428" t="s">
        <v>1243</v>
      </c>
      <c r="BE1428" t="s">
        <v>4101</v>
      </c>
      <c r="BF1428" t="s">
        <v>786</v>
      </c>
      <c r="BG1428" t="s">
        <v>110</v>
      </c>
      <c r="BH1428" t="str">
        <f>IF(COUNTIF(工作表1!A:A, $C1428)&gt;0, "預購款", "非預購款")</f>
        <v>非預購款</v>
      </c>
    </row>
    <row r="1429" spans="1:60" x14ac:dyDescent="0.25">
      <c r="A1429" t="s">
        <v>1236</v>
      </c>
      <c r="B1429" t="s">
        <v>283</v>
      </c>
      <c r="C1429" t="s">
        <v>1237</v>
      </c>
      <c r="D1429" t="s">
        <v>1238</v>
      </c>
      <c r="E1429" t="s">
        <v>1239</v>
      </c>
      <c r="F1429" t="s">
        <v>196</v>
      </c>
      <c r="G1429" t="s">
        <v>1240</v>
      </c>
      <c r="H1429" t="s">
        <v>130</v>
      </c>
      <c r="I1429" t="s">
        <v>97</v>
      </c>
      <c r="J1429" t="s">
        <v>98</v>
      </c>
      <c r="K1429" t="s">
        <v>69</v>
      </c>
      <c r="L1429" t="s">
        <v>1241</v>
      </c>
      <c r="M1429" t="s">
        <v>71</v>
      </c>
      <c r="N1429" t="s">
        <v>100</v>
      </c>
      <c r="O1429" t="s">
        <v>1136</v>
      </c>
      <c r="P1429" t="s">
        <v>1137</v>
      </c>
      <c r="R1429" t="s">
        <v>1138</v>
      </c>
      <c r="S1429" t="s">
        <v>201</v>
      </c>
      <c r="T1429" t="s">
        <v>76</v>
      </c>
      <c r="U1429" t="s">
        <v>104</v>
      </c>
      <c r="V1429" t="s">
        <v>653</v>
      </c>
      <c r="W1429">
        <v>490</v>
      </c>
      <c r="X1429">
        <v>22.99</v>
      </c>
      <c r="Y1429">
        <v>60</v>
      </c>
      <c r="Z1429">
        <v>355000</v>
      </c>
      <c r="AA1429">
        <v>88200</v>
      </c>
      <c r="AB1429">
        <v>178</v>
      </c>
      <c r="AD1429" t="s">
        <v>238</v>
      </c>
      <c r="AE1429">
        <v>1</v>
      </c>
      <c r="AF1429">
        <v>0</v>
      </c>
      <c r="AI1429">
        <v>0</v>
      </c>
      <c r="AJ1429">
        <v>70</v>
      </c>
      <c r="AK1429">
        <v>70</v>
      </c>
      <c r="AL1429">
        <v>180</v>
      </c>
      <c r="AM1429">
        <v>67</v>
      </c>
      <c r="AN1429">
        <v>0</v>
      </c>
      <c r="AO1429">
        <v>67</v>
      </c>
      <c r="AP1429" t="s">
        <v>69</v>
      </c>
      <c r="AR1429" t="s">
        <v>261</v>
      </c>
      <c r="AS1429" t="s">
        <v>261</v>
      </c>
      <c r="AT1429" t="s">
        <v>261</v>
      </c>
      <c r="AU1429" t="s">
        <v>261</v>
      </c>
      <c r="AV1429" t="s">
        <v>1033</v>
      </c>
      <c r="AW1429" t="s">
        <v>69</v>
      </c>
      <c r="AX1429" t="s">
        <v>218</v>
      </c>
      <c r="AY1429" t="s">
        <v>1242</v>
      </c>
      <c r="AZ1429" t="s">
        <v>243</v>
      </c>
      <c r="BA1429" t="s">
        <v>244</v>
      </c>
      <c r="BB1429" t="s">
        <v>244</v>
      </c>
      <c r="BC1429" t="s">
        <v>244</v>
      </c>
      <c r="BD1429" t="s">
        <v>1245</v>
      </c>
      <c r="BE1429" t="s">
        <v>4101</v>
      </c>
      <c r="BF1429" t="s">
        <v>786</v>
      </c>
      <c r="BG1429" t="s">
        <v>110</v>
      </c>
      <c r="BH1429" t="str">
        <f>IF(COUNTIF(工作表1!A:A, $C1429)&gt;0, "預購款", "非預購款")</f>
        <v>非預購款</v>
      </c>
    </row>
    <row r="1430" spans="1:60" x14ac:dyDescent="0.25">
      <c r="A1430" t="s">
        <v>1236</v>
      </c>
      <c r="B1430" t="s">
        <v>283</v>
      </c>
      <c r="C1430" t="s">
        <v>1237</v>
      </c>
      <c r="D1430" t="s">
        <v>1238</v>
      </c>
      <c r="E1430" t="s">
        <v>1239</v>
      </c>
      <c r="F1430" t="s">
        <v>196</v>
      </c>
      <c r="G1430" t="s">
        <v>1240</v>
      </c>
      <c r="H1430" t="s">
        <v>132</v>
      </c>
      <c r="I1430" t="s">
        <v>97</v>
      </c>
      <c r="J1430" t="s">
        <v>98</v>
      </c>
      <c r="K1430" t="s">
        <v>69</v>
      </c>
      <c r="L1430" t="s">
        <v>1241</v>
      </c>
      <c r="M1430" t="s">
        <v>71</v>
      </c>
      <c r="N1430" t="s">
        <v>100</v>
      </c>
      <c r="O1430" t="s">
        <v>1136</v>
      </c>
      <c r="P1430" t="s">
        <v>1137</v>
      </c>
      <c r="R1430" t="s">
        <v>1138</v>
      </c>
      <c r="S1430" t="s">
        <v>201</v>
      </c>
      <c r="T1430" t="s">
        <v>76</v>
      </c>
      <c r="U1430" t="s">
        <v>104</v>
      </c>
      <c r="V1430" t="s">
        <v>653</v>
      </c>
      <c r="W1430">
        <v>490</v>
      </c>
      <c r="X1430">
        <v>22.99</v>
      </c>
      <c r="Y1430">
        <v>60</v>
      </c>
      <c r="Z1430">
        <v>355000</v>
      </c>
      <c r="AA1430">
        <v>88200</v>
      </c>
      <c r="AB1430">
        <v>178</v>
      </c>
      <c r="AD1430" t="s">
        <v>238</v>
      </c>
      <c r="AE1430">
        <v>1</v>
      </c>
      <c r="AF1430">
        <v>0</v>
      </c>
      <c r="AI1430">
        <v>0</v>
      </c>
      <c r="AJ1430">
        <v>30</v>
      </c>
      <c r="AK1430">
        <v>30</v>
      </c>
      <c r="AL1430">
        <v>180</v>
      </c>
      <c r="AM1430">
        <v>29</v>
      </c>
      <c r="AN1430">
        <v>0</v>
      </c>
      <c r="AO1430">
        <v>29</v>
      </c>
      <c r="AP1430" t="s">
        <v>69</v>
      </c>
      <c r="AR1430" t="s">
        <v>261</v>
      </c>
      <c r="AS1430" t="s">
        <v>261</v>
      </c>
      <c r="AT1430" t="s">
        <v>261</v>
      </c>
      <c r="AU1430" t="s">
        <v>261</v>
      </c>
      <c r="AV1430" t="s">
        <v>1033</v>
      </c>
      <c r="AW1430" t="s">
        <v>69</v>
      </c>
      <c r="AX1430" t="s">
        <v>218</v>
      </c>
      <c r="AY1430" t="s">
        <v>1242</v>
      </c>
      <c r="AZ1430" t="s">
        <v>243</v>
      </c>
      <c r="BA1430" t="s">
        <v>244</v>
      </c>
      <c r="BB1430" t="s">
        <v>244</v>
      </c>
      <c r="BC1430" t="s">
        <v>244</v>
      </c>
      <c r="BD1430" t="s">
        <v>1246</v>
      </c>
      <c r="BE1430" t="s">
        <v>4101</v>
      </c>
      <c r="BF1430" t="s">
        <v>786</v>
      </c>
      <c r="BG1430" t="s">
        <v>110</v>
      </c>
      <c r="BH1430" t="str">
        <f>IF(COUNTIF(工作表1!A:A, $C1430)&gt;0, "預購款", "非預購款")</f>
        <v>非預購款</v>
      </c>
    </row>
    <row r="1431" spans="1:60" x14ac:dyDescent="0.25">
      <c r="A1431" t="s">
        <v>1792</v>
      </c>
      <c r="B1431" t="s">
        <v>283</v>
      </c>
      <c r="C1431" t="s">
        <v>1793</v>
      </c>
      <c r="D1431" t="s">
        <v>1794</v>
      </c>
      <c r="E1431" t="s">
        <v>1795</v>
      </c>
      <c r="F1431" t="s">
        <v>196</v>
      </c>
      <c r="G1431" t="s">
        <v>1796</v>
      </c>
      <c r="H1431" t="s">
        <v>119</v>
      </c>
      <c r="I1431" t="s">
        <v>97</v>
      </c>
      <c r="J1431" t="s">
        <v>98</v>
      </c>
      <c r="K1431" t="s">
        <v>69</v>
      </c>
      <c r="L1431" t="s">
        <v>1797</v>
      </c>
      <c r="M1431" t="s">
        <v>71</v>
      </c>
      <c r="N1431" t="s">
        <v>100</v>
      </c>
      <c r="O1431" t="s">
        <v>1648</v>
      </c>
      <c r="P1431" t="s">
        <v>1649</v>
      </c>
      <c r="R1431" t="s">
        <v>1798</v>
      </c>
      <c r="S1431" t="s">
        <v>201</v>
      </c>
      <c r="T1431" t="s">
        <v>258</v>
      </c>
      <c r="U1431" t="s">
        <v>104</v>
      </c>
      <c r="V1431" t="s">
        <v>1799</v>
      </c>
      <c r="W1431">
        <v>690</v>
      </c>
      <c r="X1431">
        <v>29.99</v>
      </c>
      <c r="Y1431">
        <v>89</v>
      </c>
      <c r="Z1431">
        <v>499000</v>
      </c>
      <c r="AA1431">
        <v>400200</v>
      </c>
      <c r="AB1431">
        <v>200</v>
      </c>
      <c r="AD1431" t="s">
        <v>238</v>
      </c>
      <c r="AE1431">
        <v>3</v>
      </c>
      <c r="AF1431">
        <v>0</v>
      </c>
      <c r="AI1431">
        <v>0</v>
      </c>
      <c r="AJ1431">
        <v>100</v>
      </c>
      <c r="AK1431">
        <v>100</v>
      </c>
      <c r="AL1431">
        <v>580</v>
      </c>
      <c r="AM1431">
        <v>0</v>
      </c>
      <c r="AN1431">
        <v>0</v>
      </c>
      <c r="AO1431">
        <v>0</v>
      </c>
      <c r="AP1431" t="s">
        <v>69</v>
      </c>
      <c r="AR1431" t="s">
        <v>86</v>
      </c>
      <c r="AS1431" t="s">
        <v>86</v>
      </c>
      <c r="AT1431" t="s">
        <v>86</v>
      </c>
      <c r="AU1431" t="s">
        <v>86</v>
      </c>
      <c r="AV1431" t="s">
        <v>1800</v>
      </c>
      <c r="AW1431" t="s">
        <v>69</v>
      </c>
      <c r="AX1431" t="s">
        <v>737</v>
      </c>
      <c r="AY1431" t="s">
        <v>1801</v>
      </c>
      <c r="AZ1431" t="s">
        <v>310</v>
      </c>
      <c r="BA1431" t="s">
        <v>244</v>
      </c>
      <c r="BB1431" t="s">
        <v>264</v>
      </c>
      <c r="BC1431" t="s">
        <v>244</v>
      </c>
      <c r="BD1431" t="s">
        <v>1802</v>
      </c>
      <c r="BE1431" t="s">
        <v>4102</v>
      </c>
      <c r="BF1431" t="s">
        <v>240</v>
      </c>
      <c r="BG1431" t="s">
        <v>110</v>
      </c>
      <c r="BH1431" t="str">
        <f>IF(COUNTIF(工作表1!A:A, $C1431)&gt;0, "預購款", "非預購款")</f>
        <v>非預購款</v>
      </c>
    </row>
    <row r="1432" spans="1:60" x14ac:dyDescent="0.25">
      <c r="A1432" t="s">
        <v>1792</v>
      </c>
      <c r="B1432" t="s">
        <v>283</v>
      </c>
      <c r="C1432" t="s">
        <v>1793</v>
      </c>
      <c r="D1432" t="s">
        <v>1794</v>
      </c>
      <c r="E1432" t="s">
        <v>1795</v>
      </c>
      <c r="F1432" t="s">
        <v>196</v>
      </c>
      <c r="G1432" t="s">
        <v>1796</v>
      </c>
      <c r="H1432" t="s">
        <v>130</v>
      </c>
      <c r="I1432" t="s">
        <v>97</v>
      </c>
      <c r="J1432" t="s">
        <v>98</v>
      </c>
      <c r="K1432" t="s">
        <v>69</v>
      </c>
      <c r="L1432" t="s">
        <v>1797</v>
      </c>
      <c r="M1432" t="s">
        <v>71</v>
      </c>
      <c r="N1432" t="s">
        <v>100</v>
      </c>
      <c r="O1432" t="s">
        <v>1648</v>
      </c>
      <c r="P1432" t="s">
        <v>1649</v>
      </c>
      <c r="R1432" t="s">
        <v>1798</v>
      </c>
      <c r="S1432" t="s">
        <v>201</v>
      </c>
      <c r="T1432" t="s">
        <v>258</v>
      </c>
      <c r="U1432" t="s">
        <v>104</v>
      </c>
      <c r="V1432" t="s">
        <v>1799</v>
      </c>
      <c r="W1432">
        <v>690</v>
      </c>
      <c r="X1432">
        <v>29.99</v>
      </c>
      <c r="Y1432">
        <v>89</v>
      </c>
      <c r="Z1432">
        <v>499000</v>
      </c>
      <c r="AA1432">
        <v>400200</v>
      </c>
      <c r="AB1432">
        <v>200</v>
      </c>
      <c r="AD1432" t="s">
        <v>238</v>
      </c>
      <c r="AE1432">
        <v>3</v>
      </c>
      <c r="AF1432">
        <v>0</v>
      </c>
      <c r="AI1432">
        <v>15</v>
      </c>
      <c r="AJ1432">
        <v>65</v>
      </c>
      <c r="AK1432">
        <v>80</v>
      </c>
      <c r="AL1432">
        <v>580</v>
      </c>
      <c r="AM1432">
        <v>0</v>
      </c>
      <c r="AN1432">
        <v>0</v>
      </c>
      <c r="AO1432">
        <v>0</v>
      </c>
      <c r="AP1432" t="s">
        <v>69</v>
      </c>
      <c r="AR1432" t="s">
        <v>86</v>
      </c>
      <c r="AS1432" t="s">
        <v>86</v>
      </c>
      <c r="AT1432" t="s">
        <v>86</v>
      </c>
      <c r="AU1432" t="s">
        <v>86</v>
      </c>
      <c r="AV1432" t="s">
        <v>1800</v>
      </c>
      <c r="AW1432" t="s">
        <v>69</v>
      </c>
      <c r="AX1432" t="s">
        <v>737</v>
      </c>
      <c r="AY1432" t="s">
        <v>1801</v>
      </c>
      <c r="AZ1432" t="s">
        <v>310</v>
      </c>
      <c r="BA1432" t="s">
        <v>244</v>
      </c>
      <c r="BB1432" t="s">
        <v>264</v>
      </c>
      <c r="BC1432" t="s">
        <v>244</v>
      </c>
      <c r="BD1432" t="s">
        <v>1804</v>
      </c>
      <c r="BE1432" t="s">
        <v>4102</v>
      </c>
      <c r="BF1432" t="s">
        <v>240</v>
      </c>
      <c r="BG1432" t="s">
        <v>110</v>
      </c>
      <c r="BH1432" t="str">
        <f>IF(COUNTIF(工作表1!A:A, $C1432)&gt;0, "預購款", "非預購款")</f>
        <v>非預購款</v>
      </c>
    </row>
    <row r="1433" spans="1:60" x14ac:dyDescent="0.25">
      <c r="A1433" t="s">
        <v>1792</v>
      </c>
      <c r="B1433" t="s">
        <v>283</v>
      </c>
      <c r="C1433" t="s">
        <v>1793</v>
      </c>
      <c r="D1433" t="s">
        <v>1794</v>
      </c>
      <c r="E1433" t="s">
        <v>1795</v>
      </c>
      <c r="F1433" t="s">
        <v>196</v>
      </c>
      <c r="G1433" t="s">
        <v>1796</v>
      </c>
      <c r="H1433" t="s">
        <v>132</v>
      </c>
      <c r="I1433" t="s">
        <v>97</v>
      </c>
      <c r="J1433" t="s">
        <v>98</v>
      </c>
      <c r="K1433" t="s">
        <v>69</v>
      </c>
      <c r="L1433" t="s">
        <v>1797</v>
      </c>
      <c r="M1433" t="s">
        <v>71</v>
      </c>
      <c r="N1433" t="s">
        <v>100</v>
      </c>
      <c r="O1433" t="s">
        <v>1648</v>
      </c>
      <c r="P1433" t="s">
        <v>1649</v>
      </c>
      <c r="R1433" t="s">
        <v>1798</v>
      </c>
      <c r="S1433" t="s">
        <v>201</v>
      </c>
      <c r="T1433" t="s">
        <v>258</v>
      </c>
      <c r="U1433" t="s">
        <v>104</v>
      </c>
      <c r="V1433" t="s">
        <v>1799</v>
      </c>
      <c r="W1433">
        <v>690</v>
      </c>
      <c r="X1433">
        <v>29.99</v>
      </c>
      <c r="Y1433">
        <v>89</v>
      </c>
      <c r="Z1433">
        <v>499000</v>
      </c>
      <c r="AA1433">
        <v>400200</v>
      </c>
      <c r="AB1433">
        <v>200</v>
      </c>
      <c r="AD1433" t="s">
        <v>238</v>
      </c>
      <c r="AE1433">
        <v>3</v>
      </c>
      <c r="AF1433">
        <v>0</v>
      </c>
      <c r="AI1433">
        <v>15</v>
      </c>
      <c r="AJ1433">
        <v>30</v>
      </c>
      <c r="AK1433">
        <v>45</v>
      </c>
      <c r="AL1433">
        <v>580</v>
      </c>
      <c r="AM1433">
        <v>0</v>
      </c>
      <c r="AN1433">
        <v>0</v>
      </c>
      <c r="AO1433">
        <v>0</v>
      </c>
      <c r="AP1433" t="s">
        <v>69</v>
      </c>
      <c r="AR1433" t="s">
        <v>86</v>
      </c>
      <c r="AS1433" t="s">
        <v>86</v>
      </c>
      <c r="AT1433" t="s">
        <v>86</v>
      </c>
      <c r="AU1433" t="s">
        <v>86</v>
      </c>
      <c r="AV1433" t="s">
        <v>1800</v>
      </c>
      <c r="AW1433" t="s">
        <v>69</v>
      </c>
      <c r="AX1433" t="s">
        <v>737</v>
      </c>
      <c r="AY1433" t="s">
        <v>1801</v>
      </c>
      <c r="AZ1433" t="s">
        <v>310</v>
      </c>
      <c r="BA1433" t="s">
        <v>244</v>
      </c>
      <c r="BB1433" t="s">
        <v>264</v>
      </c>
      <c r="BC1433" t="s">
        <v>244</v>
      </c>
      <c r="BD1433" t="s">
        <v>1805</v>
      </c>
      <c r="BE1433" t="s">
        <v>4102</v>
      </c>
      <c r="BF1433" t="s">
        <v>240</v>
      </c>
      <c r="BG1433" t="s">
        <v>110</v>
      </c>
      <c r="BH1433" t="str">
        <f>IF(COUNTIF(工作表1!A:A, $C1433)&gt;0, "預購款", "非預購款")</f>
        <v>非預購款</v>
      </c>
    </row>
    <row r="1434" spans="1:60" x14ac:dyDescent="0.25">
      <c r="A1434" t="s">
        <v>1792</v>
      </c>
      <c r="B1434" t="s">
        <v>283</v>
      </c>
      <c r="C1434" t="s">
        <v>1793</v>
      </c>
      <c r="D1434" t="s">
        <v>1794</v>
      </c>
      <c r="E1434" t="s">
        <v>1795</v>
      </c>
      <c r="F1434" t="s">
        <v>196</v>
      </c>
      <c r="G1434" t="s">
        <v>1796</v>
      </c>
      <c r="H1434" t="s">
        <v>119</v>
      </c>
      <c r="I1434" t="s">
        <v>67</v>
      </c>
      <c r="J1434" t="s">
        <v>68</v>
      </c>
      <c r="K1434" t="s">
        <v>69</v>
      </c>
      <c r="L1434" t="s">
        <v>1797</v>
      </c>
      <c r="M1434" t="s">
        <v>71</v>
      </c>
      <c r="N1434" t="s">
        <v>100</v>
      </c>
      <c r="O1434" t="s">
        <v>1648</v>
      </c>
      <c r="P1434" t="s">
        <v>1649</v>
      </c>
      <c r="R1434" t="s">
        <v>1798</v>
      </c>
      <c r="S1434" t="s">
        <v>201</v>
      </c>
      <c r="T1434" t="s">
        <v>258</v>
      </c>
      <c r="U1434" t="s">
        <v>104</v>
      </c>
      <c r="V1434" t="s">
        <v>1799</v>
      </c>
      <c r="W1434">
        <v>690</v>
      </c>
      <c r="X1434">
        <v>29.99</v>
      </c>
      <c r="Y1434">
        <v>89</v>
      </c>
      <c r="Z1434">
        <v>499000</v>
      </c>
      <c r="AA1434">
        <v>400200</v>
      </c>
      <c r="AB1434">
        <v>200</v>
      </c>
      <c r="AD1434" t="s">
        <v>238</v>
      </c>
      <c r="AE1434">
        <v>3</v>
      </c>
      <c r="AF1434">
        <v>25</v>
      </c>
      <c r="AI1434">
        <v>0</v>
      </c>
      <c r="AJ1434">
        <v>100</v>
      </c>
      <c r="AK1434">
        <v>125</v>
      </c>
      <c r="AL1434">
        <v>580</v>
      </c>
      <c r="AM1434">
        <v>0</v>
      </c>
      <c r="AN1434">
        <v>0</v>
      </c>
      <c r="AO1434">
        <v>0</v>
      </c>
      <c r="AP1434" t="s">
        <v>69</v>
      </c>
      <c r="AR1434" t="s">
        <v>240</v>
      </c>
      <c r="AS1434" t="s">
        <v>240</v>
      </c>
      <c r="AT1434" t="s">
        <v>86</v>
      </c>
      <c r="AU1434" t="s">
        <v>240</v>
      </c>
      <c r="AV1434" t="s">
        <v>1800</v>
      </c>
      <c r="AW1434" t="s">
        <v>69</v>
      </c>
      <c r="AX1434" t="s">
        <v>737</v>
      </c>
      <c r="AY1434" t="s">
        <v>1801</v>
      </c>
      <c r="AZ1434" t="s">
        <v>310</v>
      </c>
      <c r="BA1434" t="s">
        <v>244</v>
      </c>
      <c r="BB1434" t="s">
        <v>264</v>
      </c>
      <c r="BC1434" t="s">
        <v>244</v>
      </c>
      <c r="BD1434" t="s">
        <v>4103</v>
      </c>
      <c r="BE1434" t="s">
        <v>4102</v>
      </c>
      <c r="BF1434" t="s">
        <v>240</v>
      </c>
      <c r="BG1434" t="s">
        <v>110</v>
      </c>
      <c r="BH1434" t="str">
        <f>IF(COUNTIF(工作表1!A:A, $C1434)&gt;0, "預購款", "非預購款")</f>
        <v>非預購款</v>
      </c>
    </row>
    <row r="1435" spans="1:60" x14ac:dyDescent="0.25">
      <c r="A1435" t="s">
        <v>1792</v>
      </c>
      <c r="B1435" t="s">
        <v>283</v>
      </c>
      <c r="C1435" t="s">
        <v>1793</v>
      </c>
      <c r="D1435" t="s">
        <v>1794</v>
      </c>
      <c r="E1435" t="s">
        <v>1795</v>
      </c>
      <c r="F1435" t="s">
        <v>196</v>
      </c>
      <c r="G1435" t="s">
        <v>1796</v>
      </c>
      <c r="H1435" t="s">
        <v>130</v>
      </c>
      <c r="I1435" t="s">
        <v>67</v>
      </c>
      <c r="J1435" t="s">
        <v>68</v>
      </c>
      <c r="K1435" t="s">
        <v>69</v>
      </c>
      <c r="L1435" t="s">
        <v>1797</v>
      </c>
      <c r="M1435" t="s">
        <v>71</v>
      </c>
      <c r="N1435" t="s">
        <v>100</v>
      </c>
      <c r="O1435" t="s">
        <v>1648</v>
      </c>
      <c r="P1435" t="s">
        <v>1649</v>
      </c>
      <c r="R1435" t="s">
        <v>1798</v>
      </c>
      <c r="S1435" t="s">
        <v>201</v>
      </c>
      <c r="T1435" t="s">
        <v>258</v>
      </c>
      <c r="U1435" t="s">
        <v>104</v>
      </c>
      <c r="V1435" t="s">
        <v>1799</v>
      </c>
      <c r="W1435">
        <v>690</v>
      </c>
      <c r="X1435">
        <v>29.99</v>
      </c>
      <c r="Y1435">
        <v>89</v>
      </c>
      <c r="Z1435">
        <v>499000</v>
      </c>
      <c r="AA1435">
        <v>400200</v>
      </c>
      <c r="AB1435">
        <v>200</v>
      </c>
      <c r="AD1435" t="s">
        <v>238</v>
      </c>
      <c r="AE1435">
        <v>3</v>
      </c>
      <c r="AF1435">
        <v>15</v>
      </c>
      <c r="AI1435">
        <v>0</v>
      </c>
      <c r="AJ1435">
        <v>95</v>
      </c>
      <c r="AK1435">
        <v>110</v>
      </c>
      <c r="AL1435">
        <v>580</v>
      </c>
      <c r="AM1435">
        <v>0</v>
      </c>
      <c r="AN1435">
        <v>0</v>
      </c>
      <c r="AO1435">
        <v>0</v>
      </c>
      <c r="AP1435" t="s">
        <v>69</v>
      </c>
      <c r="AR1435" t="s">
        <v>240</v>
      </c>
      <c r="AS1435" t="s">
        <v>240</v>
      </c>
      <c r="AT1435" t="s">
        <v>86</v>
      </c>
      <c r="AU1435" t="s">
        <v>240</v>
      </c>
      <c r="AV1435" t="s">
        <v>1800</v>
      </c>
      <c r="AW1435" t="s">
        <v>69</v>
      </c>
      <c r="AX1435" t="s">
        <v>737</v>
      </c>
      <c r="AY1435" t="s">
        <v>1801</v>
      </c>
      <c r="AZ1435" t="s">
        <v>310</v>
      </c>
      <c r="BA1435" t="s">
        <v>244</v>
      </c>
      <c r="BB1435" t="s">
        <v>264</v>
      </c>
      <c r="BC1435" t="s">
        <v>244</v>
      </c>
      <c r="BD1435" t="s">
        <v>4104</v>
      </c>
      <c r="BE1435" t="s">
        <v>4102</v>
      </c>
      <c r="BF1435" t="s">
        <v>240</v>
      </c>
      <c r="BG1435" t="s">
        <v>110</v>
      </c>
      <c r="BH1435" t="str">
        <f>IF(COUNTIF(工作表1!A:A, $C1435)&gt;0, "預購款", "非預購款")</f>
        <v>非預購款</v>
      </c>
    </row>
    <row r="1436" spans="1:60" x14ac:dyDescent="0.25">
      <c r="A1436" t="s">
        <v>1792</v>
      </c>
      <c r="B1436" t="s">
        <v>283</v>
      </c>
      <c r="C1436" t="s">
        <v>1793</v>
      </c>
      <c r="D1436" t="s">
        <v>1794</v>
      </c>
      <c r="E1436" t="s">
        <v>1795</v>
      </c>
      <c r="F1436" t="s">
        <v>196</v>
      </c>
      <c r="G1436" t="s">
        <v>1796</v>
      </c>
      <c r="H1436" t="s">
        <v>132</v>
      </c>
      <c r="I1436" t="s">
        <v>67</v>
      </c>
      <c r="J1436" t="s">
        <v>68</v>
      </c>
      <c r="K1436" t="s">
        <v>69</v>
      </c>
      <c r="L1436" t="s">
        <v>1797</v>
      </c>
      <c r="M1436" t="s">
        <v>71</v>
      </c>
      <c r="N1436" t="s">
        <v>100</v>
      </c>
      <c r="O1436" t="s">
        <v>1648</v>
      </c>
      <c r="P1436" t="s">
        <v>1649</v>
      </c>
      <c r="R1436" t="s">
        <v>1798</v>
      </c>
      <c r="S1436" t="s">
        <v>201</v>
      </c>
      <c r="T1436" t="s">
        <v>258</v>
      </c>
      <c r="U1436" t="s">
        <v>104</v>
      </c>
      <c r="V1436" t="s">
        <v>1799</v>
      </c>
      <c r="W1436">
        <v>690</v>
      </c>
      <c r="X1436">
        <v>29.99</v>
      </c>
      <c r="Y1436">
        <v>89</v>
      </c>
      <c r="Z1436">
        <v>499000</v>
      </c>
      <c r="AA1436">
        <v>400200</v>
      </c>
      <c r="AB1436">
        <v>200</v>
      </c>
      <c r="AD1436" t="s">
        <v>238</v>
      </c>
      <c r="AE1436">
        <v>3</v>
      </c>
      <c r="AF1436">
        <v>5</v>
      </c>
      <c r="AI1436">
        <v>0</v>
      </c>
      <c r="AJ1436">
        <v>25</v>
      </c>
      <c r="AK1436">
        <v>30</v>
      </c>
      <c r="AL1436">
        <v>580</v>
      </c>
      <c r="AM1436">
        <v>0</v>
      </c>
      <c r="AN1436">
        <v>0</v>
      </c>
      <c r="AO1436">
        <v>0</v>
      </c>
      <c r="AP1436" t="s">
        <v>69</v>
      </c>
      <c r="AR1436" t="s">
        <v>240</v>
      </c>
      <c r="AS1436" t="s">
        <v>240</v>
      </c>
      <c r="AT1436" t="s">
        <v>86</v>
      </c>
      <c r="AU1436" t="s">
        <v>240</v>
      </c>
      <c r="AV1436" t="s">
        <v>1800</v>
      </c>
      <c r="AW1436" t="s">
        <v>69</v>
      </c>
      <c r="AX1436" t="s">
        <v>737</v>
      </c>
      <c r="AY1436" t="s">
        <v>1801</v>
      </c>
      <c r="AZ1436" t="s">
        <v>310</v>
      </c>
      <c r="BA1436" t="s">
        <v>244</v>
      </c>
      <c r="BB1436" t="s">
        <v>264</v>
      </c>
      <c r="BC1436" t="s">
        <v>244</v>
      </c>
      <c r="BD1436" t="s">
        <v>4105</v>
      </c>
      <c r="BE1436" t="s">
        <v>4102</v>
      </c>
      <c r="BF1436" t="s">
        <v>240</v>
      </c>
      <c r="BG1436" t="s">
        <v>110</v>
      </c>
      <c r="BH1436" t="str">
        <f>IF(COUNTIF(工作表1!A:A, $C1436)&gt;0, "預購款", "非預購款")</f>
        <v>非預購款</v>
      </c>
    </row>
    <row r="1437" spans="1:60" x14ac:dyDescent="0.25">
      <c r="A1437" t="s">
        <v>4106</v>
      </c>
      <c r="B1437" t="s">
        <v>301</v>
      </c>
      <c r="C1437" t="s">
        <v>4107</v>
      </c>
      <c r="D1437" t="s">
        <v>4108</v>
      </c>
      <c r="E1437" t="s">
        <v>4109</v>
      </c>
      <c r="F1437" t="s">
        <v>196</v>
      </c>
      <c r="G1437" t="s">
        <v>4110</v>
      </c>
      <c r="H1437" t="s">
        <v>119</v>
      </c>
      <c r="I1437" t="s">
        <v>111</v>
      </c>
      <c r="J1437" t="s">
        <v>112</v>
      </c>
      <c r="K1437" t="s">
        <v>69</v>
      </c>
      <c r="L1437" t="s">
        <v>4111</v>
      </c>
      <c r="M1437" t="s">
        <v>71</v>
      </c>
      <c r="N1437" t="s">
        <v>198</v>
      </c>
      <c r="O1437" t="s">
        <v>1307</v>
      </c>
      <c r="P1437" t="s">
        <v>1308</v>
      </c>
      <c r="R1437" t="s">
        <v>1309</v>
      </c>
      <c r="S1437" t="s">
        <v>201</v>
      </c>
      <c r="T1437" t="s">
        <v>76</v>
      </c>
      <c r="U1437" t="s">
        <v>104</v>
      </c>
      <c r="V1437" t="s">
        <v>3862</v>
      </c>
      <c r="W1437">
        <v>790</v>
      </c>
      <c r="X1437">
        <v>34.99</v>
      </c>
      <c r="Y1437">
        <v>99</v>
      </c>
      <c r="Z1437">
        <v>569000</v>
      </c>
      <c r="AA1437">
        <v>643850</v>
      </c>
      <c r="AB1437">
        <v>214</v>
      </c>
      <c r="AD1437" t="s">
        <v>238</v>
      </c>
      <c r="AE1437">
        <v>2</v>
      </c>
      <c r="AF1437">
        <v>10</v>
      </c>
      <c r="AI1437">
        <v>20</v>
      </c>
      <c r="AJ1437">
        <v>115</v>
      </c>
      <c r="AK1437">
        <v>145</v>
      </c>
      <c r="AL1437">
        <v>815</v>
      </c>
      <c r="AM1437">
        <v>0</v>
      </c>
      <c r="AN1437">
        <v>0</v>
      </c>
      <c r="AO1437">
        <v>0</v>
      </c>
      <c r="AP1437" t="s">
        <v>69</v>
      </c>
      <c r="AR1437" t="s">
        <v>86</v>
      </c>
      <c r="AT1437" t="s">
        <v>86</v>
      </c>
      <c r="AU1437" t="s">
        <v>261</v>
      </c>
      <c r="AV1437" t="s">
        <v>81</v>
      </c>
      <c r="AW1437" t="s">
        <v>69</v>
      </c>
      <c r="AX1437" t="s">
        <v>218</v>
      </c>
      <c r="AY1437" t="s">
        <v>4112</v>
      </c>
      <c r="AZ1437" t="s">
        <v>243</v>
      </c>
      <c r="BA1437" t="s">
        <v>244</v>
      </c>
      <c r="BB1437" t="s">
        <v>244</v>
      </c>
      <c r="BC1437" t="s">
        <v>244</v>
      </c>
      <c r="BD1437" t="s">
        <v>4113</v>
      </c>
      <c r="BE1437" t="s">
        <v>4114</v>
      </c>
      <c r="BF1437" t="s">
        <v>86</v>
      </c>
      <c r="BG1437" t="s">
        <v>110</v>
      </c>
      <c r="BH1437" t="str">
        <f>IF(COUNTIF(工作表1!A:A, $C1437)&gt;0, "預購款", "非預購款")</f>
        <v>非預購款</v>
      </c>
    </row>
    <row r="1438" spans="1:60" x14ac:dyDescent="0.25">
      <c r="A1438" t="s">
        <v>4106</v>
      </c>
      <c r="B1438" t="s">
        <v>301</v>
      </c>
      <c r="C1438" t="s">
        <v>4107</v>
      </c>
      <c r="D1438" t="s">
        <v>4108</v>
      </c>
      <c r="E1438" t="s">
        <v>4109</v>
      </c>
      <c r="F1438" t="s">
        <v>196</v>
      </c>
      <c r="G1438" t="s">
        <v>4110</v>
      </c>
      <c r="H1438" t="s">
        <v>130</v>
      </c>
      <c r="I1438" t="s">
        <v>111</v>
      </c>
      <c r="J1438" t="s">
        <v>112</v>
      </c>
      <c r="K1438" t="s">
        <v>69</v>
      </c>
      <c r="L1438" t="s">
        <v>4111</v>
      </c>
      <c r="M1438" t="s">
        <v>71</v>
      </c>
      <c r="N1438" t="s">
        <v>198</v>
      </c>
      <c r="O1438" t="s">
        <v>1307</v>
      </c>
      <c r="P1438" t="s">
        <v>1308</v>
      </c>
      <c r="R1438" t="s">
        <v>1309</v>
      </c>
      <c r="S1438" t="s">
        <v>201</v>
      </c>
      <c r="T1438" t="s">
        <v>76</v>
      </c>
      <c r="U1438" t="s">
        <v>104</v>
      </c>
      <c r="V1438" t="s">
        <v>3862</v>
      </c>
      <c r="W1438">
        <v>790</v>
      </c>
      <c r="X1438">
        <v>34.99</v>
      </c>
      <c r="Y1438">
        <v>99</v>
      </c>
      <c r="Z1438">
        <v>569000</v>
      </c>
      <c r="AA1438">
        <v>643850</v>
      </c>
      <c r="AB1438">
        <v>214</v>
      </c>
      <c r="AD1438" t="s">
        <v>238</v>
      </c>
      <c r="AE1438">
        <v>2</v>
      </c>
      <c r="AF1438">
        <v>0</v>
      </c>
      <c r="AI1438">
        <v>20</v>
      </c>
      <c r="AJ1438">
        <v>80</v>
      </c>
      <c r="AK1438">
        <v>100</v>
      </c>
      <c r="AL1438">
        <v>815</v>
      </c>
      <c r="AM1438">
        <v>0</v>
      </c>
      <c r="AN1438">
        <v>0</v>
      </c>
      <c r="AO1438">
        <v>0</v>
      </c>
      <c r="AP1438" t="s">
        <v>69</v>
      </c>
      <c r="AR1438" t="s">
        <v>86</v>
      </c>
      <c r="AT1438" t="s">
        <v>86</v>
      </c>
      <c r="AU1438" t="s">
        <v>261</v>
      </c>
      <c r="AV1438" t="s">
        <v>81</v>
      </c>
      <c r="AW1438" t="s">
        <v>69</v>
      </c>
      <c r="AX1438" t="s">
        <v>218</v>
      </c>
      <c r="AY1438" t="s">
        <v>4112</v>
      </c>
      <c r="AZ1438" t="s">
        <v>243</v>
      </c>
      <c r="BA1438" t="s">
        <v>244</v>
      </c>
      <c r="BB1438" t="s">
        <v>244</v>
      </c>
      <c r="BC1438" t="s">
        <v>244</v>
      </c>
      <c r="BD1438" t="s">
        <v>4115</v>
      </c>
      <c r="BE1438" t="s">
        <v>4114</v>
      </c>
      <c r="BF1438" t="s">
        <v>86</v>
      </c>
      <c r="BG1438" t="s">
        <v>110</v>
      </c>
      <c r="BH1438" t="str">
        <f>IF(COUNTIF(工作表1!A:A, $C1438)&gt;0, "預購款", "非預購款")</f>
        <v>非預購款</v>
      </c>
    </row>
    <row r="1439" spans="1:60" x14ac:dyDescent="0.25">
      <c r="A1439" t="s">
        <v>4106</v>
      </c>
      <c r="B1439" t="s">
        <v>301</v>
      </c>
      <c r="C1439" t="s">
        <v>4107</v>
      </c>
      <c r="D1439" t="s">
        <v>4108</v>
      </c>
      <c r="E1439" t="s">
        <v>4109</v>
      </c>
      <c r="F1439" t="s">
        <v>196</v>
      </c>
      <c r="G1439" t="s">
        <v>4110</v>
      </c>
      <c r="H1439" t="s">
        <v>132</v>
      </c>
      <c r="I1439" t="s">
        <v>111</v>
      </c>
      <c r="J1439" t="s">
        <v>112</v>
      </c>
      <c r="K1439" t="s">
        <v>69</v>
      </c>
      <c r="L1439" t="s">
        <v>4111</v>
      </c>
      <c r="M1439" t="s">
        <v>71</v>
      </c>
      <c r="N1439" t="s">
        <v>198</v>
      </c>
      <c r="O1439" t="s">
        <v>1307</v>
      </c>
      <c r="P1439" t="s">
        <v>1308</v>
      </c>
      <c r="R1439" t="s">
        <v>1309</v>
      </c>
      <c r="S1439" t="s">
        <v>201</v>
      </c>
      <c r="T1439" t="s">
        <v>76</v>
      </c>
      <c r="U1439" t="s">
        <v>104</v>
      </c>
      <c r="V1439" t="s">
        <v>3862</v>
      </c>
      <c r="W1439">
        <v>790</v>
      </c>
      <c r="X1439">
        <v>34.99</v>
      </c>
      <c r="Y1439">
        <v>99</v>
      </c>
      <c r="Z1439">
        <v>569000</v>
      </c>
      <c r="AA1439">
        <v>643850</v>
      </c>
      <c r="AB1439">
        <v>214</v>
      </c>
      <c r="AD1439" t="s">
        <v>238</v>
      </c>
      <c r="AE1439">
        <v>2</v>
      </c>
      <c r="AF1439">
        <v>0</v>
      </c>
      <c r="AI1439">
        <v>30</v>
      </c>
      <c r="AJ1439">
        <v>35</v>
      </c>
      <c r="AK1439">
        <v>65</v>
      </c>
      <c r="AL1439">
        <v>815</v>
      </c>
      <c r="AM1439">
        <v>0</v>
      </c>
      <c r="AN1439">
        <v>0</v>
      </c>
      <c r="AO1439">
        <v>0</v>
      </c>
      <c r="AP1439" t="s">
        <v>69</v>
      </c>
      <c r="AR1439" t="s">
        <v>86</v>
      </c>
      <c r="AT1439" t="s">
        <v>86</v>
      </c>
      <c r="AU1439" t="s">
        <v>261</v>
      </c>
      <c r="AV1439" t="s">
        <v>81</v>
      </c>
      <c r="AW1439" t="s">
        <v>69</v>
      </c>
      <c r="AX1439" t="s">
        <v>218</v>
      </c>
      <c r="AY1439" t="s">
        <v>4112</v>
      </c>
      <c r="AZ1439" t="s">
        <v>243</v>
      </c>
      <c r="BA1439" t="s">
        <v>244</v>
      </c>
      <c r="BB1439" t="s">
        <v>244</v>
      </c>
      <c r="BC1439" t="s">
        <v>244</v>
      </c>
      <c r="BD1439" t="s">
        <v>4116</v>
      </c>
      <c r="BE1439" t="s">
        <v>4114</v>
      </c>
      <c r="BF1439" t="s">
        <v>86</v>
      </c>
      <c r="BG1439" t="s">
        <v>110</v>
      </c>
      <c r="BH1439" t="str">
        <f>IF(COUNTIF(工作表1!A:A, $C1439)&gt;0, "預購款", "非預購款")</f>
        <v>非預購款</v>
      </c>
    </row>
    <row r="1440" spans="1:60" x14ac:dyDescent="0.25">
      <c r="A1440" t="s">
        <v>4106</v>
      </c>
      <c r="B1440" t="s">
        <v>301</v>
      </c>
      <c r="C1440" t="s">
        <v>4107</v>
      </c>
      <c r="D1440" t="s">
        <v>4108</v>
      </c>
      <c r="E1440" t="s">
        <v>4109</v>
      </c>
      <c r="F1440" t="s">
        <v>196</v>
      </c>
      <c r="G1440" t="s">
        <v>4110</v>
      </c>
      <c r="H1440" t="s">
        <v>119</v>
      </c>
      <c r="I1440" t="s">
        <v>134</v>
      </c>
      <c r="J1440" t="s">
        <v>135</v>
      </c>
      <c r="K1440" t="s">
        <v>69</v>
      </c>
      <c r="L1440" t="s">
        <v>4111</v>
      </c>
      <c r="M1440" t="s">
        <v>71</v>
      </c>
      <c r="N1440" t="s">
        <v>198</v>
      </c>
      <c r="O1440" t="s">
        <v>1307</v>
      </c>
      <c r="P1440" t="s">
        <v>1308</v>
      </c>
      <c r="R1440" t="s">
        <v>1309</v>
      </c>
      <c r="S1440" t="s">
        <v>201</v>
      </c>
      <c r="T1440" t="s">
        <v>76</v>
      </c>
      <c r="U1440" t="s">
        <v>104</v>
      </c>
      <c r="V1440" t="s">
        <v>3862</v>
      </c>
      <c r="W1440">
        <v>790</v>
      </c>
      <c r="X1440">
        <v>34.99</v>
      </c>
      <c r="Y1440">
        <v>99</v>
      </c>
      <c r="Z1440">
        <v>569000</v>
      </c>
      <c r="AA1440">
        <v>643850</v>
      </c>
      <c r="AB1440">
        <v>214</v>
      </c>
      <c r="AD1440" t="s">
        <v>238</v>
      </c>
      <c r="AE1440">
        <v>2</v>
      </c>
      <c r="AF1440">
        <v>10</v>
      </c>
      <c r="AI1440">
        <v>30</v>
      </c>
      <c r="AJ1440">
        <v>230</v>
      </c>
      <c r="AK1440">
        <v>270</v>
      </c>
      <c r="AL1440">
        <v>815</v>
      </c>
      <c r="AM1440">
        <v>0</v>
      </c>
      <c r="AN1440">
        <v>0</v>
      </c>
      <c r="AO1440">
        <v>0</v>
      </c>
      <c r="AP1440" t="s">
        <v>69</v>
      </c>
      <c r="AR1440" t="s">
        <v>86</v>
      </c>
      <c r="AT1440" t="s">
        <v>86</v>
      </c>
      <c r="AU1440" t="s">
        <v>261</v>
      </c>
      <c r="AV1440" t="s">
        <v>81</v>
      </c>
      <c r="AW1440" t="s">
        <v>69</v>
      </c>
      <c r="AX1440" t="s">
        <v>218</v>
      </c>
      <c r="AY1440" t="s">
        <v>4112</v>
      </c>
      <c r="AZ1440" t="s">
        <v>243</v>
      </c>
      <c r="BA1440" t="s">
        <v>244</v>
      </c>
      <c r="BB1440" t="s">
        <v>244</v>
      </c>
      <c r="BC1440" t="s">
        <v>244</v>
      </c>
      <c r="BD1440" t="s">
        <v>4117</v>
      </c>
      <c r="BE1440" t="s">
        <v>4114</v>
      </c>
      <c r="BF1440" t="s">
        <v>86</v>
      </c>
      <c r="BG1440" t="s">
        <v>110</v>
      </c>
      <c r="BH1440" t="str">
        <f>IF(COUNTIF(工作表1!A:A, $C1440)&gt;0, "預購款", "非預購款")</f>
        <v>非預購款</v>
      </c>
    </row>
    <row r="1441" spans="1:60" x14ac:dyDescent="0.25">
      <c r="A1441" t="s">
        <v>4106</v>
      </c>
      <c r="B1441" t="s">
        <v>301</v>
      </c>
      <c r="C1441" t="s">
        <v>4107</v>
      </c>
      <c r="D1441" t="s">
        <v>4108</v>
      </c>
      <c r="E1441" t="s">
        <v>4109</v>
      </c>
      <c r="F1441" t="s">
        <v>196</v>
      </c>
      <c r="G1441" t="s">
        <v>4110</v>
      </c>
      <c r="H1441" t="s">
        <v>130</v>
      </c>
      <c r="I1441" t="s">
        <v>134</v>
      </c>
      <c r="J1441" t="s">
        <v>135</v>
      </c>
      <c r="K1441" t="s">
        <v>69</v>
      </c>
      <c r="L1441" t="s">
        <v>4111</v>
      </c>
      <c r="M1441" t="s">
        <v>71</v>
      </c>
      <c r="N1441" t="s">
        <v>198</v>
      </c>
      <c r="O1441" t="s">
        <v>1307</v>
      </c>
      <c r="P1441" t="s">
        <v>1308</v>
      </c>
      <c r="R1441" t="s">
        <v>1309</v>
      </c>
      <c r="S1441" t="s">
        <v>201</v>
      </c>
      <c r="T1441" t="s">
        <v>76</v>
      </c>
      <c r="U1441" t="s">
        <v>104</v>
      </c>
      <c r="V1441" t="s">
        <v>3862</v>
      </c>
      <c r="W1441">
        <v>790</v>
      </c>
      <c r="X1441">
        <v>34.99</v>
      </c>
      <c r="Y1441">
        <v>99</v>
      </c>
      <c r="Z1441">
        <v>569000</v>
      </c>
      <c r="AA1441">
        <v>643850</v>
      </c>
      <c r="AB1441">
        <v>214</v>
      </c>
      <c r="AD1441" t="s">
        <v>238</v>
      </c>
      <c r="AE1441">
        <v>2</v>
      </c>
      <c r="AF1441">
        <v>0</v>
      </c>
      <c r="AI1441">
        <v>20</v>
      </c>
      <c r="AJ1441">
        <v>135</v>
      </c>
      <c r="AK1441">
        <v>155</v>
      </c>
      <c r="AL1441">
        <v>815</v>
      </c>
      <c r="AM1441">
        <v>0</v>
      </c>
      <c r="AN1441">
        <v>0</v>
      </c>
      <c r="AO1441">
        <v>0</v>
      </c>
      <c r="AP1441" t="s">
        <v>69</v>
      </c>
      <c r="AR1441" t="s">
        <v>86</v>
      </c>
      <c r="AT1441" t="s">
        <v>86</v>
      </c>
      <c r="AU1441" t="s">
        <v>261</v>
      </c>
      <c r="AV1441" t="s">
        <v>81</v>
      </c>
      <c r="AW1441" t="s">
        <v>69</v>
      </c>
      <c r="AX1441" t="s">
        <v>218</v>
      </c>
      <c r="AY1441" t="s">
        <v>4112</v>
      </c>
      <c r="AZ1441" t="s">
        <v>243</v>
      </c>
      <c r="BA1441" t="s">
        <v>244</v>
      </c>
      <c r="BB1441" t="s">
        <v>244</v>
      </c>
      <c r="BC1441" t="s">
        <v>244</v>
      </c>
      <c r="BD1441" t="s">
        <v>4118</v>
      </c>
      <c r="BE1441" t="s">
        <v>4114</v>
      </c>
      <c r="BF1441" t="s">
        <v>86</v>
      </c>
      <c r="BG1441" t="s">
        <v>110</v>
      </c>
      <c r="BH1441" t="str">
        <f>IF(COUNTIF(工作表1!A:A, $C1441)&gt;0, "預購款", "非預購款")</f>
        <v>非預購款</v>
      </c>
    </row>
    <row r="1442" spans="1:60" x14ac:dyDescent="0.25">
      <c r="A1442" t="s">
        <v>4106</v>
      </c>
      <c r="B1442" t="s">
        <v>301</v>
      </c>
      <c r="C1442" t="s">
        <v>4107</v>
      </c>
      <c r="D1442" t="s">
        <v>4108</v>
      </c>
      <c r="E1442" t="s">
        <v>4109</v>
      </c>
      <c r="F1442" t="s">
        <v>196</v>
      </c>
      <c r="G1442" t="s">
        <v>4110</v>
      </c>
      <c r="H1442" t="s">
        <v>132</v>
      </c>
      <c r="I1442" t="s">
        <v>134</v>
      </c>
      <c r="J1442" t="s">
        <v>135</v>
      </c>
      <c r="K1442" t="s">
        <v>69</v>
      </c>
      <c r="L1442" t="s">
        <v>4111</v>
      </c>
      <c r="M1442" t="s">
        <v>71</v>
      </c>
      <c r="N1442" t="s">
        <v>198</v>
      </c>
      <c r="O1442" t="s">
        <v>1307</v>
      </c>
      <c r="P1442" t="s">
        <v>1308</v>
      </c>
      <c r="R1442" t="s">
        <v>1309</v>
      </c>
      <c r="S1442" t="s">
        <v>201</v>
      </c>
      <c r="T1442" t="s">
        <v>76</v>
      </c>
      <c r="U1442" t="s">
        <v>104</v>
      </c>
      <c r="V1442" t="s">
        <v>3862</v>
      </c>
      <c r="W1442">
        <v>790</v>
      </c>
      <c r="X1442">
        <v>34.99</v>
      </c>
      <c r="Y1442">
        <v>99</v>
      </c>
      <c r="Z1442">
        <v>569000</v>
      </c>
      <c r="AA1442">
        <v>643850</v>
      </c>
      <c r="AB1442">
        <v>214</v>
      </c>
      <c r="AD1442" t="s">
        <v>238</v>
      </c>
      <c r="AE1442">
        <v>2</v>
      </c>
      <c r="AF1442">
        <v>0</v>
      </c>
      <c r="AI1442">
        <v>20</v>
      </c>
      <c r="AJ1442">
        <v>60</v>
      </c>
      <c r="AK1442">
        <v>80</v>
      </c>
      <c r="AL1442">
        <v>815</v>
      </c>
      <c r="AM1442">
        <v>0</v>
      </c>
      <c r="AN1442">
        <v>0</v>
      </c>
      <c r="AO1442">
        <v>0</v>
      </c>
      <c r="AP1442" t="s">
        <v>69</v>
      </c>
      <c r="AR1442" t="s">
        <v>86</v>
      </c>
      <c r="AT1442" t="s">
        <v>86</v>
      </c>
      <c r="AU1442" t="s">
        <v>261</v>
      </c>
      <c r="AV1442" t="s">
        <v>81</v>
      </c>
      <c r="AW1442" t="s">
        <v>69</v>
      </c>
      <c r="AX1442" t="s">
        <v>218</v>
      </c>
      <c r="AY1442" t="s">
        <v>4112</v>
      </c>
      <c r="AZ1442" t="s">
        <v>243</v>
      </c>
      <c r="BA1442" t="s">
        <v>244</v>
      </c>
      <c r="BB1442" t="s">
        <v>244</v>
      </c>
      <c r="BC1442" t="s">
        <v>244</v>
      </c>
      <c r="BD1442" t="s">
        <v>4119</v>
      </c>
      <c r="BE1442" t="s">
        <v>4114</v>
      </c>
      <c r="BF1442" t="s">
        <v>86</v>
      </c>
      <c r="BG1442" t="s">
        <v>110</v>
      </c>
      <c r="BH1442" t="str">
        <f>IF(COUNTIF(工作表1!A:A, $C1442)&gt;0, "預購款", "非預購款")</f>
        <v>非預購款</v>
      </c>
    </row>
    <row r="1443" spans="1:60" x14ac:dyDescent="0.25">
      <c r="A1443" t="s">
        <v>4120</v>
      </c>
      <c r="B1443" t="s">
        <v>301</v>
      </c>
      <c r="C1443" t="s">
        <v>4121</v>
      </c>
      <c r="D1443" t="s">
        <v>4122</v>
      </c>
      <c r="E1443" t="s">
        <v>4123</v>
      </c>
      <c r="F1443" t="s">
        <v>196</v>
      </c>
      <c r="G1443" t="s">
        <v>4124</v>
      </c>
      <c r="H1443" t="s">
        <v>119</v>
      </c>
      <c r="I1443" t="s">
        <v>120</v>
      </c>
      <c r="J1443" t="s">
        <v>121</v>
      </c>
      <c r="K1443" t="s">
        <v>69</v>
      </c>
      <c r="L1443" t="s">
        <v>4125</v>
      </c>
      <c r="M1443" t="s">
        <v>71</v>
      </c>
      <c r="N1443" t="s">
        <v>198</v>
      </c>
      <c r="O1443" t="s">
        <v>3966</v>
      </c>
      <c r="P1443" t="s">
        <v>3967</v>
      </c>
      <c r="R1443" t="s">
        <v>1798</v>
      </c>
      <c r="S1443" t="s">
        <v>201</v>
      </c>
      <c r="T1443" t="s">
        <v>76</v>
      </c>
      <c r="U1443" t="s">
        <v>150</v>
      </c>
      <c r="V1443" t="s">
        <v>3530</v>
      </c>
      <c r="W1443">
        <v>790</v>
      </c>
      <c r="X1443">
        <v>34.99</v>
      </c>
      <c r="Y1443">
        <v>99</v>
      </c>
      <c r="Z1443">
        <v>569000</v>
      </c>
      <c r="AA1443">
        <v>364980</v>
      </c>
      <c r="AB1443">
        <v>213</v>
      </c>
      <c r="AD1443" t="s">
        <v>238</v>
      </c>
      <c r="AE1443">
        <v>1</v>
      </c>
      <c r="AF1443">
        <v>12</v>
      </c>
      <c r="AI1443">
        <v>0</v>
      </c>
      <c r="AJ1443">
        <v>250</v>
      </c>
      <c r="AK1443">
        <v>262</v>
      </c>
      <c r="AL1443">
        <v>462</v>
      </c>
      <c r="AM1443">
        <v>0</v>
      </c>
      <c r="AN1443">
        <v>0</v>
      </c>
      <c r="AO1443">
        <v>0</v>
      </c>
      <c r="AP1443" t="s">
        <v>69</v>
      </c>
      <c r="AR1443" t="s">
        <v>86</v>
      </c>
      <c r="AS1443" t="s">
        <v>86</v>
      </c>
      <c r="AT1443" t="s">
        <v>86</v>
      </c>
      <c r="AU1443" t="s">
        <v>86</v>
      </c>
      <c r="AV1443" t="s">
        <v>4126</v>
      </c>
      <c r="AW1443" t="s">
        <v>69</v>
      </c>
      <c r="AX1443" t="s">
        <v>218</v>
      </c>
      <c r="AY1443" t="s">
        <v>4127</v>
      </c>
      <c r="AZ1443" t="s">
        <v>245</v>
      </c>
      <c r="BA1443" t="s">
        <v>244</v>
      </c>
      <c r="BB1443" t="s">
        <v>244</v>
      </c>
      <c r="BC1443" t="s">
        <v>245</v>
      </c>
      <c r="BD1443" t="s">
        <v>4128</v>
      </c>
      <c r="BE1443" t="s">
        <v>4129</v>
      </c>
      <c r="BF1443" t="s">
        <v>786</v>
      </c>
      <c r="BG1443" t="s">
        <v>87</v>
      </c>
      <c r="BH1443" t="str">
        <f>IF(COUNTIF(工作表1!A:A, $C1443)&gt;0, "預購款", "非預購款")</f>
        <v>非預購款</v>
      </c>
    </row>
    <row r="1444" spans="1:60" x14ac:dyDescent="0.25">
      <c r="A1444" t="s">
        <v>4120</v>
      </c>
      <c r="B1444" t="s">
        <v>301</v>
      </c>
      <c r="C1444" t="s">
        <v>4121</v>
      </c>
      <c r="D1444" t="s">
        <v>4122</v>
      </c>
      <c r="E1444" t="s">
        <v>4123</v>
      </c>
      <c r="F1444" t="s">
        <v>196</v>
      </c>
      <c r="G1444" t="s">
        <v>4124</v>
      </c>
      <c r="H1444" t="s">
        <v>130</v>
      </c>
      <c r="I1444" t="s">
        <v>120</v>
      </c>
      <c r="J1444" t="s">
        <v>121</v>
      </c>
      <c r="K1444" t="s">
        <v>69</v>
      </c>
      <c r="L1444" t="s">
        <v>4125</v>
      </c>
      <c r="M1444" t="s">
        <v>71</v>
      </c>
      <c r="N1444" t="s">
        <v>198</v>
      </c>
      <c r="O1444" t="s">
        <v>3966</v>
      </c>
      <c r="P1444" t="s">
        <v>3967</v>
      </c>
      <c r="R1444" t="s">
        <v>1798</v>
      </c>
      <c r="S1444" t="s">
        <v>201</v>
      </c>
      <c r="T1444" t="s">
        <v>76</v>
      </c>
      <c r="U1444" t="s">
        <v>150</v>
      </c>
      <c r="V1444" t="s">
        <v>3530</v>
      </c>
      <c r="W1444">
        <v>790</v>
      </c>
      <c r="X1444">
        <v>34.99</v>
      </c>
      <c r="Y1444">
        <v>99</v>
      </c>
      <c r="Z1444">
        <v>569000</v>
      </c>
      <c r="AA1444">
        <v>364980</v>
      </c>
      <c r="AB1444">
        <v>213</v>
      </c>
      <c r="AD1444" t="s">
        <v>238</v>
      </c>
      <c r="AE1444">
        <v>1</v>
      </c>
      <c r="AF1444">
        <v>10</v>
      </c>
      <c r="AI1444">
        <v>0</v>
      </c>
      <c r="AJ1444">
        <v>190</v>
      </c>
      <c r="AK1444">
        <v>200</v>
      </c>
      <c r="AL1444">
        <v>462</v>
      </c>
      <c r="AM1444">
        <v>0</v>
      </c>
      <c r="AN1444">
        <v>0</v>
      </c>
      <c r="AO1444">
        <v>0</v>
      </c>
      <c r="AP1444" t="s">
        <v>69</v>
      </c>
      <c r="AR1444" t="s">
        <v>86</v>
      </c>
      <c r="AS1444" t="s">
        <v>86</v>
      </c>
      <c r="AT1444" t="s">
        <v>86</v>
      </c>
      <c r="AU1444" t="s">
        <v>86</v>
      </c>
      <c r="AV1444" t="s">
        <v>4126</v>
      </c>
      <c r="AW1444" t="s">
        <v>69</v>
      </c>
      <c r="AX1444" t="s">
        <v>218</v>
      </c>
      <c r="AY1444" t="s">
        <v>4127</v>
      </c>
      <c r="AZ1444" t="s">
        <v>245</v>
      </c>
      <c r="BA1444" t="s">
        <v>244</v>
      </c>
      <c r="BB1444" t="s">
        <v>244</v>
      </c>
      <c r="BC1444" t="s">
        <v>245</v>
      </c>
      <c r="BD1444" t="s">
        <v>4130</v>
      </c>
      <c r="BE1444" t="s">
        <v>4129</v>
      </c>
      <c r="BF1444" t="s">
        <v>786</v>
      </c>
      <c r="BG1444" t="s">
        <v>87</v>
      </c>
      <c r="BH1444" t="str">
        <f>IF(COUNTIF(工作表1!A:A, $C1444)&gt;0, "預購款", "非預購款")</f>
        <v>非預購款</v>
      </c>
    </row>
    <row r="1445" spans="1:60" x14ac:dyDescent="0.25">
      <c r="A1445" t="s">
        <v>1056</v>
      </c>
      <c r="B1445" t="s">
        <v>315</v>
      </c>
      <c r="C1445" t="s">
        <v>1057</v>
      </c>
      <c r="D1445" t="s">
        <v>1058</v>
      </c>
      <c r="E1445" t="s">
        <v>1059</v>
      </c>
      <c r="F1445" t="s">
        <v>196</v>
      </c>
      <c r="G1445" t="s">
        <v>1060</v>
      </c>
      <c r="H1445" t="s">
        <v>273</v>
      </c>
      <c r="I1445" t="s">
        <v>97</v>
      </c>
      <c r="J1445" t="s">
        <v>98</v>
      </c>
      <c r="K1445" t="s">
        <v>69</v>
      </c>
      <c r="L1445" t="s">
        <v>1061</v>
      </c>
      <c r="M1445" t="s">
        <v>71</v>
      </c>
      <c r="N1445" t="s">
        <v>100</v>
      </c>
      <c r="O1445" t="s">
        <v>980</v>
      </c>
      <c r="P1445" t="s">
        <v>981</v>
      </c>
      <c r="R1445" t="s">
        <v>982</v>
      </c>
      <c r="S1445" t="s">
        <v>201</v>
      </c>
      <c r="T1445" t="s">
        <v>274</v>
      </c>
      <c r="U1445" t="s">
        <v>104</v>
      </c>
      <c r="V1445" t="s">
        <v>653</v>
      </c>
      <c r="W1445">
        <v>590</v>
      </c>
      <c r="X1445">
        <v>29.99</v>
      </c>
      <c r="Y1445">
        <v>75</v>
      </c>
      <c r="Z1445">
        <v>429000</v>
      </c>
      <c r="AA1445">
        <v>59000</v>
      </c>
      <c r="AB1445">
        <v>240</v>
      </c>
      <c r="AD1445" t="s">
        <v>238</v>
      </c>
      <c r="AE1445">
        <v>1</v>
      </c>
      <c r="AF1445">
        <v>0</v>
      </c>
      <c r="AI1445">
        <v>0</v>
      </c>
      <c r="AJ1445">
        <v>60</v>
      </c>
      <c r="AK1445">
        <v>60</v>
      </c>
      <c r="AL1445">
        <v>100</v>
      </c>
      <c r="AM1445">
        <v>0</v>
      </c>
      <c r="AN1445">
        <v>0</v>
      </c>
      <c r="AO1445">
        <v>0</v>
      </c>
      <c r="AP1445" t="s">
        <v>69</v>
      </c>
      <c r="AS1445" t="s">
        <v>86</v>
      </c>
      <c r="AT1445" t="s">
        <v>86</v>
      </c>
      <c r="AU1445" t="s">
        <v>86</v>
      </c>
      <c r="AV1445" t="s">
        <v>1062</v>
      </c>
      <c r="AW1445" t="s">
        <v>69</v>
      </c>
      <c r="AX1445" t="s">
        <v>738</v>
      </c>
      <c r="AY1445" t="s">
        <v>1063</v>
      </c>
      <c r="AZ1445" t="s">
        <v>243</v>
      </c>
      <c r="BA1445" t="s">
        <v>244</v>
      </c>
      <c r="BB1445" t="s">
        <v>244</v>
      </c>
      <c r="BC1445" t="s">
        <v>244</v>
      </c>
      <c r="BD1445" t="s">
        <v>1064</v>
      </c>
      <c r="BE1445" t="s">
        <v>4131</v>
      </c>
      <c r="BF1445" t="s">
        <v>672</v>
      </c>
      <c r="BG1445" t="s">
        <v>150</v>
      </c>
      <c r="BH1445" t="str">
        <f>IF(COUNTIF(工作表1!A:A, $C1445)&gt;0, "預購款", "非預購款")</f>
        <v>非預購款</v>
      </c>
    </row>
    <row r="1446" spans="1:60" x14ac:dyDescent="0.25">
      <c r="A1446" t="s">
        <v>1056</v>
      </c>
      <c r="B1446" t="s">
        <v>315</v>
      </c>
      <c r="C1446" t="s">
        <v>1057</v>
      </c>
      <c r="D1446" t="s">
        <v>1058</v>
      </c>
      <c r="E1446" t="s">
        <v>1059</v>
      </c>
      <c r="F1446" t="s">
        <v>196</v>
      </c>
      <c r="G1446" t="s">
        <v>1060</v>
      </c>
      <c r="H1446" t="s">
        <v>501</v>
      </c>
      <c r="I1446" t="s">
        <v>97</v>
      </c>
      <c r="J1446" t="s">
        <v>98</v>
      </c>
      <c r="K1446" t="s">
        <v>69</v>
      </c>
      <c r="L1446" t="s">
        <v>1061</v>
      </c>
      <c r="M1446" t="s">
        <v>71</v>
      </c>
      <c r="N1446" t="s">
        <v>100</v>
      </c>
      <c r="O1446" t="s">
        <v>980</v>
      </c>
      <c r="P1446" t="s">
        <v>981</v>
      </c>
      <c r="R1446" t="s">
        <v>982</v>
      </c>
      <c r="S1446" t="s">
        <v>201</v>
      </c>
      <c r="T1446" t="s">
        <v>274</v>
      </c>
      <c r="U1446" t="s">
        <v>104</v>
      </c>
      <c r="V1446" t="s">
        <v>653</v>
      </c>
      <c r="W1446">
        <v>590</v>
      </c>
      <c r="X1446">
        <v>29.99</v>
      </c>
      <c r="Y1446">
        <v>75</v>
      </c>
      <c r="Z1446">
        <v>429000</v>
      </c>
      <c r="AA1446">
        <v>59000</v>
      </c>
      <c r="AB1446">
        <v>240</v>
      </c>
      <c r="AD1446" t="s">
        <v>238</v>
      </c>
      <c r="AE1446">
        <v>1</v>
      </c>
      <c r="AF1446">
        <v>0</v>
      </c>
      <c r="AI1446">
        <v>0</v>
      </c>
      <c r="AJ1446">
        <v>15</v>
      </c>
      <c r="AK1446">
        <v>15</v>
      </c>
      <c r="AL1446">
        <v>100</v>
      </c>
      <c r="AM1446">
        <v>0</v>
      </c>
      <c r="AN1446">
        <v>0</v>
      </c>
      <c r="AO1446">
        <v>0</v>
      </c>
      <c r="AP1446" t="s">
        <v>69</v>
      </c>
      <c r="AS1446" t="s">
        <v>86</v>
      </c>
      <c r="AT1446" t="s">
        <v>86</v>
      </c>
      <c r="AU1446" t="s">
        <v>86</v>
      </c>
      <c r="AV1446" t="s">
        <v>1062</v>
      </c>
      <c r="AW1446" t="s">
        <v>69</v>
      </c>
      <c r="AX1446" t="s">
        <v>738</v>
      </c>
      <c r="AY1446" t="s">
        <v>1063</v>
      </c>
      <c r="AZ1446" t="s">
        <v>243</v>
      </c>
      <c r="BA1446" t="s">
        <v>244</v>
      </c>
      <c r="BB1446" t="s">
        <v>244</v>
      </c>
      <c r="BC1446" t="s">
        <v>244</v>
      </c>
      <c r="BD1446" t="s">
        <v>1066</v>
      </c>
      <c r="BE1446" t="s">
        <v>4131</v>
      </c>
      <c r="BF1446" t="s">
        <v>672</v>
      </c>
      <c r="BG1446" t="s">
        <v>150</v>
      </c>
      <c r="BH1446" t="str">
        <f>IF(COUNTIF(工作表1!A:A, $C1446)&gt;0, "預購款", "非預購款")</f>
        <v>非預購款</v>
      </c>
    </row>
    <row r="1447" spans="1:60" x14ac:dyDescent="0.25">
      <c r="A1447" t="s">
        <v>1056</v>
      </c>
      <c r="B1447" t="s">
        <v>315</v>
      </c>
      <c r="C1447" t="s">
        <v>1057</v>
      </c>
      <c r="D1447" t="s">
        <v>1058</v>
      </c>
      <c r="E1447" t="s">
        <v>1059</v>
      </c>
      <c r="F1447" t="s">
        <v>196</v>
      </c>
      <c r="G1447" t="s">
        <v>1060</v>
      </c>
      <c r="H1447" t="s">
        <v>280</v>
      </c>
      <c r="I1447" t="s">
        <v>97</v>
      </c>
      <c r="J1447" t="s">
        <v>98</v>
      </c>
      <c r="K1447" t="s">
        <v>69</v>
      </c>
      <c r="L1447" t="s">
        <v>1061</v>
      </c>
      <c r="M1447" t="s">
        <v>71</v>
      </c>
      <c r="N1447" t="s">
        <v>100</v>
      </c>
      <c r="O1447" t="s">
        <v>980</v>
      </c>
      <c r="P1447" t="s">
        <v>981</v>
      </c>
      <c r="R1447" t="s">
        <v>982</v>
      </c>
      <c r="S1447" t="s">
        <v>201</v>
      </c>
      <c r="T1447" t="s">
        <v>274</v>
      </c>
      <c r="U1447" t="s">
        <v>104</v>
      </c>
      <c r="V1447" t="s">
        <v>653</v>
      </c>
      <c r="W1447">
        <v>590</v>
      </c>
      <c r="X1447">
        <v>29.99</v>
      </c>
      <c r="Y1447">
        <v>75</v>
      </c>
      <c r="Z1447">
        <v>429000</v>
      </c>
      <c r="AA1447">
        <v>59000</v>
      </c>
      <c r="AB1447">
        <v>240</v>
      </c>
      <c r="AD1447" t="s">
        <v>238</v>
      </c>
      <c r="AE1447">
        <v>1</v>
      </c>
      <c r="AF1447">
        <v>0</v>
      </c>
      <c r="AI1447">
        <v>0</v>
      </c>
      <c r="AJ1447">
        <v>25</v>
      </c>
      <c r="AK1447">
        <v>25</v>
      </c>
      <c r="AL1447">
        <v>100</v>
      </c>
      <c r="AM1447">
        <v>0</v>
      </c>
      <c r="AN1447">
        <v>0</v>
      </c>
      <c r="AO1447">
        <v>0</v>
      </c>
      <c r="AP1447" t="s">
        <v>69</v>
      </c>
      <c r="AS1447" t="s">
        <v>86</v>
      </c>
      <c r="AT1447" t="s">
        <v>86</v>
      </c>
      <c r="AU1447" t="s">
        <v>86</v>
      </c>
      <c r="AV1447" t="s">
        <v>1062</v>
      </c>
      <c r="AW1447" t="s">
        <v>69</v>
      </c>
      <c r="AX1447" t="s">
        <v>738</v>
      </c>
      <c r="AY1447" t="s">
        <v>1063</v>
      </c>
      <c r="AZ1447" t="s">
        <v>243</v>
      </c>
      <c r="BA1447" t="s">
        <v>244</v>
      </c>
      <c r="BB1447" t="s">
        <v>244</v>
      </c>
      <c r="BC1447" t="s">
        <v>244</v>
      </c>
      <c r="BD1447" t="s">
        <v>1067</v>
      </c>
      <c r="BE1447" t="s">
        <v>4131</v>
      </c>
      <c r="BF1447" t="s">
        <v>672</v>
      </c>
      <c r="BG1447" t="s">
        <v>150</v>
      </c>
      <c r="BH1447" t="str">
        <f>IF(COUNTIF(工作表1!A:A, $C1447)&gt;0, "預購款", "非預購款")</f>
        <v>非預購款</v>
      </c>
    </row>
    <row r="1448" spans="1:60" x14ac:dyDescent="0.25">
      <c r="A1448" t="s">
        <v>1812</v>
      </c>
      <c r="B1448" t="s">
        <v>315</v>
      </c>
      <c r="C1448" t="s">
        <v>1813</v>
      </c>
      <c r="D1448" t="s">
        <v>1814</v>
      </c>
      <c r="E1448" t="s">
        <v>1815</v>
      </c>
      <c r="F1448" t="s">
        <v>196</v>
      </c>
      <c r="G1448" t="s">
        <v>1816</v>
      </c>
      <c r="H1448" t="s">
        <v>119</v>
      </c>
      <c r="I1448" t="s">
        <v>97</v>
      </c>
      <c r="J1448" t="s">
        <v>98</v>
      </c>
      <c r="K1448" t="s">
        <v>69</v>
      </c>
      <c r="L1448" t="s">
        <v>1817</v>
      </c>
      <c r="M1448" t="s">
        <v>71</v>
      </c>
      <c r="N1448" t="s">
        <v>100</v>
      </c>
      <c r="O1448" t="s">
        <v>1648</v>
      </c>
      <c r="P1448" t="s">
        <v>1649</v>
      </c>
      <c r="R1448" t="s">
        <v>1650</v>
      </c>
      <c r="S1448" t="s">
        <v>201</v>
      </c>
      <c r="T1448" t="s">
        <v>258</v>
      </c>
      <c r="U1448" t="s">
        <v>123</v>
      </c>
      <c r="V1448" t="s">
        <v>124</v>
      </c>
      <c r="W1448">
        <v>890</v>
      </c>
      <c r="X1448">
        <v>39.99</v>
      </c>
      <c r="Y1448">
        <v>115</v>
      </c>
      <c r="Z1448">
        <v>639000</v>
      </c>
      <c r="AA1448">
        <v>979000</v>
      </c>
      <c r="AB1448">
        <v>390</v>
      </c>
      <c r="AD1448" t="s">
        <v>238</v>
      </c>
      <c r="AE1448">
        <v>2</v>
      </c>
      <c r="AF1448">
        <v>10</v>
      </c>
      <c r="AI1448">
        <v>20</v>
      </c>
      <c r="AJ1448">
        <v>200</v>
      </c>
      <c r="AK1448">
        <v>230</v>
      </c>
      <c r="AL1448">
        <v>1100</v>
      </c>
      <c r="AM1448">
        <v>0</v>
      </c>
      <c r="AN1448">
        <v>0</v>
      </c>
      <c r="AO1448">
        <v>0</v>
      </c>
      <c r="AP1448" t="s">
        <v>69</v>
      </c>
      <c r="AR1448" t="s">
        <v>86</v>
      </c>
      <c r="AS1448" t="s">
        <v>86</v>
      </c>
      <c r="AT1448" t="s">
        <v>86</v>
      </c>
      <c r="AU1448" t="s">
        <v>86</v>
      </c>
      <c r="AV1448" t="s">
        <v>1818</v>
      </c>
      <c r="AW1448" t="s">
        <v>69</v>
      </c>
      <c r="AX1448" t="s">
        <v>728</v>
      </c>
      <c r="AY1448" t="s">
        <v>1819</v>
      </c>
      <c r="AZ1448" t="s">
        <v>264</v>
      </c>
      <c r="BA1448" t="s">
        <v>245</v>
      </c>
      <c r="BB1448" t="s">
        <v>245</v>
      </c>
      <c r="BC1448" t="s">
        <v>245</v>
      </c>
      <c r="BD1448" t="s">
        <v>1820</v>
      </c>
      <c r="BE1448" t="s">
        <v>4132</v>
      </c>
      <c r="BF1448" t="s">
        <v>240</v>
      </c>
      <c r="BG1448" t="s">
        <v>110</v>
      </c>
      <c r="BH1448" t="str">
        <f>IF(COUNTIF(工作表1!A:A, $C1448)&gt;0, "預購款", "非預購款")</f>
        <v>非預購款</v>
      </c>
    </row>
    <row r="1449" spans="1:60" x14ac:dyDescent="0.25">
      <c r="A1449" t="s">
        <v>1812</v>
      </c>
      <c r="B1449" t="s">
        <v>315</v>
      </c>
      <c r="C1449" t="s">
        <v>1813</v>
      </c>
      <c r="D1449" t="s">
        <v>1814</v>
      </c>
      <c r="E1449" t="s">
        <v>1815</v>
      </c>
      <c r="F1449" t="s">
        <v>196</v>
      </c>
      <c r="G1449" t="s">
        <v>1816</v>
      </c>
      <c r="H1449" t="s">
        <v>130</v>
      </c>
      <c r="I1449" t="s">
        <v>97</v>
      </c>
      <c r="J1449" t="s">
        <v>98</v>
      </c>
      <c r="K1449" t="s">
        <v>69</v>
      </c>
      <c r="L1449" t="s">
        <v>1817</v>
      </c>
      <c r="M1449" t="s">
        <v>71</v>
      </c>
      <c r="N1449" t="s">
        <v>100</v>
      </c>
      <c r="O1449" t="s">
        <v>1648</v>
      </c>
      <c r="P1449" t="s">
        <v>1649</v>
      </c>
      <c r="R1449" t="s">
        <v>1650</v>
      </c>
      <c r="S1449" t="s">
        <v>201</v>
      </c>
      <c r="T1449" t="s">
        <v>258</v>
      </c>
      <c r="U1449" t="s">
        <v>123</v>
      </c>
      <c r="V1449" t="s">
        <v>124</v>
      </c>
      <c r="W1449">
        <v>890</v>
      </c>
      <c r="X1449">
        <v>39.99</v>
      </c>
      <c r="Y1449">
        <v>115</v>
      </c>
      <c r="Z1449">
        <v>639000</v>
      </c>
      <c r="AA1449">
        <v>979000</v>
      </c>
      <c r="AB1449">
        <v>390</v>
      </c>
      <c r="AD1449" t="s">
        <v>238</v>
      </c>
      <c r="AE1449">
        <v>2</v>
      </c>
      <c r="AF1449">
        <v>10</v>
      </c>
      <c r="AI1449">
        <v>10</v>
      </c>
      <c r="AJ1449">
        <v>200</v>
      </c>
      <c r="AK1449">
        <v>220</v>
      </c>
      <c r="AL1449">
        <v>1100</v>
      </c>
      <c r="AM1449">
        <v>0</v>
      </c>
      <c r="AN1449">
        <v>0</v>
      </c>
      <c r="AO1449">
        <v>0</v>
      </c>
      <c r="AP1449" t="s">
        <v>69</v>
      </c>
      <c r="AR1449" t="s">
        <v>86</v>
      </c>
      <c r="AS1449" t="s">
        <v>86</v>
      </c>
      <c r="AT1449" t="s">
        <v>86</v>
      </c>
      <c r="AU1449" t="s">
        <v>86</v>
      </c>
      <c r="AV1449" t="s">
        <v>1818</v>
      </c>
      <c r="AW1449" t="s">
        <v>69</v>
      </c>
      <c r="AX1449" t="s">
        <v>728</v>
      </c>
      <c r="AY1449" t="s">
        <v>1819</v>
      </c>
      <c r="AZ1449" t="s">
        <v>264</v>
      </c>
      <c r="BA1449" t="s">
        <v>245</v>
      </c>
      <c r="BB1449" t="s">
        <v>245</v>
      </c>
      <c r="BC1449" t="s">
        <v>245</v>
      </c>
      <c r="BD1449" t="s">
        <v>1822</v>
      </c>
      <c r="BE1449" t="s">
        <v>4132</v>
      </c>
      <c r="BF1449" t="s">
        <v>240</v>
      </c>
      <c r="BG1449" t="s">
        <v>110</v>
      </c>
      <c r="BH1449" t="str">
        <f>IF(COUNTIF(工作表1!A:A, $C1449)&gt;0, "預購款", "非預購款")</f>
        <v>非預購款</v>
      </c>
    </row>
    <row r="1450" spans="1:60" x14ac:dyDescent="0.25">
      <c r="A1450" t="s">
        <v>1812</v>
      </c>
      <c r="B1450" t="s">
        <v>315</v>
      </c>
      <c r="C1450" t="s">
        <v>1813</v>
      </c>
      <c r="D1450" t="s">
        <v>1814</v>
      </c>
      <c r="E1450" t="s">
        <v>1815</v>
      </c>
      <c r="F1450" t="s">
        <v>196</v>
      </c>
      <c r="G1450" t="s">
        <v>1816</v>
      </c>
      <c r="H1450" t="s">
        <v>132</v>
      </c>
      <c r="I1450" t="s">
        <v>97</v>
      </c>
      <c r="J1450" t="s">
        <v>98</v>
      </c>
      <c r="K1450" t="s">
        <v>69</v>
      </c>
      <c r="L1450" t="s">
        <v>1817</v>
      </c>
      <c r="M1450" t="s">
        <v>71</v>
      </c>
      <c r="N1450" t="s">
        <v>100</v>
      </c>
      <c r="O1450" t="s">
        <v>1648</v>
      </c>
      <c r="P1450" t="s">
        <v>1649</v>
      </c>
      <c r="R1450" t="s">
        <v>1650</v>
      </c>
      <c r="S1450" t="s">
        <v>201</v>
      </c>
      <c r="T1450" t="s">
        <v>258</v>
      </c>
      <c r="U1450" t="s">
        <v>123</v>
      </c>
      <c r="V1450" t="s">
        <v>124</v>
      </c>
      <c r="W1450">
        <v>890</v>
      </c>
      <c r="X1450">
        <v>39.99</v>
      </c>
      <c r="Y1450">
        <v>115</v>
      </c>
      <c r="Z1450">
        <v>639000</v>
      </c>
      <c r="AA1450">
        <v>979000</v>
      </c>
      <c r="AB1450">
        <v>390</v>
      </c>
      <c r="AD1450" t="s">
        <v>238</v>
      </c>
      <c r="AE1450">
        <v>2</v>
      </c>
      <c r="AF1450">
        <v>10</v>
      </c>
      <c r="AI1450">
        <v>30</v>
      </c>
      <c r="AJ1450">
        <v>100</v>
      </c>
      <c r="AK1450">
        <v>140</v>
      </c>
      <c r="AL1450">
        <v>1100</v>
      </c>
      <c r="AM1450">
        <v>0</v>
      </c>
      <c r="AN1450">
        <v>0</v>
      </c>
      <c r="AO1450">
        <v>0</v>
      </c>
      <c r="AP1450" t="s">
        <v>69</v>
      </c>
      <c r="AR1450" t="s">
        <v>86</v>
      </c>
      <c r="AS1450" t="s">
        <v>86</v>
      </c>
      <c r="AT1450" t="s">
        <v>86</v>
      </c>
      <c r="AU1450" t="s">
        <v>86</v>
      </c>
      <c r="AV1450" t="s">
        <v>1818</v>
      </c>
      <c r="AW1450" t="s">
        <v>69</v>
      </c>
      <c r="AX1450" t="s">
        <v>728</v>
      </c>
      <c r="AY1450" t="s">
        <v>1819</v>
      </c>
      <c r="AZ1450" t="s">
        <v>264</v>
      </c>
      <c r="BA1450" t="s">
        <v>245</v>
      </c>
      <c r="BB1450" t="s">
        <v>245</v>
      </c>
      <c r="BC1450" t="s">
        <v>245</v>
      </c>
      <c r="BD1450" t="s">
        <v>1823</v>
      </c>
      <c r="BE1450" t="s">
        <v>4132</v>
      </c>
      <c r="BF1450" t="s">
        <v>240</v>
      </c>
      <c r="BG1450" t="s">
        <v>110</v>
      </c>
      <c r="BH1450" t="str">
        <f>IF(COUNTIF(工作表1!A:A, $C1450)&gt;0, "預購款", "非預購款")</f>
        <v>非預購款</v>
      </c>
    </row>
    <row r="1451" spans="1:60" x14ac:dyDescent="0.25">
      <c r="A1451" t="s">
        <v>1812</v>
      </c>
      <c r="B1451" t="s">
        <v>315</v>
      </c>
      <c r="C1451" t="s">
        <v>1813</v>
      </c>
      <c r="D1451" t="s">
        <v>1814</v>
      </c>
      <c r="E1451" t="s">
        <v>1815</v>
      </c>
      <c r="F1451" t="s">
        <v>196</v>
      </c>
      <c r="G1451" t="s">
        <v>1816</v>
      </c>
      <c r="H1451" t="s">
        <v>119</v>
      </c>
      <c r="I1451" t="s">
        <v>1552</v>
      </c>
      <c r="J1451" t="s">
        <v>1553</v>
      </c>
      <c r="K1451" t="s">
        <v>69</v>
      </c>
      <c r="L1451" t="s">
        <v>1817</v>
      </c>
      <c r="M1451" t="s">
        <v>71</v>
      </c>
      <c r="N1451" t="s">
        <v>100</v>
      </c>
      <c r="O1451" t="s">
        <v>1648</v>
      </c>
      <c r="P1451" t="s">
        <v>1649</v>
      </c>
      <c r="R1451" t="s">
        <v>1650</v>
      </c>
      <c r="S1451" t="s">
        <v>201</v>
      </c>
      <c r="T1451" t="s">
        <v>258</v>
      </c>
      <c r="U1451" t="s">
        <v>123</v>
      </c>
      <c r="V1451" t="s">
        <v>124</v>
      </c>
      <c r="W1451">
        <v>890</v>
      </c>
      <c r="X1451">
        <v>39.99</v>
      </c>
      <c r="Y1451">
        <v>115</v>
      </c>
      <c r="Z1451">
        <v>639000</v>
      </c>
      <c r="AA1451">
        <v>979000</v>
      </c>
      <c r="AB1451">
        <v>390</v>
      </c>
      <c r="AD1451" t="s">
        <v>238</v>
      </c>
      <c r="AE1451">
        <v>2</v>
      </c>
      <c r="AF1451">
        <v>10</v>
      </c>
      <c r="AI1451">
        <v>30</v>
      </c>
      <c r="AJ1451">
        <v>170</v>
      </c>
      <c r="AK1451">
        <v>210</v>
      </c>
      <c r="AL1451">
        <v>1100</v>
      </c>
      <c r="AM1451">
        <v>0</v>
      </c>
      <c r="AN1451">
        <v>0</v>
      </c>
      <c r="AO1451">
        <v>0</v>
      </c>
      <c r="AP1451" t="s">
        <v>69</v>
      </c>
      <c r="AR1451" t="s">
        <v>86</v>
      </c>
      <c r="AS1451" t="s">
        <v>86</v>
      </c>
      <c r="AT1451" t="s">
        <v>86</v>
      </c>
      <c r="AU1451" t="s">
        <v>86</v>
      </c>
      <c r="AV1451" t="s">
        <v>1818</v>
      </c>
      <c r="AW1451" t="s">
        <v>69</v>
      </c>
      <c r="AX1451" t="s">
        <v>728</v>
      </c>
      <c r="AY1451" t="s">
        <v>1819</v>
      </c>
      <c r="AZ1451" t="s">
        <v>264</v>
      </c>
      <c r="BA1451" t="s">
        <v>245</v>
      </c>
      <c r="BB1451" t="s">
        <v>245</v>
      </c>
      <c r="BC1451" t="s">
        <v>245</v>
      </c>
      <c r="BD1451" t="s">
        <v>1824</v>
      </c>
      <c r="BE1451" t="s">
        <v>4132</v>
      </c>
      <c r="BF1451" t="s">
        <v>240</v>
      </c>
      <c r="BG1451" t="s">
        <v>110</v>
      </c>
      <c r="BH1451" t="str">
        <f>IF(COUNTIF(工作表1!A:A, $C1451)&gt;0, "預購款", "非預購款")</f>
        <v>非預購款</v>
      </c>
    </row>
    <row r="1452" spans="1:60" x14ac:dyDescent="0.25">
      <c r="A1452" t="s">
        <v>1812</v>
      </c>
      <c r="B1452" t="s">
        <v>315</v>
      </c>
      <c r="C1452" t="s">
        <v>1813</v>
      </c>
      <c r="D1452" t="s">
        <v>1814</v>
      </c>
      <c r="E1452" t="s">
        <v>1815</v>
      </c>
      <c r="F1452" t="s">
        <v>196</v>
      </c>
      <c r="G1452" t="s">
        <v>1816</v>
      </c>
      <c r="H1452" t="s">
        <v>130</v>
      </c>
      <c r="I1452" t="s">
        <v>1552</v>
      </c>
      <c r="J1452" t="s">
        <v>1553</v>
      </c>
      <c r="K1452" t="s">
        <v>69</v>
      </c>
      <c r="L1452" t="s">
        <v>1817</v>
      </c>
      <c r="M1452" t="s">
        <v>71</v>
      </c>
      <c r="N1452" t="s">
        <v>100</v>
      </c>
      <c r="O1452" t="s">
        <v>1648</v>
      </c>
      <c r="P1452" t="s">
        <v>1649</v>
      </c>
      <c r="R1452" t="s">
        <v>1650</v>
      </c>
      <c r="S1452" t="s">
        <v>201</v>
      </c>
      <c r="T1452" t="s">
        <v>258</v>
      </c>
      <c r="U1452" t="s">
        <v>123</v>
      </c>
      <c r="V1452" t="s">
        <v>124</v>
      </c>
      <c r="W1452">
        <v>890</v>
      </c>
      <c r="X1452">
        <v>39.99</v>
      </c>
      <c r="Y1452">
        <v>115</v>
      </c>
      <c r="Z1452">
        <v>639000</v>
      </c>
      <c r="AA1452">
        <v>979000</v>
      </c>
      <c r="AB1452">
        <v>390</v>
      </c>
      <c r="AD1452" t="s">
        <v>238</v>
      </c>
      <c r="AE1452">
        <v>2</v>
      </c>
      <c r="AF1452">
        <v>10</v>
      </c>
      <c r="AI1452">
        <v>20</v>
      </c>
      <c r="AJ1452">
        <v>170</v>
      </c>
      <c r="AK1452">
        <v>200</v>
      </c>
      <c r="AL1452">
        <v>1100</v>
      </c>
      <c r="AM1452">
        <v>0</v>
      </c>
      <c r="AN1452">
        <v>0</v>
      </c>
      <c r="AO1452">
        <v>0</v>
      </c>
      <c r="AP1452" t="s">
        <v>69</v>
      </c>
      <c r="AR1452" t="s">
        <v>86</v>
      </c>
      <c r="AS1452" t="s">
        <v>86</v>
      </c>
      <c r="AT1452" t="s">
        <v>86</v>
      </c>
      <c r="AU1452" t="s">
        <v>86</v>
      </c>
      <c r="AV1452" t="s">
        <v>1818</v>
      </c>
      <c r="AW1452" t="s">
        <v>69</v>
      </c>
      <c r="AX1452" t="s">
        <v>728</v>
      </c>
      <c r="AY1452" t="s">
        <v>1819</v>
      </c>
      <c r="AZ1452" t="s">
        <v>264</v>
      </c>
      <c r="BA1452" t="s">
        <v>245</v>
      </c>
      <c r="BB1452" t="s">
        <v>245</v>
      </c>
      <c r="BC1452" t="s">
        <v>245</v>
      </c>
      <c r="BD1452" t="s">
        <v>1825</v>
      </c>
      <c r="BE1452" t="s">
        <v>4132</v>
      </c>
      <c r="BF1452" t="s">
        <v>240</v>
      </c>
      <c r="BG1452" t="s">
        <v>110</v>
      </c>
      <c r="BH1452" t="str">
        <f>IF(COUNTIF(工作表1!A:A, $C1452)&gt;0, "預購款", "非預購款")</f>
        <v>非預購款</v>
      </c>
    </row>
    <row r="1453" spans="1:60" x14ac:dyDescent="0.25">
      <c r="A1453" t="s">
        <v>1812</v>
      </c>
      <c r="B1453" t="s">
        <v>315</v>
      </c>
      <c r="C1453" t="s">
        <v>1813</v>
      </c>
      <c r="D1453" t="s">
        <v>1814</v>
      </c>
      <c r="E1453" t="s">
        <v>1815</v>
      </c>
      <c r="F1453" t="s">
        <v>196</v>
      </c>
      <c r="G1453" t="s">
        <v>1816</v>
      </c>
      <c r="H1453" t="s">
        <v>132</v>
      </c>
      <c r="I1453" t="s">
        <v>1552</v>
      </c>
      <c r="J1453" t="s">
        <v>1553</v>
      </c>
      <c r="K1453" t="s">
        <v>69</v>
      </c>
      <c r="L1453" t="s">
        <v>1817</v>
      </c>
      <c r="M1453" t="s">
        <v>71</v>
      </c>
      <c r="N1453" t="s">
        <v>100</v>
      </c>
      <c r="O1453" t="s">
        <v>1648</v>
      </c>
      <c r="P1453" t="s">
        <v>1649</v>
      </c>
      <c r="R1453" t="s">
        <v>1650</v>
      </c>
      <c r="S1453" t="s">
        <v>201</v>
      </c>
      <c r="T1453" t="s">
        <v>258</v>
      </c>
      <c r="U1453" t="s">
        <v>123</v>
      </c>
      <c r="V1453" t="s">
        <v>124</v>
      </c>
      <c r="W1453">
        <v>890</v>
      </c>
      <c r="X1453">
        <v>39.99</v>
      </c>
      <c r="Y1453">
        <v>115</v>
      </c>
      <c r="Z1453">
        <v>639000</v>
      </c>
      <c r="AA1453">
        <v>979000</v>
      </c>
      <c r="AB1453">
        <v>390</v>
      </c>
      <c r="AD1453" t="s">
        <v>238</v>
      </c>
      <c r="AE1453">
        <v>2</v>
      </c>
      <c r="AF1453">
        <v>10</v>
      </c>
      <c r="AI1453">
        <v>20</v>
      </c>
      <c r="AJ1453">
        <v>70</v>
      </c>
      <c r="AK1453">
        <v>100</v>
      </c>
      <c r="AL1453">
        <v>1100</v>
      </c>
      <c r="AM1453">
        <v>0</v>
      </c>
      <c r="AN1453">
        <v>0</v>
      </c>
      <c r="AO1453">
        <v>0</v>
      </c>
      <c r="AP1453" t="s">
        <v>69</v>
      </c>
      <c r="AR1453" t="s">
        <v>86</v>
      </c>
      <c r="AS1453" t="s">
        <v>86</v>
      </c>
      <c r="AT1453" t="s">
        <v>86</v>
      </c>
      <c r="AU1453" t="s">
        <v>86</v>
      </c>
      <c r="AV1453" t="s">
        <v>1818</v>
      </c>
      <c r="AW1453" t="s">
        <v>69</v>
      </c>
      <c r="AX1453" t="s">
        <v>728</v>
      </c>
      <c r="AY1453" t="s">
        <v>1819</v>
      </c>
      <c r="AZ1453" t="s">
        <v>264</v>
      </c>
      <c r="BA1453" t="s">
        <v>245</v>
      </c>
      <c r="BB1453" t="s">
        <v>245</v>
      </c>
      <c r="BC1453" t="s">
        <v>245</v>
      </c>
      <c r="BD1453" t="s">
        <v>1826</v>
      </c>
      <c r="BE1453" t="s">
        <v>4132</v>
      </c>
      <c r="BF1453" t="s">
        <v>240</v>
      </c>
      <c r="BG1453" t="s">
        <v>110</v>
      </c>
      <c r="BH1453" t="str">
        <f>IF(COUNTIF(工作表1!A:A, $C1453)&gt;0, "預購款", "非預購款")</f>
        <v>非預購款</v>
      </c>
    </row>
    <row r="1454" spans="1:60" x14ac:dyDescent="0.25">
      <c r="A1454" t="s">
        <v>3887</v>
      </c>
      <c r="B1454" t="s">
        <v>315</v>
      </c>
      <c r="C1454" t="s">
        <v>3888</v>
      </c>
      <c r="D1454" t="s">
        <v>3889</v>
      </c>
      <c r="E1454" t="s">
        <v>3890</v>
      </c>
      <c r="F1454" t="s">
        <v>196</v>
      </c>
      <c r="G1454" t="s">
        <v>3891</v>
      </c>
      <c r="H1454" t="s">
        <v>119</v>
      </c>
      <c r="I1454" t="s">
        <v>97</v>
      </c>
      <c r="J1454" t="s">
        <v>98</v>
      </c>
      <c r="K1454" t="s">
        <v>69</v>
      </c>
      <c r="L1454" t="s">
        <v>3892</v>
      </c>
      <c r="M1454" t="s">
        <v>71</v>
      </c>
      <c r="N1454" t="s">
        <v>198</v>
      </c>
      <c r="O1454" t="s">
        <v>1307</v>
      </c>
      <c r="P1454" t="s">
        <v>1308</v>
      </c>
      <c r="R1454" t="s">
        <v>1309</v>
      </c>
      <c r="S1454" t="s">
        <v>201</v>
      </c>
      <c r="T1454" t="s">
        <v>291</v>
      </c>
      <c r="U1454" t="s">
        <v>383</v>
      </c>
      <c r="V1454" t="s">
        <v>384</v>
      </c>
      <c r="W1454">
        <v>1080</v>
      </c>
      <c r="X1454">
        <v>44.99</v>
      </c>
      <c r="Y1454">
        <v>139</v>
      </c>
      <c r="Z1454">
        <v>779000</v>
      </c>
      <c r="AA1454">
        <v>75600</v>
      </c>
      <c r="AB1454">
        <v>592</v>
      </c>
      <c r="AD1454" t="s">
        <v>238</v>
      </c>
      <c r="AE1454">
        <v>1</v>
      </c>
      <c r="AF1454">
        <v>0</v>
      </c>
      <c r="AI1454">
        <v>10</v>
      </c>
      <c r="AJ1454">
        <v>40</v>
      </c>
      <c r="AK1454">
        <v>50</v>
      </c>
      <c r="AL1454">
        <v>70</v>
      </c>
      <c r="AM1454">
        <v>0</v>
      </c>
      <c r="AN1454">
        <v>0</v>
      </c>
      <c r="AO1454">
        <v>0</v>
      </c>
      <c r="AP1454" t="s">
        <v>69</v>
      </c>
      <c r="AT1454" t="s">
        <v>86</v>
      </c>
      <c r="AU1454" t="s">
        <v>86</v>
      </c>
      <c r="AV1454" t="s">
        <v>3893</v>
      </c>
      <c r="AW1454" t="s">
        <v>69</v>
      </c>
      <c r="AX1454" t="s">
        <v>126</v>
      </c>
      <c r="AY1454" t="s">
        <v>3894</v>
      </c>
      <c r="AZ1454" t="s">
        <v>264</v>
      </c>
      <c r="BA1454" t="s">
        <v>245</v>
      </c>
      <c r="BB1454" t="s">
        <v>243</v>
      </c>
      <c r="BC1454" t="s">
        <v>245</v>
      </c>
      <c r="BD1454" t="s">
        <v>3899</v>
      </c>
      <c r="BE1454" t="s">
        <v>4133</v>
      </c>
      <c r="BF1454" t="s">
        <v>291</v>
      </c>
      <c r="BG1454" t="s">
        <v>110</v>
      </c>
      <c r="BH1454" t="str">
        <f>IF(COUNTIF(工作表1!A:A, $C1454)&gt;0, "預購款", "非預購款")</f>
        <v>非預購款</v>
      </c>
    </row>
    <row r="1455" spans="1:60" x14ac:dyDescent="0.25">
      <c r="A1455" t="s">
        <v>3887</v>
      </c>
      <c r="B1455" t="s">
        <v>315</v>
      </c>
      <c r="C1455" t="s">
        <v>3888</v>
      </c>
      <c r="D1455" t="s">
        <v>3889</v>
      </c>
      <c r="E1455" t="s">
        <v>3890</v>
      </c>
      <c r="F1455" t="s">
        <v>196</v>
      </c>
      <c r="G1455" t="s">
        <v>3891</v>
      </c>
      <c r="H1455" t="s">
        <v>130</v>
      </c>
      <c r="I1455" t="s">
        <v>97</v>
      </c>
      <c r="J1455" t="s">
        <v>98</v>
      </c>
      <c r="K1455" t="s">
        <v>69</v>
      </c>
      <c r="L1455" t="s">
        <v>3892</v>
      </c>
      <c r="M1455" t="s">
        <v>71</v>
      </c>
      <c r="N1455" t="s">
        <v>198</v>
      </c>
      <c r="O1455" t="s">
        <v>1307</v>
      </c>
      <c r="P1455" t="s">
        <v>1308</v>
      </c>
      <c r="R1455" t="s">
        <v>1309</v>
      </c>
      <c r="S1455" t="s">
        <v>201</v>
      </c>
      <c r="T1455" t="s">
        <v>291</v>
      </c>
      <c r="U1455" t="s">
        <v>383</v>
      </c>
      <c r="V1455" t="s">
        <v>384</v>
      </c>
      <c r="W1455">
        <v>1080</v>
      </c>
      <c r="X1455">
        <v>44.99</v>
      </c>
      <c r="Y1455">
        <v>139</v>
      </c>
      <c r="Z1455">
        <v>779000</v>
      </c>
      <c r="AA1455">
        <v>75600</v>
      </c>
      <c r="AB1455">
        <v>592</v>
      </c>
      <c r="AD1455" t="s">
        <v>238</v>
      </c>
      <c r="AE1455">
        <v>1</v>
      </c>
      <c r="AF1455">
        <v>0</v>
      </c>
      <c r="AI1455">
        <v>0</v>
      </c>
      <c r="AJ1455">
        <v>10</v>
      </c>
      <c r="AK1455">
        <v>10</v>
      </c>
      <c r="AL1455">
        <v>70</v>
      </c>
      <c r="AM1455">
        <v>0</v>
      </c>
      <c r="AN1455">
        <v>0</v>
      </c>
      <c r="AO1455">
        <v>0</v>
      </c>
      <c r="AP1455" t="s">
        <v>69</v>
      </c>
      <c r="AT1455" t="s">
        <v>86</v>
      </c>
      <c r="AU1455" t="s">
        <v>86</v>
      </c>
      <c r="AV1455" t="s">
        <v>3893</v>
      </c>
      <c r="AW1455" t="s">
        <v>69</v>
      </c>
      <c r="AX1455" t="s">
        <v>126</v>
      </c>
      <c r="AY1455" t="s">
        <v>3894</v>
      </c>
      <c r="AZ1455" t="s">
        <v>264</v>
      </c>
      <c r="BA1455" t="s">
        <v>245</v>
      </c>
      <c r="BB1455" t="s">
        <v>243</v>
      </c>
      <c r="BC1455" t="s">
        <v>245</v>
      </c>
      <c r="BD1455" t="s">
        <v>3900</v>
      </c>
      <c r="BE1455" t="s">
        <v>4133</v>
      </c>
      <c r="BF1455" t="s">
        <v>291</v>
      </c>
      <c r="BG1455" t="s">
        <v>110</v>
      </c>
      <c r="BH1455" t="str">
        <f>IF(COUNTIF(工作表1!A:A, $C1455)&gt;0, "預購款", "非預購款")</f>
        <v>非預購款</v>
      </c>
    </row>
    <row r="1456" spans="1:60" x14ac:dyDescent="0.25">
      <c r="A1456" t="s">
        <v>3887</v>
      </c>
      <c r="B1456" t="s">
        <v>315</v>
      </c>
      <c r="C1456" t="s">
        <v>3888</v>
      </c>
      <c r="D1456" t="s">
        <v>3889</v>
      </c>
      <c r="E1456" t="s">
        <v>3890</v>
      </c>
      <c r="F1456" t="s">
        <v>196</v>
      </c>
      <c r="G1456" t="s">
        <v>3891</v>
      </c>
      <c r="H1456" t="s">
        <v>132</v>
      </c>
      <c r="I1456" t="s">
        <v>97</v>
      </c>
      <c r="J1456" t="s">
        <v>98</v>
      </c>
      <c r="K1456" t="s">
        <v>69</v>
      </c>
      <c r="L1456" t="s">
        <v>3892</v>
      </c>
      <c r="M1456" t="s">
        <v>71</v>
      </c>
      <c r="N1456" t="s">
        <v>198</v>
      </c>
      <c r="O1456" t="s">
        <v>1307</v>
      </c>
      <c r="P1456" t="s">
        <v>1308</v>
      </c>
      <c r="R1456" t="s">
        <v>1309</v>
      </c>
      <c r="S1456" t="s">
        <v>201</v>
      </c>
      <c r="T1456" t="s">
        <v>291</v>
      </c>
      <c r="U1456" t="s">
        <v>383</v>
      </c>
      <c r="V1456" t="s">
        <v>384</v>
      </c>
      <c r="W1456">
        <v>1080</v>
      </c>
      <c r="X1456">
        <v>44.99</v>
      </c>
      <c r="Y1456">
        <v>139</v>
      </c>
      <c r="Z1456">
        <v>779000</v>
      </c>
      <c r="AA1456">
        <v>75600</v>
      </c>
      <c r="AB1456">
        <v>592</v>
      </c>
      <c r="AD1456" t="s">
        <v>238</v>
      </c>
      <c r="AE1456">
        <v>1</v>
      </c>
      <c r="AF1456">
        <v>0</v>
      </c>
      <c r="AI1456">
        <v>0</v>
      </c>
      <c r="AJ1456">
        <v>10</v>
      </c>
      <c r="AK1456">
        <v>10</v>
      </c>
      <c r="AL1456">
        <v>70</v>
      </c>
      <c r="AM1456">
        <v>0</v>
      </c>
      <c r="AN1456">
        <v>0</v>
      </c>
      <c r="AO1456">
        <v>0</v>
      </c>
      <c r="AP1456" t="s">
        <v>69</v>
      </c>
      <c r="AT1456" t="s">
        <v>86</v>
      </c>
      <c r="AU1456" t="s">
        <v>86</v>
      </c>
      <c r="AV1456" t="s">
        <v>3893</v>
      </c>
      <c r="AW1456" t="s">
        <v>69</v>
      </c>
      <c r="AX1456" t="s">
        <v>126</v>
      </c>
      <c r="AY1456" t="s">
        <v>3894</v>
      </c>
      <c r="AZ1456" t="s">
        <v>264</v>
      </c>
      <c r="BA1456" t="s">
        <v>245</v>
      </c>
      <c r="BB1456" t="s">
        <v>243</v>
      </c>
      <c r="BC1456" t="s">
        <v>245</v>
      </c>
      <c r="BD1456" t="s">
        <v>3901</v>
      </c>
      <c r="BE1456" t="s">
        <v>4133</v>
      </c>
      <c r="BF1456" t="s">
        <v>291</v>
      </c>
      <c r="BG1456" t="s">
        <v>110</v>
      </c>
      <c r="BH1456" t="str">
        <f>IF(COUNTIF(工作表1!A:A, $C1456)&gt;0, "預購款", "非預購款")</f>
        <v>非預購款</v>
      </c>
    </row>
    <row r="1457" spans="1:60" x14ac:dyDescent="0.25">
      <c r="A1457" t="s">
        <v>4134</v>
      </c>
      <c r="B1457" t="s">
        <v>315</v>
      </c>
      <c r="C1457" t="s">
        <v>4135</v>
      </c>
      <c r="D1457" t="s">
        <v>4136</v>
      </c>
      <c r="E1457" t="s">
        <v>4137</v>
      </c>
      <c r="F1457" t="s">
        <v>196</v>
      </c>
      <c r="G1457" t="s">
        <v>4138</v>
      </c>
      <c r="H1457" t="s">
        <v>119</v>
      </c>
      <c r="I1457" t="s">
        <v>120</v>
      </c>
      <c r="J1457" t="s">
        <v>121</v>
      </c>
      <c r="K1457" t="s">
        <v>69</v>
      </c>
      <c r="L1457" t="s">
        <v>4139</v>
      </c>
      <c r="M1457" t="s">
        <v>71</v>
      </c>
      <c r="N1457" t="s">
        <v>198</v>
      </c>
      <c r="O1457" t="s">
        <v>3966</v>
      </c>
      <c r="P1457" t="s">
        <v>3967</v>
      </c>
      <c r="R1457" t="s">
        <v>1798</v>
      </c>
      <c r="S1457" t="s">
        <v>201</v>
      </c>
      <c r="T1457" t="s">
        <v>76</v>
      </c>
      <c r="U1457" t="s">
        <v>502</v>
      </c>
      <c r="V1457" t="s">
        <v>2060</v>
      </c>
      <c r="W1457">
        <v>890</v>
      </c>
      <c r="X1457">
        <v>39.99</v>
      </c>
      <c r="Y1457">
        <v>115</v>
      </c>
      <c r="Z1457">
        <v>639000</v>
      </c>
      <c r="AA1457">
        <v>253650</v>
      </c>
      <c r="AB1457">
        <v>448</v>
      </c>
      <c r="AD1457" t="s">
        <v>238</v>
      </c>
      <c r="AE1457">
        <v>2</v>
      </c>
      <c r="AF1457">
        <v>0</v>
      </c>
      <c r="AI1457">
        <v>10</v>
      </c>
      <c r="AJ1457">
        <v>45</v>
      </c>
      <c r="AK1457">
        <v>55</v>
      </c>
      <c r="AL1457">
        <v>285</v>
      </c>
      <c r="AM1457">
        <v>0</v>
      </c>
      <c r="AN1457">
        <v>0</v>
      </c>
      <c r="AO1457">
        <v>0</v>
      </c>
      <c r="AP1457" t="s">
        <v>69</v>
      </c>
      <c r="AR1457" t="s">
        <v>261</v>
      </c>
      <c r="AT1457" t="s">
        <v>261</v>
      </c>
      <c r="AU1457" t="s">
        <v>261</v>
      </c>
      <c r="AV1457" t="s">
        <v>81</v>
      </c>
      <c r="AW1457" t="s">
        <v>69</v>
      </c>
      <c r="AX1457" t="s">
        <v>126</v>
      </c>
      <c r="AY1457" t="s">
        <v>4140</v>
      </c>
      <c r="AZ1457" t="s">
        <v>310</v>
      </c>
      <c r="BA1457" t="s">
        <v>244</v>
      </c>
      <c r="BB1457" t="s">
        <v>244</v>
      </c>
      <c r="BC1457" t="s">
        <v>264</v>
      </c>
      <c r="BD1457" t="s">
        <v>4141</v>
      </c>
      <c r="BE1457" t="s">
        <v>4142</v>
      </c>
      <c r="BF1457" t="s">
        <v>86</v>
      </c>
      <c r="BG1457" t="s">
        <v>150</v>
      </c>
      <c r="BH1457" t="str">
        <f>IF(COUNTIF(工作表1!A:A, $C1457)&gt;0, "預購款", "非預購款")</f>
        <v>非預購款</v>
      </c>
    </row>
    <row r="1458" spans="1:60" x14ac:dyDescent="0.25">
      <c r="A1458" t="s">
        <v>4134</v>
      </c>
      <c r="B1458" t="s">
        <v>315</v>
      </c>
      <c r="C1458" t="s">
        <v>4135</v>
      </c>
      <c r="D1458" t="s">
        <v>4136</v>
      </c>
      <c r="E1458" t="s">
        <v>4137</v>
      </c>
      <c r="F1458" t="s">
        <v>196</v>
      </c>
      <c r="G1458" t="s">
        <v>4138</v>
      </c>
      <c r="H1458" t="s">
        <v>130</v>
      </c>
      <c r="I1458" t="s">
        <v>120</v>
      </c>
      <c r="J1458" t="s">
        <v>121</v>
      </c>
      <c r="K1458" t="s">
        <v>69</v>
      </c>
      <c r="L1458" t="s">
        <v>4139</v>
      </c>
      <c r="M1458" t="s">
        <v>71</v>
      </c>
      <c r="N1458" t="s">
        <v>198</v>
      </c>
      <c r="O1458" t="s">
        <v>3966</v>
      </c>
      <c r="P1458" t="s">
        <v>3967</v>
      </c>
      <c r="R1458" t="s">
        <v>1798</v>
      </c>
      <c r="S1458" t="s">
        <v>201</v>
      </c>
      <c r="T1458" t="s">
        <v>76</v>
      </c>
      <c r="U1458" t="s">
        <v>502</v>
      </c>
      <c r="V1458" t="s">
        <v>2060</v>
      </c>
      <c r="W1458">
        <v>890</v>
      </c>
      <c r="X1458">
        <v>39.99</v>
      </c>
      <c r="Y1458">
        <v>115</v>
      </c>
      <c r="Z1458">
        <v>639000</v>
      </c>
      <c r="AA1458">
        <v>253650</v>
      </c>
      <c r="AB1458">
        <v>448</v>
      </c>
      <c r="AD1458" t="s">
        <v>238</v>
      </c>
      <c r="AE1458">
        <v>2</v>
      </c>
      <c r="AF1458">
        <v>0</v>
      </c>
      <c r="AI1458">
        <v>10</v>
      </c>
      <c r="AJ1458">
        <v>45</v>
      </c>
      <c r="AK1458">
        <v>55</v>
      </c>
      <c r="AL1458">
        <v>285</v>
      </c>
      <c r="AM1458">
        <v>0</v>
      </c>
      <c r="AN1458">
        <v>0</v>
      </c>
      <c r="AO1458">
        <v>0</v>
      </c>
      <c r="AP1458" t="s">
        <v>69</v>
      </c>
      <c r="AR1458" t="s">
        <v>261</v>
      </c>
      <c r="AT1458" t="s">
        <v>261</v>
      </c>
      <c r="AU1458" t="s">
        <v>261</v>
      </c>
      <c r="AV1458" t="s">
        <v>81</v>
      </c>
      <c r="AW1458" t="s">
        <v>69</v>
      </c>
      <c r="AX1458" t="s">
        <v>126</v>
      </c>
      <c r="AY1458" t="s">
        <v>4140</v>
      </c>
      <c r="AZ1458" t="s">
        <v>310</v>
      </c>
      <c r="BA1458" t="s">
        <v>244</v>
      </c>
      <c r="BB1458" t="s">
        <v>244</v>
      </c>
      <c r="BC1458" t="s">
        <v>264</v>
      </c>
      <c r="BD1458" t="s">
        <v>4143</v>
      </c>
      <c r="BE1458" t="s">
        <v>4142</v>
      </c>
      <c r="BF1458" t="s">
        <v>86</v>
      </c>
      <c r="BG1458" t="s">
        <v>150</v>
      </c>
      <c r="BH1458" t="str">
        <f>IF(COUNTIF(工作表1!A:A, $C1458)&gt;0, "預購款", "非預購款")</f>
        <v>非預購款</v>
      </c>
    </row>
    <row r="1459" spans="1:60" x14ac:dyDescent="0.25">
      <c r="A1459" t="s">
        <v>4134</v>
      </c>
      <c r="B1459" t="s">
        <v>315</v>
      </c>
      <c r="C1459" t="s">
        <v>4135</v>
      </c>
      <c r="D1459" t="s">
        <v>4136</v>
      </c>
      <c r="E1459" t="s">
        <v>4137</v>
      </c>
      <c r="F1459" t="s">
        <v>196</v>
      </c>
      <c r="G1459" t="s">
        <v>4138</v>
      </c>
      <c r="H1459" t="s">
        <v>132</v>
      </c>
      <c r="I1459" t="s">
        <v>120</v>
      </c>
      <c r="J1459" t="s">
        <v>121</v>
      </c>
      <c r="K1459" t="s">
        <v>69</v>
      </c>
      <c r="L1459" t="s">
        <v>4139</v>
      </c>
      <c r="M1459" t="s">
        <v>71</v>
      </c>
      <c r="N1459" t="s">
        <v>198</v>
      </c>
      <c r="O1459" t="s">
        <v>3966</v>
      </c>
      <c r="P1459" t="s">
        <v>3967</v>
      </c>
      <c r="R1459" t="s">
        <v>1798</v>
      </c>
      <c r="S1459" t="s">
        <v>201</v>
      </c>
      <c r="T1459" t="s">
        <v>76</v>
      </c>
      <c r="U1459" t="s">
        <v>502</v>
      </c>
      <c r="V1459" t="s">
        <v>2060</v>
      </c>
      <c r="W1459">
        <v>890</v>
      </c>
      <c r="X1459">
        <v>39.99</v>
      </c>
      <c r="Y1459">
        <v>115</v>
      </c>
      <c r="Z1459">
        <v>639000</v>
      </c>
      <c r="AA1459">
        <v>253650</v>
      </c>
      <c r="AB1459">
        <v>448</v>
      </c>
      <c r="AD1459" t="s">
        <v>238</v>
      </c>
      <c r="AE1459">
        <v>2</v>
      </c>
      <c r="AF1459">
        <v>0</v>
      </c>
      <c r="AI1459">
        <v>15</v>
      </c>
      <c r="AJ1459">
        <v>15</v>
      </c>
      <c r="AK1459">
        <v>30</v>
      </c>
      <c r="AL1459">
        <v>285</v>
      </c>
      <c r="AM1459">
        <v>0</v>
      </c>
      <c r="AN1459">
        <v>0</v>
      </c>
      <c r="AO1459">
        <v>0</v>
      </c>
      <c r="AP1459" t="s">
        <v>69</v>
      </c>
      <c r="AR1459" t="s">
        <v>261</v>
      </c>
      <c r="AT1459" t="s">
        <v>261</v>
      </c>
      <c r="AU1459" t="s">
        <v>261</v>
      </c>
      <c r="AV1459" t="s">
        <v>81</v>
      </c>
      <c r="AW1459" t="s">
        <v>69</v>
      </c>
      <c r="AX1459" t="s">
        <v>126</v>
      </c>
      <c r="AY1459" t="s">
        <v>4140</v>
      </c>
      <c r="AZ1459" t="s">
        <v>310</v>
      </c>
      <c r="BA1459" t="s">
        <v>244</v>
      </c>
      <c r="BB1459" t="s">
        <v>244</v>
      </c>
      <c r="BC1459" t="s">
        <v>264</v>
      </c>
      <c r="BD1459" t="s">
        <v>4144</v>
      </c>
      <c r="BE1459" t="s">
        <v>4142</v>
      </c>
      <c r="BF1459" t="s">
        <v>86</v>
      </c>
      <c r="BG1459" t="s">
        <v>150</v>
      </c>
      <c r="BH1459" t="str">
        <f>IF(COUNTIF(工作表1!A:A, $C1459)&gt;0, "預購款", "非預購款")</f>
        <v>非預購款</v>
      </c>
    </row>
    <row r="1460" spans="1:60" x14ac:dyDescent="0.25">
      <c r="A1460" t="s">
        <v>4134</v>
      </c>
      <c r="B1460" t="s">
        <v>315</v>
      </c>
      <c r="C1460" t="s">
        <v>4135</v>
      </c>
      <c r="D1460" t="s">
        <v>4136</v>
      </c>
      <c r="E1460" t="s">
        <v>4137</v>
      </c>
      <c r="F1460" t="s">
        <v>196</v>
      </c>
      <c r="G1460" t="s">
        <v>4138</v>
      </c>
      <c r="H1460" t="s">
        <v>119</v>
      </c>
      <c r="I1460" t="s">
        <v>97</v>
      </c>
      <c r="J1460" t="s">
        <v>98</v>
      </c>
      <c r="K1460" t="s">
        <v>69</v>
      </c>
      <c r="L1460" t="s">
        <v>4139</v>
      </c>
      <c r="M1460" t="s">
        <v>71</v>
      </c>
      <c r="N1460" t="s">
        <v>198</v>
      </c>
      <c r="O1460" t="s">
        <v>3966</v>
      </c>
      <c r="P1460" t="s">
        <v>3967</v>
      </c>
      <c r="R1460" t="s">
        <v>1798</v>
      </c>
      <c r="S1460" t="s">
        <v>201</v>
      </c>
      <c r="T1460" t="s">
        <v>76</v>
      </c>
      <c r="U1460" t="s">
        <v>502</v>
      </c>
      <c r="V1460" t="s">
        <v>2060</v>
      </c>
      <c r="W1460">
        <v>890</v>
      </c>
      <c r="X1460">
        <v>39.99</v>
      </c>
      <c r="Y1460">
        <v>115</v>
      </c>
      <c r="Z1460">
        <v>639000</v>
      </c>
      <c r="AA1460">
        <v>253650</v>
      </c>
      <c r="AB1460">
        <v>448</v>
      </c>
      <c r="AD1460" t="s">
        <v>238</v>
      </c>
      <c r="AE1460">
        <v>2</v>
      </c>
      <c r="AF1460">
        <v>0</v>
      </c>
      <c r="AI1460">
        <v>0</v>
      </c>
      <c r="AJ1460">
        <v>85</v>
      </c>
      <c r="AK1460">
        <v>85</v>
      </c>
      <c r="AL1460">
        <v>285</v>
      </c>
      <c r="AM1460">
        <v>0</v>
      </c>
      <c r="AN1460">
        <v>0</v>
      </c>
      <c r="AO1460">
        <v>0</v>
      </c>
      <c r="AP1460" t="s">
        <v>69</v>
      </c>
      <c r="AR1460" t="s">
        <v>261</v>
      </c>
      <c r="AT1460" t="s">
        <v>261</v>
      </c>
      <c r="AU1460" t="s">
        <v>261</v>
      </c>
      <c r="AV1460" t="s">
        <v>81</v>
      </c>
      <c r="AW1460" t="s">
        <v>69</v>
      </c>
      <c r="AX1460" t="s">
        <v>126</v>
      </c>
      <c r="AY1460" t="s">
        <v>4140</v>
      </c>
      <c r="AZ1460" t="s">
        <v>310</v>
      </c>
      <c r="BA1460" t="s">
        <v>244</v>
      </c>
      <c r="BB1460" t="s">
        <v>244</v>
      </c>
      <c r="BC1460" t="s">
        <v>264</v>
      </c>
      <c r="BD1460" t="s">
        <v>4145</v>
      </c>
      <c r="BE1460" t="s">
        <v>4142</v>
      </c>
      <c r="BF1460" t="s">
        <v>86</v>
      </c>
      <c r="BG1460" t="s">
        <v>150</v>
      </c>
      <c r="BH1460" t="str">
        <f>IF(COUNTIF(工作表1!A:A, $C1460)&gt;0, "預購款", "非預購款")</f>
        <v>非預購款</v>
      </c>
    </row>
    <row r="1461" spans="1:60" x14ac:dyDescent="0.25">
      <c r="A1461" t="s">
        <v>4134</v>
      </c>
      <c r="B1461" t="s">
        <v>315</v>
      </c>
      <c r="C1461" t="s">
        <v>4135</v>
      </c>
      <c r="D1461" t="s">
        <v>4136</v>
      </c>
      <c r="E1461" t="s">
        <v>4137</v>
      </c>
      <c r="F1461" t="s">
        <v>196</v>
      </c>
      <c r="G1461" t="s">
        <v>4138</v>
      </c>
      <c r="H1461" t="s">
        <v>130</v>
      </c>
      <c r="I1461" t="s">
        <v>97</v>
      </c>
      <c r="J1461" t="s">
        <v>98</v>
      </c>
      <c r="K1461" t="s">
        <v>69</v>
      </c>
      <c r="L1461" t="s">
        <v>4139</v>
      </c>
      <c r="M1461" t="s">
        <v>71</v>
      </c>
      <c r="N1461" t="s">
        <v>198</v>
      </c>
      <c r="O1461" t="s">
        <v>3966</v>
      </c>
      <c r="P1461" t="s">
        <v>3967</v>
      </c>
      <c r="R1461" t="s">
        <v>1798</v>
      </c>
      <c r="S1461" t="s">
        <v>201</v>
      </c>
      <c r="T1461" t="s">
        <v>76</v>
      </c>
      <c r="U1461" t="s">
        <v>502</v>
      </c>
      <c r="V1461" t="s">
        <v>2060</v>
      </c>
      <c r="W1461">
        <v>890</v>
      </c>
      <c r="X1461">
        <v>39.99</v>
      </c>
      <c r="Y1461">
        <v>115</v>
      </c>
      <c r="Z1461">
        <v>639000</v>
      </c>
      <c r="AA1461">
        <v>253650</v>
      </c>
      <c r="AB1461">
        <v>448</v>
      </c>
      <c r="AD1461" t="s">
        <v>238</v>
      </c>
      <c r="AE1461">
        <v>2</v>
      </c>
      <c r="AF1461">
        <v>0</v>
      </c>
      <c r="AI1461">
        <v>0</v>
      </c>
      <c r="AJ1461">
        <v>45</v>
      </c>
      <c r="AK1461">
        <v>45</v>
      </c>
      <c r="AL1461">
        <v>285</v>
      </c>
      <c r="AM1461">
        <v>0</v>
      </c>
      <c r="AN1461">
        <v>0</v>
      </c>
      <c r="AO1461">
        <v>0</v>
      </c>
      <c r="AP1461" t="s">
        <v>69</v>
      </c>
      <c r="AR1461" t="s">
        <v>261</v>
      </c>
      <c r="AT1461" t="s">
        <v>261</v>
      </c>
      <c r="AU1461" t="s">
        <v>261</v>
      </c>
      <c r="AV1461" t="s">
        <v>81</v>
      </c>
      <c r="AW1461" t="s">
        <v>69</v>
      </c>
      <c r="AX1461" t="s">
        <v>126</v>
      </c>
      <c r="AY1461" t="s">
        <v>4140</v>
      </c>
      <c r="AZ1461" t="s">
        <v>310</v>
      </c>
      <c r="BA1461" t="s">
        <v>244</v>
      </c>
      <c r="BB1461" t="s">
        <v>244</v>
      </c>
      <c r="BC1461" t="s">
        <v>264</v>
      </c>
      <c r="BD1461" t="s">
        <v>4146</v>
      </c>
      <c r="BE1461" t="s">
        <v>4142</v>
      </c>
      <c r="BF1461" t="s">
        <v>86</v>
      </c>
      <c r="BG1461" t="s">
        <v>150</v>
      </c>
      <c r="BH1461" t="str">
        <f>IF(COUNTIF(工作表1!A:A, $C1461)&gt;0, "預購款", "非預購款")</f>
        <v>非預購款</v>
      </c>
    </row>
    <row r="1462" spans="1:60" x14ac:dyDescent="0.25">
      <c r="A1462" t="s">
        <v>4134</v>
      </c>
      <c r="B1462" t="s">
        <v>315</v>
      </c>
      <c r="C1462" t="s">
        <v>4135</v>
      </c>
      <c r="D1462" t="s">
        <v>4136</v>
      </c>
      <c r="E1462" t="s">
        <v>4137</v>
      </c>
      <c r="F1462" t="s">
        <v>196</v>
      </c>
      <c r="G1462" t="s">
        <v>4138</v>
      </c>
      <c r="H1462" t="s">
        <v>132</v>
      </c>
      <c r="I1462" t="s">
        <v>97</v>
      </c>
      <c r="J1462" t="s">
        <v>98</v>
      </c>
      <c r="K1462" t="s">
        <v>69</v>
      </c>
      <c r="L1462" t="s">
        <v>4139</v>
      </c>
      <c r="M1462" t="s">
        <v>71</v>
      </c>
      <c r="N1462" t="s">
        <v>198</v>
      </c>
      <c r="O1462" t="s">
        <v>3966</v>
      </c>
      <c r="P1462" t="s">
        <v>3967</v>
      </c>
      <c r="R1462" t="s">
        <v>1798</v>
      </c>
      <c r="S1462" t="s">
        <v>201</v>
      </c>
      <c r="T1462" t="s">
        <v>76</v>
      </c>
      <c r="U1462" t="s">
        <v>502</v>
      </c>
      <c r="V1462" t="s">
        <v>2060</v>
      </c>
      <c r="W1462">
        <v>890</v>
      </c>
      <c r="X1462">
        <v>39.99</v>
      </c>
      <c r="Y1462">
        <v>115</v>
      </c>
      <c r="Z1462">
        <v>639000</v>
      </c>
      <c r="AA1462">
        <v>253650</v>
      </c>
      <c r="AB1462">
        <v>448</v>
      </c>
      <c r="AD1462" t="s">
        <v>238</v>
      </c>
      <c r="AE1462">
        <v>2</v>
      </c>
      <c r="AF1462">
        <v>0</v>
      </c>
      <c r="AI1462">
        <v>0</v>
      </c>
      <c r="AJ1462">
        <v>15</v>
      </c>
      <c r="AK1462">
        <v>15</v>
      </c>
      <c r="AL1462">
        <v>285</v>
      </c>
      <c r="AM1462">
        <v>0</v>
      </c>
      <c r="AN1462">
        <v>0</v>
      </c>
      <c r="AO1462">
        <v>0</v>
      </c>
      <c r="AP1462" t="s">
        <v>69</v>
      </c>
      <c r="AR1462" t="s">
        <v>261</v>
      </c>
      <c r="AT1462" t="s">
        <v>261</v>
      </c>
      <c r="AU1462" t="s">
        <v>261</v>
      </c>
      <c r="AV1462" t="s">
        <v>81</v>
      </c>
      <c r="AW1462" t="s">
        <v>69</v>
      </c>
      <c r="AX1462" t="s">
        <v>126</v>
      </c>
      <c r="AY1462" t="s">
        <v>4140</v>
      </c>
      <c r="AZ1462" t="s">
        <v>310</v>
      </c>
      <c r="BA1462" t="s">
        <v>244</v>
      </c>
      <c r="BB1462" t="s">
        <v>244</v>
      </c>
      <c r="BC1462" t="s">
        <v>264</v>
      </c>
      <c r="BD1462" t="s">
        <v>4147</v>
      </c>
      <c r="BE1462" t="s">
        <v>4142</v>
      </c>
      <c r="BF1462" t="s">
        <v>86</v>
      </c>
      <c r="BG1462" t="s">
        <v>150</v>
      </c>
      <c r="BH1462" t="str">
        <f>IF(COUNTIF(工作表1!A:A, $C1462)&gt;0, "預購款", "非預購款")</f>
        <v>非預購款</v>
      </c>
    </row>
    <row r="1463" spans="1:60" x14ac:dyDescent="0.25">
      <c r="A1463" t="s">
        <v>4148</v>
      </c>
      <c r="B1463" t="s">
        <v>315</v>
      </c>
      <c r="C1463" t="s">
        <v>4149</v>
      </c>
      <c r="D1463" t="s">
        <v>4150</v>
      </c>
      <c r="E1463" t="s">
        <v>4151</v>
      </c>
      <c r="F1463" t="s">
        <v>196</v>
      </c>
      <c r="G1463" t="s">
        <v>4152</v>
      </c>
      <c r="H1463" t="s">
        <v>119</v>
      </c>
      <c r="I1463" t="s">
        <v>134</v>
      </c>
      <c r="J1463" t="s">
        <v>135</v>
      </c>
      <c r="K1463" t="s">
        <v>69</v>
      </c>
      <c r="L1463" t="s">
        <v>4153</v>
      </c>
      <c r="M1463" t="s">
        <v>71</v>
      </c>
      <c r="N1463" t="s">
        <v>198</v>
      </c>
      <c r="O1463" t="s">
        <v>3966</v>
      </c>
      <c r="P1463" t="s">
        <v>3967</v>
      </c>
      <c r="R1463" t="s">
        <v>1798</v>
      </c>
      <c r="S1463" t="s">
        <v>201</v>
      </c>
      <c r="T1463" t="s">
        <v>76</v>
      </c>
      <c r="U1463" t="s">
        <v>383</v>
      </c>
      <c r="V1463" t="s">
        <v>384</v>
      </c>
      <c r="W1463">
        <v>690</v>
      </c>
      <c r="X1463">
        <v>29.99</v>
      </c>
      <c r="Y1463">
        <v>89</v>
      </c>
      <c r="Z1463">
        <v>499000</v>
      </c>
      <c r="AA1463">
        <v>269100</v>
      </c>
      <c r="AB1463">
        <v>394</v>
      </c>
      <c r="AD1463" t="s">
        <v>238</v>
      </c>
      <c r="AE1463">
        <v>1</v>
      </c>
      <c r="AF1463">
        <v>20</v>
      </c>
      <c r="AI1463">
        <v>0</v>
      </c>
      <c r="AJ1463">
        <v>130</v>
      </c>
      <c r="AK1463">
        <v>150</v>
      </c>
      <c r="AL1463">
        <v>390</v>
      </c>
      <c r="AM1463">
        <v>0</v>
      </c>
      <c r="AN1463">
        <v>0</v>
      </c>
      <c r="AO1463">
        <v>0</v>
      </c>
      <c r="AP1463" t="s">
        <v>69</v>
      </c>
      <c r="AR1463" t="s">
        <v>86</v>
      </c>
      <c r="AS1463" t="s">
        <v>86</v>
      </c>
      <c r="AT1463" t="s">
        <v>240</v>
      </c>
      <c r="AU1463" t="s">
        <v>240</v>
      </c>
      <c r="AV1463" t="s">
        <v>4154</v>
      </c>
      <c r="AW1463" t="s">
        <v>69</v>
      </c>
      <c r="AX1463" t="s">
        <v>126</v>
      </c>
      <c r="AY1463" t="s">
        <v>4155</v>
      </c>
      <c r="AZ1463" t="s">
        <v>264</v>
      </c>
      <c r="BA1463" t="s">
        <v>243</v>
      </c>
      <c r="BB1463" t="s">
        <v>244</v>
      </c>
      <c r="BC1463" t="s">
        <v>245</v>
      </c>
      <c r="BD1463" t="s">
        <v>4156</v>
      </c>
      <c r="BE1463" t="s">
        <v>4157</v>
      </c>
      <c r="BF1463" t="s">
        <v>86</v>
      </c>
      <c r="BG1463" t="s">
        <v>110</v>
      </c>
      <c r="BH1463" t="str">
        <f>IF(COUNTIF(工作表1!A:A, $C1463)&gt;0, "預購款", "非預購款")</f>
        <v>非預購款</v>
      </c>
    </row>
    <row r="1464" spans="1:60" x14ac:dyDescent="0.25">
      <c r="A1464" t="s">
        <v>4148</v>
      </c>
      <c r="B1464" t="s">
        <v>315</v>
      </c>
      <c r="C1464" t="s">
        <v>4149</v>
      </c>
      <c r="D1464" t="s">
        <v>4150</v>
      </c>
      <c r="E1464" t="s">
        <v>4151</v>
      </c>
      <c r="F1464" t="s">
        <v>196</v>
      </c>
      <c r="G1464" t="s">
        <v>4152</v>
      </c>
      <c r="H1464" t="s">
        <v>130</v>
      </c>
      <c r="I1464" t="s">
        <v>134</v>
      </c>
      <c r="J1464" t="s">
        <v>135</v>
      </c>
      <c r="K1464" t="s">
        <v>69</v>
      </c>
      <c r="L1464" t="s">
        <v>4153</v>
      </c>
      <c r="M1464" t="s">
        <v>71</v>
      </c>
      <c r="N1464" t="s">
        <v>198</v>
      </c>
      <c r="O1464" t="s">
        <v>3966</v>
      </c>
      <c r="P1464" t="s">
        <v>3967</v>
      </c>
      <c r="R1464" t="s">
        <v>1798</v>
      </c>
      <c r="S1464" t="s">
        <v>201</v>
      </c>
      <c r="T1464" t="s">
        <v>76</v>
      </c>
      <c r="U1464" t="s">
        <v>383</v>
      </c>
      <c r="V1464" t="s">
        <v>384</v>
      </c>
      <c r="W1464">
        <v>690</v>
      </c>
      <c r="X1464">
        <v>29.99</v>
      </c>
      <c r="Y1464">
        <v>89</v>
      </c>
      <c r="Z1464">
        <v>499000</v>
      </c>
      <c r="AA1464">
        <v>269100</v>
      </c>
      <c r="AB1464">
        <v>394</v>
      </c>
      <c r="AD1464" t="s">
        <v>238</v>
      </c>
      <c r="AE1464">
        <v>1</v>
      </c>
      <c r="AF1464">
        <v>15</v>
      </c>
      <c r="AI1464">
        <v>0</v>
      </c>
      <c r="AJ1464">
        <v>150</v>
      </c>
      <c r="AK1464">
        <v>165</v>
      </c>
      <c r="AL1464">
        <v>390</v>
      </c>
      <c r="AM1464">
        <v>0</v>
      </c>
      <c r="AN1464">
        <v>0</v>
      </c>
      <c r="AO1464">
        <v>0</v>
      </c>
      <c r="AP1464" t="s">
        <v>69</v>
      </c>
      <c r="AR1464" t="s">
        <v>86</v>
      </c>
      <c r="AS1464" t="s">
        <v>86</v>
      </c>
      <c r="AT1464" t="s">
        <v>240</v>
      </c>
      <c r="AU1464" t="s">
        <v>240</v>
      </c>
      <c r="AV1464" t="s">
        <v>4154</v>
      </c>
      <c r="AW1464" t="s">
        <v>69</v>
      </c>
      <c r="AX1464" t="s">
        <v>126</v>
      </c>
      <c r="AY1464" t="s">
        <v>4155</v>
      </c>
      <c r="AZ1464" t="s">
        <v>264</v>
      </c>
      <c r="BA1464" t="s">
        <v>243</v>
      </c>
      <c r="BB1464" t="s">
        <v>244</v>
      </c>
      <c r="BC1464" t="s">
        <v>245</v>
      </c>
      <c r="BD1464" t="s">
        <v>4158</v>
      </c>
      <c r="BE1464" t="s">
        <v>4157</v>
      </c>
      <c r="BF1464" t="s">
        <v>86</v>
      </c>
      <c r="BG1464" t="s">
        <v>110</v>
      </c>
      <c r="BH1464" t="str">
        <f>IF(COUNTIF(工作表1!A:A, $C1464)&gt;0, "預購款", "非預購款")</f>
        <v>非預購款</v>
      </c>
    </row>
    <row r="1465" spans="1:60" x14ac:dyDescent="0.25">
      <c r="A1465" t="s">
        <v>4148</v>
      </c>
      <c r="B1465" t="s">
        <v>315</v>
      </c>
      <c r="C1465" t="s">
        <v>4149</v>
      </c>
      <c r="D1465" t="s">
        <v>4150</v>
      </c>
      <c r="E1465" t="s">
        <v>4151</v>
      </c>
      <c r="F1465" t="s">
        <v>196</v>
      </c>
      <c r="G1465" t="s">
        <v>4152</v>
      </c>
      <c r="H1465" t="s">
        <v>132</v>
      </c>
      <c r="I1465" t="s">
        <v>134</v>
      </c>
      <c r="J1465" t="s">
        <v>135</v>
      </c>
      <c r="K1465" t="s">
        <v>69</v>
      </c>
      <c r="L1465" t="s">
        <v>4153</v>
      </c>
      <c r="M1465" t="s">
        <v>71</v>
      </c>
      <c r="N1465" t="s">
        <v>198</v>
      </c>
      <c r="O1465" t="s">
        <v>3966</v>
      </c>
      <c r="P1465" t="s">
        <v>3967</v>
      </c>
      <c r="R1465" t="s">
        <v>1798</v>
      </c>
      <c r="S1465" t="s">
        <v>201</v>
      </c>
      <c r="T1465" t="s">
        <v>76</v>
      </c>
      <c r="U1465" t="s">
        <v>383</v>
      </c>
      <c r="V1465" t="s">
        <v>384</v>
      </c>
      <c r="W1465">
        <v>690</v>
      </c>
      <c r="X1465">
        <v>29.99</v>
      </c>
      <c r="Y1465">
        <v>89</v>
      </c>
      <c r="Z1465">
        <v>499000</v>
      </c>
      <c r="AA1465">
        <v>269100</v>
      </c>
      <c r="AB1465">
        <v>394</v>
      </c>
      <c r="AD1465" t="s">
        <v>238</v>
      </c>
      <c r="AE1465">
        <v>1</v>
      </c>
      <c r="AF1465">
        <v>5</v>
      </c>
      <c r="AI1465">
        <v>0</v>
      </c>
      <c r="AJ1465">
        <v>70</v>
      </c>
      <c r="AK1465">
        <v>75</v>
      </c>
      <c r="AL1465">
        <v>390</v>
      </c>
      <c r="AM1465">
        <v>0</v>
      </c>
      <c r="AN1465">
        <v>0</v>
      </c>
      <c r="AO1465">
        <v>0</v>
      </c>
      <c r="AP1465" t="s">
        <v>69</v>
      </c>
      <c r="AR1465" t="s">
        <v>86</v>
      </c>
      <c r="AS1465" t="s">
        <v>86</v>
      </c>
      <c r="AT1465" t="s">
        <v>240</v>
      </c>
      <c r="AU1465" t="s">
        <v>240</v>
      </c>
      <c r="AV1465" t="s">
        <v>4154</v>
      </c>
      <c r="AW1465" t="s">
        <v>69</v>
      </c>
      <c r="AX1465" t="s">
        <v>126</v>
      </c>
      <c r="AY1465" t="s">
        <v>4155</v>
      </c>
      <c r="AZ1465" t="s">
        <v>264</v>
      </c>
      <c r="BA1465" t="s">
        <v>243</v>
      </c>
      <c r="BB1465" t="s">
        <v>244</v>
      </c>
      <c r="BC1465" t="s">
        <v>245</v>
      </c>
      <c r="BD1465" t="s">
        <v>4159</v>
      </c>
      <c r="BE1465" t="s">
        <v>4157</v>
      </c>
      <c r="BF1465" t="s">
        <v>86</v>
      </c>
      <c r="BG1465" t="s">
        <v>110</v>
      </c>
      <c r="BH1465" t="str">
        <f>IF(COUNTIF(工作表1!A:A, $C1465)&gt;0, "預購款", "非預購款")</f>
        <v>非預購款</v>
      </c>
    </row>
    <row r="1466" spans="1:60" x14ac:dyDescent="0.25">
      <c r="A1466" t="s">
        <v>4160</v>
      </c>
      <c r="B1466" t="s">
        <v>678</v>
      </c>
      <c r="C1466" t="s">
        <v>4161</v>
      </c>
      <c r="D1466" t="s">
        <v>4162</v>
      </c>
      <c r="E1466" t="s">
        <v>4163</v>
      </c>
      <c r="F1466" t="s">
        <v>196</v>
      </c>
      <c r="G1466" t="s">
        <v>4164</v>
      </c>
      <c r="H1466" t="s">
        <v>119</v>
      </c>
      <c r="I1466" t="s">
        <v>97</v>
      </c>
      <c r="J1466" t="s">
        <v>98</v>
      </c>
      <c r="K1466" t="s">
        <v>69</v>
      </c>
      <c r="L1466" t="s">
        <v>4165</v>
      </c>
      <c r="M1466" t="s">
        <v>71</v>
      </c>
      <c r="N1466" t="s">
        <v>198</v>
      </c>
      <c r="O1466" t="s">
        <v>3966</v>
      </c>
      <c r="P1466" t="s">
        <v>3967</v>
      </c>
      <c r="R1466" t="s">
        <v>1798</v>
      </c>
      <c r="S1466" t="s">
        <v>201</v>
      </c>
      <c r="T1466" t="s">
        <v>258</v>
      </c>
      <c r="U1466" t="s">
        <v>502</v>
      </c>
      <c r="V1466" t="s">
        <v>2876</v>
      </c>
      <c r="W1466">
        <v>1080</v>
      </c>
      <c r="X1466">
        <v>44.99</v>
      </c>
      <c r="Y1466">
        <v>139</v>
      </c>
      <c r="Z1466">
        <v>779000</v>
      </c>
      <c r="AA1466">
        <v>518400</v>
      </c>
      <c r="AB1466">
        <v>400</v>
      </c>
      <c r="AD1466" t="s">
        <v>238</v>
      </c>
      <c r="AE1466">
        <v>2</v>
      </c>
      <c r="AF1466">
        <v>25</v>
      </c>
      <c r="AI1466">
        <v>15</v>
      </c>
      <c r="AJ1466">
        <v>80</v>
      </c>
      <c r="AK1466">
        <v>120</v>
      </c>
      <c r="AL1466">
        <v>480</v>
      </c>
      <c r="AM1466">
        <v>0</v>
      </c>
      <c r="AN1466">
        <v>0</v>
      </c>
      <c r="AO1466">
        <v>0</v>
      </c>
      <c r="AP1466" t="s">
        <v>69</v>
      </c>
      <c r="AR1466" t="s">
        <v>86</v>
      </c>
      <c r="AS1466" t="s">
        <v>86</v>
      </c>
      <c r="AT1466" t="s">
        <v>86</v>
      </c>
      <c r="AU1466" t="s">
        <v>86</v>
      </c>
      <c r="AV1466" t="s">
        <v>3455</v>
      </c>
      <c r="AW1466" t="s">
        <v>69</v>
      </c>
      <c r="AX1466" t="s">
        <v>218</v>
      </c>
      <c r="AY1466" t="s">
        <v>4166</v>
      </c>
      <c r="AZ1466" t="s">
        <v>264</v>
      </c>
      <c r="BA1466" t="s">
        <v>245</v>
      </c>
      <c r="BB1466" t="s">
        <v>264</v>
      </c>
      <c r="BC1466" t="s">
        <v>244</v>
      </c>
      <c r="BD1466" t="s">
        <v>4167</v>
      </c>
      <c r="BE1466" t="s">
        <v>4168</v>
      </c>
      <c r="BF1466" t="s">
        <v>240</v>
      </c>
      <c r="BG1466" t="s">
        <v>110</v>
      </c>
      <c r="BH1466" t="str">
        <f>IF(COUNTIF(工作表1!A:A, $C1466)&gt;0, "預購款", "非預購款")</f>
        <v>非預購款</v>
      </c>
    </row>
    <row r="1467" spans="1:60" x14ac:dyDescent="0.25">
      <c r="A1467" t="s">
        <v>4160</v>
      </c>
      <c r="B1467" t="s">
        <v>678</v>
      </c>
      <c r="C1467" t="s">
        <v>4161</v>
      </c>
      <c r="D1467" t="s">
        <v>4162</v>
      </c>
      <c r="E1467" t="s">
        <v>4163</v>
      </c>
      <c r="F1467" t="s">
        <v>196</v>
      </c>
      <c r="G1467" t="s">
        <v>4164</v>
      </c>
      <c r="H1467" t="s">
        <v>130</v>
      </c>
      <c r="I1467" t="s">
        <v>97</v>
      </c>
      <c r="J1467" t="s">
        <v>98</v>
      </c>
      <c r="K1467" t="s">
        <v>69</v>
      </c>
      <c r="L1467" t="s">
        <v>4165</v>
      </c>
      <c r="M1467" t="s">
        <v>71</v>
      </c>
      <c r="N1467" t="s">
        <v>198</v>
      </c>
      <c r="O1467" t="s">
        <v>3966</v>
      </c>
      <c r="P1467" t="s">
        <v>3967</v>
      </c>
      <c r="R1467" t="s">
        <v>1798</v>
      </c>
      <c r="S1467" t="s">
        <v>201</v>
      </c>
      <c r="T1467" t="s">
        <v>258</v>
      </c>
      <c r="U1467" t="s">
        <v>502</v>
      </c>
      <c r="V1467" t="s">
        <v>2876</v>
      </c>
      <c r="W1467">
        <v>1080</v>
      </c>
      <c r="X1467">
        <v>44.99</v>
      </c>
      <c r="Y1467">
        <v>139</v>
      </c>
      <c r="Z1467">
        <v>779000</v>
      </c>
      <c r="AA1467">
        <v>518400</v>
      </c>
      <c r="AB1467">
        <v>400</v>
      </c>
      <c r="AD1467" t="s">
        <v>238</v>
      </c>
      <c r="AE1467">
        <v>2</v>
      </c>
      <c r="AF1467">
        <v>15</v>
      </c>
      <c r="AI1467">
        <v>20</v>
      </c>
      <c r="AJ1467">
        <v>60</v>
      </c>
      <c r="AK1467">
        <v>95</v>
      </c>
      <c r="AL1467">
        <v>480</v>
      </c>
      <c r="AM1467">
        <v>0</v>
      </c>
      <c r="AN1467">
        <v>0</v>
      </c>
      <c r="AO1467">
        <v>0</v>
      </c>
      <c r="AP1467" t="s">
        <v>69</v>
      </c>
      <c r="AR1467" t="s">
        <v>86</v>
      </c>
      <c r="AS1467" t="s">
        <v>86</v>
      </c>
      <c r="AT1467" t="s">
        <v>86</v>
      </c>
      <c r="AU1467" t="s">
        <v>86</v>
      </c>
      <c r="AV1467" t="s">
        <v>3455</v>
      </c>
      <c r="AW1467" t="s">
        <v>69</v>
      </c>
      <c r="AX1467" t="s">
        <v>218</v>
      </c>
      <c r="AY1467" t="s">
        <v>4166</v>
      </c>
      <c r="AZ1467" t="s">
        <v>264</v>
      </c>
      <c r="BA1467" t="s">
        <v>245</v>
      </c>
      <c r="BB1467" t="s">
        <v>264</v>
      </c>
      <c r="BC1467" t="s">
        <v>244</v>
      </c>
      <c r="BD1467" t="s">
        <v>4169</v>
      </c>
      <c r="BE1467" t="s">
        <v>4168</v>
      </c>
      <c r="BF1467" t="s">
        <v>240</v>
      </c>
      <c r="BG1467" t="s">
        <v>110</v>
      </c>
      <c r="BH1467" t="str">
        <f>IF(COUNTIF(工作表1!A:A, $C1467)&gt;0, "預購款", "非預購款")</f>
        <v>非預購款</v>
      </c>
    </row>
    <row r="1468" spans="1:60" x14ac:dyDescent="0.25">
      <c r="A1468" t="s">
        <v>4160</v>
      </c>
      <c r="B1468" t="s">
        <v>678</v>
      </c>
      <c r="C1468" t="s">
        <v>4161</v>
      </c>
      <c r="D1468" t="s">
        <v>4162</v>
      </c>
      <c r="E1468" t="s">
        <v>4163</v>
      </c>
      <c r="F1468" t="s">
        <v>196</v>
      </c>
      <c r="G1468" t="s">
        <v>4164</v>
      </c>
      <c r="H1468" t="s">
        <v>132</v>
      </c>
      <c r="I1468" t="s">
        <v>97</v>
      </c>
      <c r="J1468" t="s">
        <v>98</v>
      </c>
      <c r="K1468" t="s">
        <v>69</v>
      </c>
      <c r="L1468" t="s">
        <v>4165</v>
      </c>
      <c r="M1468" t="s">
        <v>71</v>
      </c>
      <c r="N1468" t="s">
        <v>198</v>
      </c>
      <c r="O1468" t="s">
        <v>3966</v>
      </c>
      <c r="P1468" t="s">
        <v>3967</v>
      </c>
      <c r="R1468" t="s">
        <v>1798</v>
      </c>
      <c r="S1468" t="s">
        <v>201</v>
      </c>
      <c r="T1468" t="s">
        <v>258</v>
      </c>
      <c r="U1468" t="s">
        <v>502</v>
      </c>
      <c r="V1468" t="s">
        <v>2876</v>
      </c>
      <c r="W1468">
        <v>1080</v>
      </c>
      <c r="X1468">
        <v>44.99</v>
      </c>
      <c r="Y1468">
        <v>139</v>
      </c>
      <c r="Z1468">
        <v>779000</v>
      </c>
      <c r="AA1468">
        <v>518400</v>
      </c>
      <c r="AB1468">
        <v>400</v>
      </c>
      <c r="AD1468" t="s">
        <v>238</v>
      </c>
      <c r="AE1468">
        <v>2</v>
      </c>
      <c r="AF1468">
        <v>0</v>
      </c>
      <c r="AI1468">
        <v>10</v>
      </c>
      <c r="AJ1468">
        <v>40</v>
      </c>
      <c r="AK1468">
        <v>50</v>
      </c>
      <c r="AL1468">
        <v>480</v>
      </c>
      <c r="AM1468">
        <v>0</v>
      </c>
      <c r="AN1468">
        <v>0</v>
      </c>
      <c r="AO1468">
        <v>0</v>
      </c>
      <c r="AP1468" t="s">
        <v>69</v>
      </c>
      <c r="AR1468" t="s">
        <v>86</v>
      </c>
      <c r="AS1468" t="s">
        <v>86</v>
      </c>
      <c r="AT1468" t="s">
        <v>86</v>
      </c>
      <c r="AU1468" t="s">
        <v>86</v>
      </c>
      <c r="AV1468" t="s">
        <v>3455</v>
      </c>
      <c r="AW1468" t="s">
        <v>69</v>
      </c>
      <c r="AX1468" t="s">
        <v>218</v>
      </c>
      <c r="AY1468" t="s">
        <v>4166</v>
      </c>
      <c r="AZ1468" t="s">
        <v>264</v>
      </c>
      <c r="BA1468" t="s">
        <v>245</v>
      </c>
      <c r="BB1468" t="s">
        <v>264</v>
      </c>
      <c r="BC1468" t="s">
        <v>244</v>
      </c>
      <c r="BD1468" t="s">
        <v>4170</v>
      </c>
      <c r="BE1468" t="s">
        <v>4168</v>
      </c>
      <c r="BF1468" t="s">
        <v>240</v>
      </c>
      <c r="BG1468" t="s">
        <v>110</v>
      </c>
      <c r="BH1468" t="str">
        <f>IF(COUNTIF(工作表1!A:A, $C1468)&gt;0, "預購款", "非預購款")</f>
        <v>非預購款</v>
      </c>
    </row>
    <row r="1469" spans="1:60" x14ac:dyDescent="0.25">
      <c r="A1469" t="s">
        <v>4160</v>
      </c>
      <c r="B1469" t="s">
        <v>678</v>
      </c>
      <c r="C1469" t="s">
        <v>4161</v>
      </c>
      <c r="D1469" t="s">
        <v>4162</v>
      </c>
      <c r="E1469" t="s">
        <v>4163</v>
      </c>
      <c r="F1469" t="s">
        <v>196</v>
      </c>
      <c r="G1469" t="s">
        <v>4164</v>
      </c>
      <c r="H1469" t="s">
        <v>119</v>
      </c>
      <c r="I1469" t="s">
        <v>88</v>
      </c>
      <c r="J1469" t="s">
        <v>89</v>
      </c>
      <c r="K1469" t="s">
        <v>69</v>
      </c>
      <c r="L1469" t="s">
        <v>4165</v>
      </c>
      <c r="M1469" t="s">
        <v>71</v>
      </c>
      <c r="N1469" t="s">
        <v>198</v>
      </c>
      <c r="O1469" t="s">
        <v>3966</v>
      </c>
      <c r="P1469" t="s">
        <v>3967</v>
      </c>
      <c r="R1469" t="s">
        <v>1798</v>
      </c>
      <c r="S1469" t="s">
        <v>201</v>
      </c>
      <c r="T1469" t="s">
        <v>258</v>
      </c>
      <c r="U1469" t="s">
        <v>502</v>
      </c>
      <c r="V1469" t="s">
        <v>2876</v>
      </c>
      <c r="W1469">
        <v>1080</v>
      </c>
      <c r="X1469">
        <v>44.99</v>
      </c>
      <c r="Y1469">
        <v>139</v>
      </c>
      <c r="Z1469">
        <v>779000</v>
      </c>
      <c r="AA1469">
        <v>518400</v>
      </c>
      <c r="AB1469">
        <v>400</v>
      </c>
      <c r="AD1469" t="s">
        <v>238</v>
      </c>
      <c r="AE1469">
        <v>2</v>
      </c>
      <c r="AF1469">
        <v>15</v>
      </c>
      <c r="AI1469">
        <v>15</v>
      </c>
      <c r="AJ1469">
        <v>50</v>
      </c>
      <c r="AK1469">
        <v>80</v>
      </c>
      <c r="AL1469">
        <v>480</v>
      </c>
      <c r="AM1469">
        <v>0</v>
      </c>
      <c r="AN1469">
        <v>0</v>
      </c>
      <c r="AO1469">
        <v>0</v>
      </c>
      <c r="AP1469" t="s">
        <v>69</v>
      </c>
      <c r="AR1469" t="s">
        <v>86</v>
      </c>
      <c r="AS1469" t="s">
        <v>86</v>
      </c>
      <c r="AT1469" t="s">
        <v>86</v>
      </c>
      <c r="AU1469" t="s">
        <v>86</v>
      </c>
      <c r="AV1469" t="s">
        <v>3455</v>
      </c>
      <c r="AW1469" t="s">
        <v>69</v>
      </c>
      <c r="AX1469" t="s">
        <v>218</v>
      </c>
      <c r="AY1469" t="s">
        <v>4166</v>
      </c>
      <c r="AZ1469" t="s">
        <v>264</v>
      </c>
      <c r="BA1469" t="s">
        <v>245</v>
      </c>
      <c r="BB1469" t="s">
        <v>264</v>
      </c>
      <c r="BC1469" t="s">
        <v>244</v>
      </c>
      <c r="BD1469" t="s">
        <v>4171</v>
      </c>
      <c r="BE1469" t="s">
        <v>4168</v>
      </c>
      <c r="BF1469" t="s">
        <v>240</v>
      </c>
      <c r="BG1469" t="s">
        <v>110</v>
      </c>
      <c r="BH1469" t="str">
        <f>IF(COUNTIF(工作表1!A:A, $C1469)&gt;0, "預購款", "非預購款")</f>
        <v>非預購款</v>
      </c>
    </row>
    <row r="1470" spans="1:60" x14ac:dyDescent="0.25">
      <c r="A1470" t="s">
        <v>4160</v>
      </c>
      <c r="B1470" t="s">
        <v>678</v>
      </c>
      <c r="C1470" t="s">
        <v>4161</v>
      </c>
      <c r="D1470" t="s">
        <v>4162</v>
      </c>
      <c r="E1470" t="s">
        <v>4163</v>
      </c>
      <c r="F1470" t="s">
        <v>196</v>
      </c>
      <c r="G1470" t="s">
        <v>4164</v>
      </c>
      <c r="H1470" t="s">
        <v>130</v>
      </c>
      <c r="I1470" t="s">
        <v>88</v>
      </c>
      <c r="J1470" t="s">
        <v>89</v>
      </c>
      <c r="K1470" t="s">
        <v>69</v>
      </c>
      <c r="L1470" t="s">
        <v>4165</v>
      </c>
      <c r="M1470" t="s">
        <v>71</v>
      </c>
      <c r="N1470" t="s">
        <v>198</v>
      </c>
      <c r="O1470" t="s">
        <v>3966</v>
      </c>
      <c r="P1470" t="s">
        <v>3967</v>
      </c>
      <c r="R1470" t="s">
        <v>1798</v>
      </c>
      <c r="S1470" t="s">
        <v>201</v>
      </c>
      <c r="T1470" t="s">
        <v>258</v>
      </c>
      <c r="U1470" t="s">
        <v>502</v>
      </c>
      <c r="V1470" t="s">
        <v>2876</v>
      </c>
      <c r="W1470">
        <v>1080</v>
      </c>
      <c r="X1470">
        <v>44.99</v>
      </c>
      <c r="Y1470">
        <v>139</v>
      </c>
      <c r="Z1470">
        <v>779000</v>
      </c>
      <c r="AA1470">
        <v>518400</v>
      </c>
      <c r="AB1470">
        <v>400</v>
      </c>
      <c r="AD1470" t="s">
        <v>238</v>
      </c>
      <c r="AE1470">
        <v>2</v>
      </c>
      <c r="AF1470">
        <v>10</v>
      </c>
      <c r="AI1470">
        <v>15</v>
      </c>
      <c r="AJ1470">
        <v>80</v>
      </c>
      <c r="AK1470">
        <v>105</v>
      </c>
      <c r="AL1470">
        <v>480</v>
      </c>
      <c r="AM1470">
        <v>0</v>
      </c>
      <c r="AN1470">
        <v>0</v>
      </c>
      <c r="AO1470">
        <v>0</v>
      </c>
      <c r="AP1470" t="s">
        <v>69</v>
      </c>
      <c r="AR1470" t="s">
        <v>86</v>
      </c>
      <c r="AS1470" t="s">
        <v>86</v>
      </c>
      <c r="AT1470" t="s">
        <v>86</v>
      </c>
      <c r="AU1470" t="s">
        <v>86</v>
      </c>
      <c r="AV1470" t="s">
        <v>3455</v>
      </c>
      <c r="AW1470" t="s">
        <v>69</v>
      </c>
      <c r="AX1470" t="s">
        <v>218</v>
      </c>
      <c r="AY1470" t="s">
        <v>4166</v>
      </c>
      <c r="AZ1470" t="s">
        <v>264</v>
      </c>
      <c r="BA1470" t="s">
        <v>245</v>
      </c>
      <c r="BB1470" t="s">
        <v>264</v>
      </c>
      <c r="BC1470" t="s">
        <v>244</v>
      </c>
      <c r="BD1470" t="s">
        <v>4172</v>
      </c>
      <c r="BE1470" t="s">
        <v>4168</v>
      </c>
      <c r="BF1470" t="s">
        <v>240</v>
      </c>
      <c r="BG1470" t="s">
        <v>110</v>
      </c>
      <c r="BH1470" t="str">
        <f>IF(COUNTIF(工作表1!A:A, $C1470)&gt;0, "預購款", "非預購款")</f>
        <v>非預購款</v>
      </c>
    </row>
    <row r="1471" spans="1:60" x14ac:dyDescent="0.25">
      <c r="A1471" t="s">
        <v>4160</v>
      </c>
      <c r="B1471" t="s">
        <v>678</v>
      </c>
      <c r="C1471" t="s">
        <v>4161</v>
      </c>
      <c r="D1471" t="s">
        <v>4162</v>
      </c>
      <c r="E1471" t="s">
        <v>4163</v>
      </c>
      <c r="F1471" t="s">
        <v>196</v>
      </c>
      <c r="G1471" t="s">
        <v>4164</v>
      </c>
      <c r="H1471" t="s">
        <v>132</v>
      </c>
      <c r="I1471" t="s">
        <v>88</v>
      </c>
      <c r="J1471" t="s">
        <v>89</v>
      </c>
      <c r="K1471" t="s">
        <v>69</v>
      </c>
      <c r="L1471" t="s">
        <v>4165</v>
      </c>
      <c r="M1471" t="s">
        <v>71</v>
      </c>
      <c r="N1471" t="s">
        <v>198</v>
      </c>
      <c r="O1471" t="s">
        <v>3966</v>
      </c>
      <c r="P1471" t="s">
        <v>3967</v>
      </c>
      <c r="R1471" t="s">
        <v>1798</v>
      </c>
      <c r="S1471" t="s">
        <v>201</v>
      </c>
      <c r="T1471" t="s">
        <v>258</v>
      </c>
      <c r="U1471" t="s">
        <v>502</v>
      </c>
      <c r="V1471" t="s">
        <v>2876</v>
      </c>
      <c r="W1471">
        <v>1080</v>
      </c>
      <c r="X1471">
        <v>44.99</v>
      </c>
      <c r="Y1471">
        <v>139</v>
      </c>
      <c r="Z1471">
        <v>779000</v>
      </c>
      <c r="AA1471">
        <v>518400</v>
      </c>
      <c r="AB1471">
        <v>400</v>
      </c>
      <c r="AD1471" t="s">
        <v>238</v>
      </c>
      <c r="AE1471">
        <v>2</v>
      </c>
      <c r="AF1471">
        <v>0</v>
      </c>
      <c r="AI1471">
        <v>10</v>
      </c>
      <c r="AJ1471">
        <v>20</v>
      </c>
      <c r="AK1471">
        <v>30</v>
      </c>
      <c r="AL1471">
        <v>480</v>
      </c>
      <c r="AM1471">
        <v>0</v>
      </c>
      <c r="AN1471">
        <v>0</v>
      </c>
      <c r="AO1471">
        <v>0</v>
      </c>
      <c r="AP1471" t="s">
        <v>69</v>
      </c>
      <c r="AR1471" t="s">
        <v>86</v>
      </c>
      <c r="AS1471" t="s">
        <v>86</v>
      </c>
      <c r="AT1471" t="s">
        <v>86</v>
      </c>
      <c r="AU1471" t="s">
        <v>86</v>
      </c>
      <c r="AV1471" t="s">
        <v>3455</v>
      </c>
      <c r="AW1471" t="s">
        <v>69</v>
      </c>
      <c r="AX1471" t="s">
        <v>218</v>
      </c>
      <c r="AY1471" t="s">
        <v>4166</v>
      </c>
      <c r="AZ1471" t="s">
        <v>264</v>
      </c>
      <c r="BA1471" t="s">
        <v>245</v>
      </c>
      <c r="BB1471" t="s">
        <v>264</v>
      </c>
      <c r="BC1471" t="s">
        <v>244</v>
      </c>
      <c r="BD1471" t="s">
        <v>4173</v>
      </c>
      <c r="BE1471" t="s">
        <v>4168</v>
      </c>
      <c r="BF1471" t="s">
        <v>240</v>
      </c>
      <c r="BG1471" t="s">
        <v>110</v>
      </c>
      <c r="BH1471" t="str">
        <f>IF(COUNTIF(工作表1!A:A, $C1471)&gt;0, "預購款", "非預購款")</f>
        <v>非預購款</v>
      </c>
    </row>
    <row r="1472" spans="1:60" x14ac:dyDescent="0.25">
      <c r="A1472" t="s">
        <v>3373</v>
      </c>
      <c r="B1472" t="s">
        <v>1875</v>
      </c>
      <c r="C1472" t="s">
        <v>3374</v>
      </c>
      <c r="D1472" t="s">
        <v>3375</v>
      </c>
      <c r="E1472" t="s">
        <v>3376</v>
      </c>
      <c r="F1472" t="s">
        <v>196</v>
      </c>
      <c r="G1472" t="s">
        <v>3375</v>
      </c>
      <c r="H1472" t="s">
        <v>273</v>
      </c>
      <c r="I1472" t="s">
        <v>2277</v>
      </c>
      <c r="J1472" t="s">
        <v>2278</v>
      </c>
      <c r="K1472" t="s">
        <v>69</v>
      </c>
      <c r="L1472" t="s">
        <v>3377</v>
      </c>
      <c r="M1472" t="s">
        <v>71</v>
      </c>
      <c r="N1472" t="s">
        <v>198</v>
      </c>
      <c r="O1472" t="s">
        <v>2893</v>
      </c>
      <c r="P1472" t="s">
        <v>2894</v>
      </c>
      <c r="R1472" t="s">
        <v>2518</v>
      </c>
      <c r="S1472" t="s">
        <v>201</v>
      </c>
      <c r="T1472" t="s">
        <v>258</v>
      </c>
      <c r="U1472" t="s">
        <v>1876</v>
      </c>
      <c r="V1472" t="s">
        <v>2844</v>
      </c>
      <c r="W1472">
        <v>1580</v>
      </c>
      <c r="X1472">
        <v>64.989999999999995</v>
      </c>
      <c r="Y1472">
        <v>209</v>
      </c>
      <c r="Z1472">
        <v>1139000</v>
      </c>
      <c r="AA1472">
        <v>379200</v>
      </c>
      <c r="AB1472">
        <v>800</v>
      </c>
      <c r="AD1472" t="s">
        <v>238</v>
      </c>
      <c r="AE1472">
        <v>2</v>
      </c>
      <c r="AF1472">
        <v>0</v>
      </c>
      <c r="AI1472">
        <v>0</v>
      </c>
      <c r="AJ1472">
        <v>30</v>
      </c>
      <c r="AK1472">
        <v>30</v>
      </c>
      <c r="AL1472">
        <v>240</v>
      </c>
      <c r="AM1472">
        <v>0</v>
      </c>
      <c r="AN1472">
        <v>0</v>
      </c>
      <c r="AO1472">
        <v>0</v>
      </c>
      <c r="AP1472" t="s">
        <v>69</v>
      </c>
      <c r="AT1472" t="s">
        <v>86</v>
      </c>
      <c r="AU1472" t="s">
        <v>86</v>
      </c>
      <c r="AW1472" t="s">
        <v>69</v>
      </c>
      <c r="AX1472" t="s">
        <v>3372</v>
      </c>
      <c r="AY1472" t="s">
        <v>3378</v>
      </c>
      <c r="BD1472" t="s">
        <v>3379</v>
      </c>
      <c r="BE1472" t="s">
        <v>4174</v>
      </c>
      <c r="BH1472" t="str">
        <f>IF(COUNTIF(工作表1!A:A, $C1472)&gt;0, "預購款", "非預購款")</f>
        <v>非預購款</v>
      </c>
    </row>
    <row r="1473" spans="1:60" x14ac:dyDescent="0.25">
      <c r="A1473" t="s">
        <v>3373</v>
      </c>
      <c r="B1473" t="s">
        <v>1875</v>
      </c>
      <c r="C1473" t="s">
        <v>3374</v>
      </c>
      <c r="D1473" t="s">
        <v>3375</v>
      </c>
      <c r="E1473" t="s">
        <v>3376</v>
      </c>
      <c r="F1473" t="s">
        <v>196</v>
      </c>
      <c r="G1473" t="s">
        <v>3375</v>
      </c>
      <c r="H1473" t="s">
        <v>119</v>
      </c>
      <c r="I1473" t="s">
        <v>2277</v>
      </c>
      <c r="J1473" t="s">
        <v>2278</v>
      </c>
      <c r="K1473" t="s">
        <v>69</v>
      </c>
      <c r="L1473" t="s">
        <v>3377</v>
      </c>
      <c r="M1473" t="s">
        <v>71</v>
      </c>
      <c r="N1473" t="s">
        <v>198</v>
      </c>
      <c r="O1473" t="s">
        <v>2893</v>
      </c>
      <c r="P1473" t="s">
        <v>2894</v>
      </c>
      <c r="R1473" t="s">
        <v>2518</v>
      </c>
      <c r="S1473" t="s">
        <v>201</v>
      </c>
      <c r="T1473" t="s">
        <v>258</v>
      </c>
      <c r="U1473" t="s">
        <v>1876</v>
      </c>
      <c r="V1473" t="s">
        <v>2844</v>
      </c>
      <c r="W1473">
        <v>1580</v>
      </c>
      <c r="X1473">
        <v>64.989999999999995</v>
      </c>
      <c r="Y1473">
        <v>209</v>
      </c>
      <c r="Z1473">
        <v>1139000</v>
      </c>
      <c r="AA1473">
        <v>379200</v>
      </c>
      <c r="AB1473">
        <v>800</v>
      </c>
      <c r="AD1473" t="s">
        <v>238</v>
      </c>
      <c r="AE1473">
        <v>2</v>
      </c>
      <c r="AF1473">
        <v>0</v>
      </c>
      <c r="AI1473">
        <v>0</v>
      </c>
      <c r="AJ1473">
        <v>60</v>
      </c>
      <c r="AK1473">
        <v>60</v>
      </c>
      <c r="AL1473">
        <v>240</v>
      </c>
      <c r="AM1473">
        <v>0</v>
      </c>
      <c r="AN1473">
        <v>0</v>
      </c>
      <c r="AO1473">
        <v>0</v>
      </c>
      <c r="AP1473" t="s">
        <v>69</v>
      </c>
      <c r="AT1473" t="s">
        <v>86</v>
      </c>
      <c r="AU1473" t="s">
        <v>86</v>
      </c>
      <c r="AW1473" t="s">
        <v>69</v>
      </c>
      <c r="AX1473" t="s">
        <v>3372</v>
      </c>
      <c r="AY1473" t="s">
        <v>3378</v>
      </c>
      <c r="BD1473" t="s">
        <v>3380</v>
      </c>
      <c r="BE1473" t="s">
        <v>4174</v>
      </c>
      <c r="BH1473" t="str">
        <f>IF(COUNTIF(工作表1!A:A, $C1473)&gt;0, "預購款", "非預購款")</f>
        <v>非預購款</v>
      </c>
    </row>
    <row r="1474" spans="1:60" x14ac:dyDescent="0.25">
      <c r="A1474" t="s">
        <v>3373</v>
      </c>
      <c r="B1474" t="s">
        <v>1875</v>
      </c>
      <c r="C1474" t="s">
        <v>3374</v>
      </c>
      <c r="D1474" t="s">
        <v>3375</v>
      </c>
      <c r="E1474" t="s">
        <v>3376</v>
      </c>
      <c r="F1474" t="s">
        <v>196</v>
      </c>
      <c r="G1474" t="s">
        <v>3375</v>
      </c>
      <c r="H1474" t="s">
        <v>130</v>
      </c>
      <c r="I1474" t="s">
        <v>2277</v>
      </c>
      <c r="J1474" t="s">
        <v>2278</v>
      </c>
      <c r="K1474" t="s">
        <v>69</v>
      </c>
      <c r="L1474" t="s">
        <v>3377</v>
      </c>
      <c r="M1474" t="s">
        <v>71</v>
      </c>
      <c r="N1474" t="s">
        <v>198</v>
      </c>
      <c r="O1474" t="s">
        <v>2893</v>
      </c>
      <c r="P1474" t="s">
        <v>2894</v>
      </c>
      <c r="R1474" t="s">
        <v>2518</v>
      </c>
      <c r="S1474" t="s">
        <v>201</v>
      </c>
      <c r="T1474" t="s">
        <v>258</v>
      </c>
      <c r="U1474" t="s">
        <v>1876</v>
      </c>
      <c r="V1474" t="s">
        <v>2844</v>
      </c>
      <c r="W1474">
        <v>1580</v>
      </c>
      <c r="X1474">
        <v>64.989999999999995</v>
      </c>
      <c r="Y1474">
        <v>209</v>
      </c>
      <c r="Z1474">
        <v>1139000</v>
      </c>
      <c r="AA1474">
        <v>379200</v>
      </c>
      <c r="AB1474">
        <v>800</v>
      </c>
      <c r="AD1474" t="s">
        <v>238</v>
      </c>
      <c r="AE1474">
        <v>2</v>
      </c>
      <c r="AF1474">
        <v>0</v>
      </c>
      <c r="AI1474">
        <v>0</v>
      </c>
      <c r="AJ1474">
        <v>60</v>
      </c>
      <c r="AK1474">
        <v>60</v>
      </c>
      <c r="AL1474">
        <v>240</v>
      </c>
      <c r="AM1474">
        <v>0</v>
      </c>
      <c r="AN1474">
        <v>0</v>
      </c>
      <c r="AO1474">
        <v>0</v>
      </c>
      <c r="AP1474" t="s">
        <v>69</v>
      </c>
      <c r="AT1474" t="s">
        <v>86</v>
      </c>
      <c r="AU1474" t="s">
        <v>86</v>
      </c>
      <c r="AW1474" t="s">
        <v>69</v>
      </c>
      <c r="AX1474" t="s">
        <v>3372</v>
      </c>
      <c r="AY1474" t="s">
        <v>3378</v>
      </c>
      <c r="BD1474" t="s">
        <v>3381</v>
      </c>
      <c r="BE1474" t="s">
        <v>4174</v>
      </c>
      <c r="BH1474" t="str">
        <f>IF(COUNTIF(工作表1!A:A, $C1474)&gt;0, "預購款", "非預購款")</f>
        <v>非預購款</v>
      </c>
    </row>
    <row r="1475" spans="1:60" x14ac:dyDescent="0.25">
      <c r="A1475" t="s">
        <v>3373</v>
      </c>
      <c r="B1475" t="s">
        <v>1875</v>
      </c>
      <c r="C1475" t="s">
        <v>3374</v>
      </c>
      <c r="D1475" t="s">
        <v>3375</v>
      </c>
      <c r="E1475" t="s">
        <v>3376</v>
      </c>
      <c r="F1475" t="s">
        <v>196</v>
      </c>
      <c r="G1475" t="s">
        <v>3375</v>
      </c>
      <c r="H1475" t="s">
        <v>132</v>
      </c>
      <c r="I1475" t="s">
        <v>2277</v>
      </c>
      <c r="J1475" t="s">
        <v>2278</v>
      </c>
      <c r="K1475" t="s">
        <v>69</v>
      </c>
      <c r="L1475" t="s">
        <v>3377</v>
      </c>
      <c r="M1475" t="s">
        <v>71</v>
      </c>
      <c r="N1475" t="s">
        <v>198</v>
      </c>
      <c r="O1475" t="s">
        <v>2893</v>
      </c>
      <c r="P1475" t="s">
        <v>2894</v>
      </c>
      <c r="R1475" t="s">
        <v>2518</v>
      </c>
      <c r="S1475" t="s">
        <v>201</v>
      </c>
      <c r="T1475" t="s">
        <v>258</v>
      </c>
      <c r="U1475" t="s">
        <v>1876</v>
      </c>
      <c r="V1475" t="s">
        <v>2844</v>
      </c>
      <c r="W1475">
        <v>1580</v>
      </c>
      <c r="X1475">
        <v>64.989999999999995</v>
      </c>
      <c r="Y1475">
        <v>209</v>
      </c>
      <c r="Z1475">
        <v>1139000</v>
      </c>
      <c r="AA1475">
        <v>379200</v>
      </c>
      <c r="AB1475">
        <v>800</v>
      </c>
      <c r="AD1475" t="s">
        <v>238</v>
      </c>
      <c r="AE1475">
        <v>2</v>
      </c>
      <c r="AF1475">
        <v>0</v>
      </c>
      <c r="AI1475">
        <v>0</v>
      </c>
      <c r="AJ1475">
        <v>30</v>
      </c>
      <c r="AK1475">
        <v>30</v>
      </c>
      <c r="AL1475">
        <v>240</v>
      </c>
      <c r="AM1475">
        <v>0</v>
      </c>
      <c r="AN1475">
        <v>0</v>
      </c>
      <c r="AO1475">
        <v>0</v>
      </c>
      <c r="AP1475" t="s">
        <v>69</v>
      </c>
      <c r="AT1475" t="s">
        <v>86</v>
      </c>
      <c r="AU1475" t="s">
        <v>86</v>
      </c>
      <c r="AW1475" t="s">
        <v>69</v>
      </c>
      <c r="AX1475" t="s">
        <v>3372</v>
      </c>
      <c r="AY1475" t="s">
        <v>3378</v>
      </c>
      <c r="BD1475" t="s">
        <v>3382</v>
      </c>
      <c r="BE1475" t="s">
        <v>4174</v>
      </c>
      <c r="BH1475" t="str">
        <f>IF(COUNTIF(工作表1!A:A, $C1475)&gt;0, "預購款", "非預購款")</f>
        <v>非預購款</v>
      </c>
    </row>
    <row r="1476" spans="1:60" x14ac:dyDescent="0.25">
      <c r="A1476" t="s">
        <v>3406</v>
      </c>
      <c r="B1476" t="s">
        <v>1875</v>
      </c>
      <c r="C1476" t="s">
        <v>3407</v>
      </c>
      <c r="D1476" t="s">
        <v>3408</v>
      </c>
      <c r="E1476" t="s">
        <v>3409</v>
      </c>
      <c r="F1476" t="s">
        <v>196</v>
      </c>
      <c r="G1476" t="s">
        <v>3408</v>
      </c>
      <c r="H1476" t="s">
        <v>119</v>
      </c>
      <c r="I1476" t="s">
        <v>2277</v>
      </c>
      <c r="J1476" t="s">
        <v>2278</v>
      </c>
      <c r="K1476" t="s">
        <v>69</v>
      </c>
      <c r="L1476" t="s">
        <v>3410</v>
      </c>
      <c r="M1476" t="s">
        <v>71</v>
      </c>
      <c r="N1476" t="s">
        <v>198</v>
      </c>
      <c r="O1476" t="s">
        <v>2893</v>
      </c>
      <c r="P1476" t="s">
        <v>2894</v>
      </c>
      <c r="R1476" t="s">
        <v>2518</v>
      </c>
      <c r="S1476" t="s">
        <v>201</v>
      </c>
      <c r="T1476" t="s">
        <v>258</v>
      </c>
      <c r="U1476" t="s">
        <v>1876</v>
      </c>
      <c r="V1476" t="s">
        <v>2862</v>
      </c>
      <c r="W1476">
        <v>790</v>
      </c>
      <c r="X1476">
        <v>34.99</v>
      </c>
      <c r="Y1476">
        <v>99</v>
      </c>
      <c r="Z1476">
        <v>569000</v>
      </c>
      <c r="AA1476">
        <v>142200</v>
      </c>
      <c r="AB1476">
        <v>500</v>
      </c>
      <c r="AD1476" t="s">
        <v>238</v>
      </c>
      <c r="AE1476">
        <v>1</v>
      </c>
      <c r="AF1476">
        <v>0</v>
      </c>
      <c r="AI1476">
        <v>0</v>
      </c>
      <c r="AJ1476">
        <v>60</v>
      </c>
      <c r="AK1476">
        <v>60</v>
      </c>
      <c r="AL1476">
        <v>180</v>
      </c>
      <c r="AM1476">
        <v>0</v>
      </c>
      <c r="AN1476">
        <v>0</v>
      </c>
      <c r="AO1476">
        <v>0</v>
      </c>
      <c r="AP1476" t="s">
        <v>69</v>
      </c>
      <c r="AT1476" t="s">
        <v>86</v>
      </c>
      <c r="AU1476" t="s">
        <v>86</v>
      </c>
      <c r="AW1476" t="s">
        <v>69</v>
      </c>
      <c r="AX1476" t="s">
        <v>3411</v>
      </c>
      <c r="AY1476" t="s">
        <v>3412</v>
      </c>
      <c r="BD1476" t="s">
        <v>3413</v>
      </c>
      <c r="BE1476" t="s">
        <v>4175</v>
      </c>
      <c r="BH1476" t="str">
        <f>IF(COUNTIF(工作表1!A:A, $C1476)&gt;0, "預購款", "非預購款")</f>
        <v>非預購款</v>
      </c>
    </row>
    <row r="1477" spans="1:60" x14ac:dyDescent="0.25">
      <c r="A1477" t="s">
        <v>3406</v>
      </c>
      <c r="B1477" t="s">
        <v>1875</v>
      </c>
      <c r="C1477" t="s">
        <v>3407</v>
      </c>
      <c r="D1477" t="s">
        <v>3408</v>
      </c>
      <c r="E1477" t="s">
        <v>3409</v>
      </c>
      <c r="F1477" t="s">
        <v>196</v>
      </c>
      <c r="G1477" t="s">
        <v>3408</v>
      </c>
      <c r="H1477" t="s">
        <v>130</v>
      </c>
      <c r="I1477" t="s">
        <v>2277</v>
      </c>
      <c r="J1477" t="s">
        <v>2278</v>
      </c>
      <c r="K1477" t="s">
        <v>69</v>
      </c>
      <c r="L1477" t="s">
        <v>3410</v>
      </c>
      <c r="M1477" t="s">
        <v>71</v>
      </c>
      <c r="N1477" t="s">
        <v>198</v>
      </c>
      <c r="O1477" t="s">
        <v>2893</v>
      </c>
      <c r="P1477" t="s">
        <v>2894</v>
      </c>
      <c r="R1477" t="s">
        <v>2518</v>
      </c>
      <c r="S1477" t="s">
        <v>201</v>
      </c>
      <c r="T1477" t="s">
        <v>258</v>
      </c>
      <c r="U1477" t="s">
        <v>1876</v>
      </c>
      <c r="V1477" t="s">
        <v>2862</v>
      </c>
      <c r="W1477">
        <v>790</v>
      </c>
      <c r="X1477">
        <v>34.99</v>
      </c>
      <c r="Y1477">
        <v>99</v>
      </c>
      <c r="Z1477">
        <v>569000</v>
      </c>
      <c r="AA1477">
        <v>142200</v>
      </c>
      <c r="AB1477">
        <v>500</v>
      </c>
      <c r="AD1477" t="s">
        <v>238</v>
      </c>
      <c r="AE1477">
        <v>1</v>
      </c>
      <c r="AF1477">
        <v>0</v>
      </c>
      <c r="AI1477">
        <v>0</v>
      </c>
      <c r="AJ1477">
        <v>90</v>
      </c>
      <c r="AK1477">
        <v>90</v>
      </c>
      <c r="AL1477">
        <v>180</v>
      </c>
      <c r="AM1477">
        <v>0</v>
      </c>
      <c r="AN1477">
        <v>0</v>
      </c>
      <c r="AO1477">
        <v>0</v>
      </c>
      <c r="AP1477" t="s">
        <v>69</v>
      </c>
      <c r="AT1477" t="s">
        <v>86</v>
      </c>
      <c r="AU1477" t="s">
        <v>86</v>
      </c>
      <c r="AW1477" t="s">
        <v>69</v>
      </c>
      <c r="AX1477" t="s">
        <v>3411</v>
      </c>
      <c r="AY1477" t="s">
        <v>3412</v>
      </c>
      <c r="BD1477" t="s">
        <v>3414</v>
      </c>
      <c r="BE1477" t="s">
        <v>4175</v>
      </c>
      <c r="BH1477" t="str">
        <f>IF(COUNTIF(工作表1!A:A, $C1477)&gt;0, "預購款", "非預購款")</f>
        <v>非預購款</v>
      </c>
    </row>
    <row r="1478" spans="1:60" x14ac:dyDescent="0.25">
      <c r="A1478" t="s">
        <v>3406</v>
      </c>
      <c r="B1478" t="s">
        <v>1875</v>
      </c>
      <c r="C1478" t="s">
        <v>3407</v>
      </c>
      <c r="D1478" t="s">
        <v>3408</v>
      </c>
      <c r="E1478" t="s">
        <v>3409</v>
      </c>
      <c r="F1478" t="s">
        <v>196</v>
      </c>
      <c r="G1478" t="s">
        <v>3408</v>
      </c>
      <c r="H1478" t="s">
        <v>132</v>
      </c>
      <c r="I1478" t="s">
        <v>2277</v>
      </c>
      <c r="J1478" t="s">
        <v>2278</v>
      </c>
      <c r="K1478" t="s">
        <v>69</v>
      </c>
      <c r="L1478" t="s">
        <v>3410</v>
      </c>
      <c r="M1478" t="s">
        <v>71</v>
      </c>
      <c r="N1478" t="s">
        <v>198</v>
      </c>
      <c r="O1478" t="s">
        <v>2893</v>
      </c>
      <c r="P1478" t="s">
        <v>2894</v>
      </c>
      <c r="R1478" t="s">
        <v>2518</v>
      </c>
      <c r="S1478" t="s">
        <v>201</v>
      </c>
      <c r="T1478" t="s">
        <v>258</v>
      </c>
      <c r="U1478" t="s">
        <v>1876</v>
      </c>
      <c r="V1478" t="s">
        <v>2862</v>
      </c>
      <c r="W1478">
        <v>790</v>
      </c>
      <c r="X1478">
        <v>34.99</v>
      </c>
      <c r="Y1478">
        <v>99</v>
      </c>
      <c r="Z1478">
        <v>569000</v>
      </c>
      <c r="AA1478">
        <v>142200</v>
      </c>
      <c r="AB1478">
        <v>500</v>
      </c>
      <c r="AD1478" t="s">
        <v>238</v>
      </c>
      <c r="AE1478">
        <v>1</v>
      </c>
      <c r="AF1478">
        <v>0</v>
      </c>
      <c r="AI1478">
        <v>0</v>
      </c>
      <c r="AJ1478">
        <v>30</v>
      </c>
      <c r="AK1478">
        <v>30</v>
      </c>
      <c r="AL1478">
        <v>180</v>
      </c>
      <c r="AM1478">
        <v>0</v>
      </c>
      <c r="AN1478">
        <v>0</v>
      </c>
      <c r="AO1478">
        <v>0</v>
      </c>
      <c r="AP1478" t="s">
        <v>69</v>
      </c>
      <c r="AT1478" t="s">
        <v>86</v>
      </c>
      <c r="AU1478" t="s">
        <v>86</v>
      </c>
      <c r="AW1478" t="s">
        <v>69</v>
      </c>
      <c r="AX1478" t="s">
        <v>3411</v>
      </c>
      <c r="AY1478" t="s">
        <v>3412</v>
      </c>
      <c r="BD1478" t="s">
        <v>3415</v>
      </c>
      <c r="BE1478" t="s">
        <v>4175</v>
      </c>
      <c r="BH1478" t="str">
        <f>IF(COUNTIF(工作表1!A:A, $C1478)&gt;0, "預購款", "非預購款")</f>
        <v>非預購款</v>
      </c>
    </row>
    <row r="1479" spans="1:60" x14ac:dyDescent="0.25">
      <c r="A1479" t="s">
        <v>3359</v>
      </c>
      <c r="B1479" t="s">
        <v>3360</v>
      </c>
      <c r="C1479" t="s">
        <v>3361</v>
      </c>
      <c r="D1479" t="s">
        <v>3362</v>
      </c>
      <c r="E1479" t="s">
        <v>3363</v>
      </c>
      <c r="F1479" t="s">
        <v>196</v>
      </c>
      <c r="G1479" t="s">
        <v>3362</v>
      </c>
      <c r="H1479" t="s">
        <v>273</v>
      </c>
      <c r="I1479" t="s">
        <v>97</v>
      </c>
      <c r="J1479" t="s">
        <v>98</v>
      </c>
      <c r="K1479" t="s">
        <v>69</v>
      </c>
      <c r="L1479" t="s">
        <v>3364</v>
      </c>
      <c r="M1479" t="s">
        <v>71</v>
      </c>
      <c r="N1479" t="s">
        <v>198</v>
      </c>
      <c r="O1479" t="s">
        <v>2893</v>
      </c>
      <c r="P1479" t="s">
        <v>2894</v>
      </c>
      <c r="R1479" t="s">
        <v>2518</v>
      </c>
      <c r="S1479" t="s">
        <v>201</v>
      </c>
      <c r="T1479" t="s">
        <v>258</v>
      </c>
      <c r="U1479" t="s">
        <v>1876</v>
      </c>
      <c r="V1479" t="s">
        <v>3365</v>
      </c>
      <c r="W1479">
        <v>990</v>
      </c>
      <c r="X1479">
        <v>39.99</v>
      </c>
      <c r="Y1479">
        <v>129</v>
      </c>
      <c r="Z1479">
        <v>709000</v>
      </c>
      <c r="AA1479">
        <v>118800</v>
      </c>
      <c r="AB1479">
        <v>500</v>
      </c>
      <c r="AD1479" t="s">
        <v>238</v>
      </c>
      <c r="AE1479">
        <v>1</v>
      </c>
      <c r="AF1479">
        <v>0</v>
      </c>
      <c r="AI1479">
        <v>0</v>
      </c>
      <c r="AJ1479">
        <v>20</v>
      </c>
      <c r="AK1479">
        <v>20</v>
      </c>
      <c r="AL1479">
        <v>120</v>
      </c>
      <c r="AM1479">
        <v>0</v>
      </c>
      <c r="AN1479">
        <v>0</v>
      </c>
      <c r="AO1479">
        <v>0</v>
      </c>
      <c r="AP1479" t="s">
        <v>69</v>
      </c>
      <c r="AS1479" t="s">
        <v>86</v>
      </c>
      <c r="AT1479" t="s">
        <v>86</v>
      </c>
      <c r="AU1479" t="s">
        <v>240</v>
      </c>
      <c r="AW1479" t="s">
        <v>69</v>
      </c>
      <c r="AX1479" t="s">
        <v>3366</v>
      </c>
      <c r="AY1479" t="s">
        <v>3367</v>
      </c>
      <c r="BD1479" t="s">
        <v>3370</v>
      </c>
      <c r="BE1479" t="s">
        <v>4176</v>
      </c>
      <c r="BH1479" t="str">
        <f>IF(COUNTIF(工作表1!A:A, $C1479)&gt;0, "預購款", "非預購款")</f>
        <v>非預購款</v>
      </c>
    </row>
    <row r="1480" spans="1:60" x14ac:dyDescent="0.25">
      <c r="A1480" t="s">
        <v>3359</v>
      </c>
      <c r="B1480" t="s">
        <v>3360</v>
      </c>
      <c r="C1480" t="s">
        <v>3361</v>
      </c>
      <c r="D1480" t="s">
        <v>3362</v>
      </c>
      <c r="E1480" t="s">
        <v>3363</v>
      </c>
      <c r="F1480" t="s">
        <v>196</v>
      </c>
      <c r="G1480" t="s">
        <v>3362</v>
      </c>
      <c r="H1480" t="s">
        <v>130</v>
      </c>
      <c r="I1480" t="s">
        <v>97</v>
      </c>
      <c r="J1480" t="s">
        <v>98</v>
      </c>
      <c r="K1480" t="s">
        <v>69</v>
      </c>
      <c r="L1480" t="s">
        <v>3364</v>
      </c>
      <c r="M1480" t="s">
        <v>71</v>
      </c>
      <c r="N1480" t="s">
        <v>198</v>
      </c>
      <c r="O1480" t="s">
        <v>2893</v>
      </c>
      <c r="P1480" t="s">
        <v>2894</v>
      </c>
      <c r="R1480" t="s">
        <v>2518</v>
      </c>
      <c r="S1480" t="s">
        <v>201</v>
      </c>
      <c r="T1480" t="s">
        <v>258</v>
      </c>
      <c r="U1480" t="s">
        <v>1876</v>
      </c>
      <c r="V1480" t="s">
        <v>3365</v>
      </c>
      <c r="W1480">
        <v>990</v>
      </c>
      <c r="X1480">
        <v>39.99</v>
      </c>
      <c r="Y1480">
        <v>129</v>
      </c>
      <c r="Z1480">
        <v>709000</v>
      </c>
      <c r="AA1480">
        <v>118800</v>
      </c>
      <c r="AB1480">
        <v>500</v>
      </c>
      <c r="AD1480" t="s">
        <v>238</v>
      </c>
      <c r="AE1480">
        <v>1</v>
      </c>
      <c r="AF1480">
        <v>0</v>
      </c>
      <c r="AI1480">
        <v>0</v>
      </c>
      <c r="AJ1480">
        <v>60</v>
      </c>
      <c r="AK1480">
        <v>60</v>
      </c>
      <c r="AL1480">
        <v>120</v>
      </c>
      <c r="AM1480">
        <v>0</v>
      </c>
      <c r="AN1480">
        <v>0</v>
      </c>
      <c r="AO1480">
        <v>0</v>
      </c>
      <c r="AP1480" t="s">
        <v>69</v>
      </c>
      <c r="AS1480" t="s">
        <v>86</v>
      </c>
      <c r="AT1480" t="s">
        <v>86</v>
      </c>
      <c r="AU1480" t="s">
        <v>240</v>
      </c>
      <c r="AW1480" t="s">
        <v>69</v>
      </c>
      <c r="AX1480" t="s">
        <v>3366</v>
      </c>
      <c r="AY1480" t="s">
        <v>3367</v>
      </c>
      <c r="BD1480" t="s">
        <v>4177</v>
      </c>
      <c r="BE1480" t="s">
        <v>4176</v>
      </c>
      <c r="BH1480" t="str">
        <f>IF(COUNTIF(工作表1!A:A, $C1480)&gt;0, "預購款", "非預購款")</f>
        <v>非預購款</v>
      </c>
    </row>
    <row r="1481" spans="1:60" x14ac:dyDescent="0.25">
      <c r="A1481" t="s">
        <v>3359</v>
      </c>
      <c r="B1481" t="s">
        <v>3360</v>
      </c>
      <c r="C1481" t="s">
        <v>3361</v>
      </c>
      <c r="D1481" t="s">
        <v>3362</v>
      </c>
      <c r="E1481" t="s">
        <v>3363</v>
      </c>
      <c r="F1481" t="s">
        <v>196</v>
      </c>
      <c r="G1481" t="s">
        <v>3362</v>
      </c>
      <c r="H1481" t="s">
        <v>132</v>
      </c>
      <c r="I1481" t="s">
        <v>97</v>
      </c>
      <c r="J1481" t="s">
        <v>98</v>
      </c>
      <c r="K1481" t="s">
        <v>69</v>
      </c>
      <c r="L1481" t="s">
        <v>3364</v>
      </c>
      <c r="M1481" t="s">
        <v>71</v>
      </c>
      <c r="N1481" t="s">
        <v>198</v>
      </c>
      <c r="O1481" t="s">
        <v>2893</v>
      </c>
      <c r="P1481" t="s">
        <v>2894</v>
      </c>
      <c r="R1481" t="s">
        <v>2518</v>
      </c>
      <c r="S1481" t="s">
        <v>201</v>
      </c>
      <c r="T1481" t="s">
        <v>258</v>
      </c>
      <c r="U1481" t="s">
        <v>1876</v>
      </c>
      <c r="V1481" t="s">
        <v>3365</v>
      </c>
      <c r="W1481">
        <v>990</v>
      </c>
      <c r="X1481">
        <v>39.99</v>
      </c>
      <c r="Y1481">
        <v>129</v>
      </c>
      <c r="Z1481">
        <v>709000</v>
      </c>
      <c r="AA1481">
        <v>118800</v>
      </c>
      <c r="AB1481">
        <v>500</v>
      </c>
      <c r="AD1481" t="s">
        <v>238</v>
      </c>
      <c r="AE1481">
        <v>1</v>
      </c>
      <c r="AF1481">
        <v>0</v>
      </c>
      <c r="AI1481">
        <v>0</v>
      </c>
      <c r="AJ1481">
        <v>40</v>
      </c>
      <c r="AK1481">
        <v>40</v>
      </c>
      <c r="AL1481">
        <v>120</v>
      </c>
      <c r="AM1481">
        <v>0</v>
      </c>
      <c r="AN1481">
        <v>0</v>
      </c>
      <c r="AO1481">
        <v>0</v>
      </c>
      <c r="AP1481" t="s">
        <v>69</v>
      </c>
      <c r="AS1481" t="s">
        <v>86</v>
      </c>
      <c r="AT1481" t="s">
        <v>86</v>
      </c>
      <c r="AU1481" t="s">
        <v>240</v>
      </c>
      <c r="AW1481" t="s">
        <v>69</v>
      </c>
      <c r="AX1481" t="s">
        <v>3366</v>
      </c>
      <c r="AY1481" t="s">
        <v>3367</v>
      </c>
      <c r="BD1481" t="s">
        <v>3371</v>
      </c>
      <c r="BE1481" t="s">
        <v>4176</v>
      </c>
      <c r="BH1481" t="str">
        <f>IF(COUNTIF(工作表1!A:A, $C1481)&gt;0, "預購款", "非預購款")</f>
        <v>非預購款</v>
      </c>
    </row>
    <row r="1482" spans="1:60" x14ac:dyDescent="0.25">
      <c r="A1482" t="s">
        <v>3433</v>
      </c>
      <c r="B1482" t="s">
        <v>576</v>
      </c>
      <c r="C1482" t="s">
        <v>3434</v>
      </c>
      <c r="D1482" t="s">
        <v>3435</v>
      </c>
      <c r="E1482" t="s">
        <v>3436</v>
      </c>
      <c r="F1482" t="s">
        <v>183</v>
      </c>
      <c r="G1482" t="s">
        <v>3437</v>
      </c>
      <c r="H1482" t="s">
        <v>119</v>
      </c>
      <c r="I1482" t="s">
        <v>214</v>
      </c>
      <c r="J1482" t="s">
        <v>215</v>
      </c>
      <c r="K1482" t="s">
        <v>69</v>
      </c>
      <c r="L1482" t="s">
        <v>3438</v>
      </c>
      <c r="M1482" t="s">
        <v>71</v>
      </c>
      <c r="N1482" t="s">
        <v>198</v>
      </c>
      <c r="O1482" t="s">
        <v>3439</v>
      </c>
      <c r="P1482" t="s">
        <v>3440</v>
      </c>
      <c r="R1482" t="s">
        <v>1095</v>
      </c>
      <c r="S1482" t="s">
        <v>2257</v>
      </c>
      <c r="T1482" t="s">
        <v>76</v>
      </c>
      <c r="U1482" t="s">
        <v>104</v>
      </c>
      <c r="V1482" t="s">
        <v>1827</v>
      </c>
      <c r="W1482">
        <v>890</v>
      </c>
      <c r="X1482">
        <v>39.99</v>
      </c>
      <c r="Y1482">
        <v>115</v>
      </c>
      <c r="Z1482">
        <v>639000</v>
      </c>
      <c r="AA1482">
        <v>614100</v>
      </c>
      <c r="AB1482">
        <v>214</v>
      </c>
      <c r="AD1482" t="s">
        <v>238</v>
      </c>
      <c r="AE1482">
        <v>1</v>
      </c>
      <c r="AF1482">
        <v>0</v>
      </c>
      <c r="AI1482">
        <v>0</v>
      </c>
      <c r="AJ1482">
        <v>380</v>
      </c>
      <c r="AK1482">
        <v>380</v>
      </c>
      <c r="AL1482">
        <v>690</v>
      </c>
      <c r="AM1482">
        <v>0</v>
      </c>
      <c r="AN1482">
        <v>0</v>
      </c>
      <c r="AO1482">
        <v>0</v>
      </c>
      <c r="AP1482" t="s">
        <v>69</v>
      </c>
      <c r="AR1482" t="s">
        <v>86</v>
      </c>
      <c r="AS1482" t="s">
        <v>86</v>
      </c>
      <c r="AT1482" t="s">
        <v>86</v>
      </c>
      <c r="AU1482" t="s">
        <v>86</v>
      </c>
      <c r="AV1482" t="s">
        <v>81</v>
      </c>
      <c r="AW1482" t="s">
        <v>69</v>
      </c>
      <c r="AX1482" t="s">
        <v>126</v>
      </c>
      <c r="AY1482" t="s">
        <v>3441</v>
      </c>
      <c r="AZ1482" t="s">
        <v>264</v>
      </c>
      <c r="BA1482" t="s">
        <v>245</v>
      </c>
      <c r="BB1482" t="s">
        <v>244</v>
      </c>
      <c r="BC1482" t="s">
        <v>244</v>
      </c>
      <c r="BD1482" t="s">
        <v>3446</v>
      </c>
      <c r="BE1482" t="s">
        <v>4178</v>
      </c>
      <c r="BF1482" t="s">
        <v>86</v>
      </c>
      <c r="BG1482" t="s">
        <v>110</v>
      </c>
      <c r="BH1482" t="str">
        <f>IF(COUNTIF(工作表1!A:A, $C1482)&gt;0, "預購款", "非預購款")</f>
        <v>非預購款</v>
      </c>
    </row>
    <row r="1483" spans="1:60" x14ac:dyDescent="0.25">
      <c r="A1483" t="s">
        <v>3433</v>
      </c>
      <c r="B1483" t="s">
        <v>576</v>
      </c>
      <c r="C1483" t="s">
        <v>3434</v>
      </c>
      <c r="D1483" t="s">
        <v>3435</v>
      </c>
      <c r="E1483" t="s">
        <v>3436</v>
      </c>
      <c r="F1483" t="s">
        <v>183</v>
      </c>
      <c r="G1483" t="s">
        <v>3437</v>
      </c>
      <c r="H1483" t="s">
        <v>130</v>
      </c>
      <c r="I1483" t="s">
        <v>214</v>
      </c>
      <c r="J1483" t="s">
        <v>215</v>
      </c>
      <c r="K1483" t="s">
        <v>69</v>
      </c>
      <c r="L1483" t="s">
        <v>3438</v>
      </c>
      <c r="M1483" t="s">
        <v>71</v>
      </c>
      <c r="N1483" t="s">
        <v>198</v>
      </c>
      <c r="O1483" t="s">
        <v>3439</v>
      </c>
      <c r="P1483" t="s">
        <v>3440</v>
      </c>
      <c r="R1483" t="s">
        <v>1095</v>
      </c>
      <c r="S1483" t="s">
        <v>2257</v>
      </c>
      <c r="T1483" t="s">
        <v>76</v>
      </c>
      <c r="U1483" t="s">
        <v>104</v>
      </c>
      <c r="V1483" t="s">
        <v>1827</v>
      </c>
      <c r="W1483">
        <v>890</v>
      </c>
      <c r="X1483">
        <v>39.99</v>
      </c>
      <c r="Y1483">
        <v>115</v>
      </c>
      <c r="Z1483">
        <v>639000</v>
      </c>
      <c r="AA1483">
        <v>614100</v>
      </c>
      <c r="AB1483">
        <v>214</v>
      </c>
      <c r="AD1483" t="s">
        <v>238</v>
      </c>
      <c r="AE1483">
        <v>1</v>
      </c>
      <c r="AF1483">
        <v>0</v>
      </c>
      <c r="AI1483">
        <v>0</v>
      </c>
      <c r="AJ1483">
        <v>210</v>
      </c>
      <c r="AK1483">
        <v>210</v>
      </c>
      <c r="AL1483">
        <v>690</v>
      </c>
      <c r="AM1483">
        <v>0</v>
      </c>
      <c r="AN1483">
        <v>0</v>
      </c>
      <c r="AO1483">
        <v>0</v>
      </c>
      <c r="AP1483" t="s">
        <v>69</v>
      </c>
      <c r="AR1483" t="s">
        <v>86</v>
      </c>
      <c r="AS1483" t="s">
        <v>86</v>
      </c>
      <c r="AT1483" t="s">
        <v>86</v>
      </c>
      <c r="AU1483" t="s">
        <v>86</v>
      </c>
      <c r="AV1483" t="s">
        <v>81</v>
      </c>
      <c r="AW1483" t="s">
        <v>69</v>
      </c>
      <c r="AX1483" t="s">
        <v>126</v>
      </c>
      <c r="AY1483" t="s">
        <v>3441</v>
      </c>
      <c r="AZ1483" t="s">
        <v>264</v>
      </c>
      <c r="BA1483" t="s">
        <v>245</v>
      </c>
      <c r="BB1483" t="s">
        <v>244</v>
      </c>
      <c r="BC1483" t="s">
        <v>244</v>
      </c>
      <c r="BD1483" t="s">
        <v>3447</v>
      </c>
      <c r="BE1483" t="s">
        <v>4178</v>
      </c>
      <c r="BF1483" t="s">
        <v>86</v>
      </c>
      <c r="BG1483" t="s">
        <v>110</v>
      </c>
      <c r="BH1483" t="str">
        <f>IF(COUNTIF(工作表1!A:A, $C1483)&gt;0, "預購款", "非預購款")</f>
        <v>非預購款</v>
      </c>
    </row>
    <row r="1484" spans="1:60" x14ac:dyDescent="0.25">
      <c r="A1484" t="s">
        <v>3433</v>
      </c>
      <c r="B1484" t="s">
        <v>576</v>
      </c>
      <c r="C1484" t="s">
        <v>3434</v>
      </c>
      <c r="D1484" t="s">
        <v>3435</v>
      </c>
      <c r="E1484" t="s">
        <v>3436</v>
      </c>
      <c r="F1484" t="s">
        <v>183</v>
      </c>
      <c r="G1484" t="s">
        <v>3437</v>
      </c>
      <c r="H1484" t="s">
        <v>132</v>
      </c>
      <c r="I1484" t="s">
        <v>214</v>
      </c>
      <c r="J1484" t="s">
        <v>215</v>
      </c>
      <c r="K1484" t="s">
        <v>69</v>
      </c>
      <c r="L1484" t="s">
        <v>3438</v>
      </c>
      <c r="M1484" t="s">
        <v>71</v>
      </c>
      <c r="N1484" t="s">
        <v>198</v>
      </c>
      <c r="O1484" t="s">
        <v>3439</v>
      </c>
      <c r="P1484" t="s">
        <v>3440</v>
      </c>
      <c r="R1484" t="s">
        <v>1095</v>
      </c>
      <c r="S1484" t="s">
        <v>2257</v>
      </c>
      <c r="T1484" t="s">
        <v>76</v>
      </c>
      <c r="U1484" t="s">
        <v>104</v>
      </c>
      <c r="V1484" t="s">
        <v>1827</v>
      </c>
      <c r="W1484">
        <v>890</v>
      </c>
      <c r="X1484">
        <v>39.99</v>
      </c>
      <c r="Y1484">
        <v>115</v>
      </c>
      <c r="Z1484">
        <v>639000</v>
      </c>
      <c r="AA1484">
        <v>614100</v>
      </c>
      <c r="AB1484">
        <v>214</v>
      </c>
      <c r="AD1484" t="s">
        <v>238</v>
      </c>
      <c r="AE1484">
        <v>1</v>
      </c>
      <c r="AF1484">
        <v>0</v>
      </c>
      <c r="AI1484">
        <v>0</v>
      </c>
      <c r="AJ1484">
        <v>100</v>
      </c>
      <c r="AK1484">
        <v>100</v>
      </c>
      <c r="AL1484">
        <v>690</v>
      </c>
      <c r="AM1484">
        <v>0</v>
      </c>
      <c r="AN1484">
        <v>0</v>
      </c>
      <c r="AO1484">
        <v>0</v>
      </c>
      <c r="AP1484" t="s">
        <v>69</v>
      </c>
      <c r="AR1484" t="s">
        <v>86</v>
      </c>
      <c r="AS1484" t="s">
        <v>86</v>
      </c>
      <c r="AT1484" t="s">
        <v>86</v>
      </c>
      <c r="AU1484" t="s">
        <v>86</v>
      </c>
      <c r="AV1484" t="s">
        <v>81</v>
      </c>
      <c r="AW1484" t="s">
        <v>69</v>
      </c>
      <c r="AX1484" t="s">
        <v>126</v>
      </c>
      <c r="AY1484" t="s">
        <v>3441</v>
      </c>
      <c r="AZ1484" t="s">
        <v>264</v>
      </c>
      <c r="BA1484" t="s">
        <v>245</v>
      </c>
      <c r="BB1484" t="s">
        <v>244</v>
      </c>
      <c r="BC1484" t="s">
        <v>244</v>
      </c>
      <c r="BD1484" t="s">
        <v>3448</v>
      </c>
      <c r="BE1484" t="s">
        <v>4178</v>
      </c>
      <c r="BF1484" t="s">
        <v>86</v>
      </c>
      <c r="BG1484" t="s">
        <v>110</v>
      </c>
      <c r="BH1484" t="str">
        <f>IF(COUNTIF(工作表1!A:A, $C1484)&gt;0, "預購款", "非預購款")</f>
        <v>非預購款</v>
      </c>
    </row>
    <row r="1485" spans="1:60" x14ac:dyDescent="0.25">
      <c r="A1485" t="s">
        <v>3524</v>
      </c>
      <c r="B1485" t="s">
        <v>301</v>
      </c>
      <c r="C1485" t="s">
        <v>3525</v>
      </c>
      <c r="D1485" t="s">
        <v>3526</v>
      </c>
      <c r="E1485" t="s">
        <v>3527</v>
      </c>
      <c r="F1485" t="s">
        <v>183</v>
      </c>
      <c r="G1485" t="s">
        <v>3528</v>
      </c>
      <c r="H1485" t="s">
        <v>119</v>
      </c>
      <c r="I1485" t="s">
        <v>97</v>
      </c>
      <c r="J1485" t="s">
        <v>98</v>
      </c>
      <c r="K1485" t="s">
        <v>69</v>
      </c>
      <c r="L1485" t="s">
        <v>3529</v>
      </c>
      <c r="M1485" t="s">
        <v>71</v>
      </c>
      <c r="N1485" t="s">
        <v>198</v>
      </c>
      <c r="O1485" t="s">
        <v>3439</v>
      </c>
      <c r="P1485" t="s">
        <v>3440</v>
      </c>
      <c r="R1485" t="s">
        <v>1095</v>
      </c>
      <c r="S1485" t="s">
        <v>2257</v>
      </c>
      <c r="T1485" t="s">
        <v>76</v>
      </c>
      <c r="U1485" t="s">
        <v>150</v>
      </c>
      <c r="V1485" t="s">
        <v>3530</v>
      </c>
      <c r="W1485">
        <v>690</v>
      </c>
      <c r="X1485">
        <v>29.99</v>
      </c>
      <c r="Y1485">
        <v>89</v>
      </c>
      <c r="Z1485">
        <v>499000</v>
      </c>
      <c r="AA1485">
        <v>62100</v>
      </c>
      <c r="AB1485">
        <v>176</v>
      </c>
      <c r="AD1485" t="s">
        <v>238</v>
      </c>
      <c r="AE1485">
        <v>1</v>
      </c>
      <c r="AF1485">
        <v>0</v>
      </c>
      <c r="AI1485">
        <v>0</v>
      </c>
      <c r="AJ1485">
        <v>90</v>
      </c>
      <c r="AK1485">
        <v>90</v>
      </c>
      <c r="AL1485">
        <v>90</v>
      </c>
      <c r="AM1485">
        <v>90</v>
      </c>
      <c r="AN1485">
        <v>0</v>
      </c>
      <c r="AO1485">
        <v>90</v>
      </c>
      <c r="AP1485" t="s">
        <v>80</v>
      </c>
      <c r="AQ1485" t="s">
        <v>190</v>
      </c>
      <c r="AR1485" t="s">
        <v>86</v>
      </c>
      <c r="AT1485" t="s">
        <v>86</v>
      </c>
      <c r="AU1485" t="s">
        <v>261</v>
      </c>
      <c r="AV1485" t="s">
        <v>1033</v>
      </c>
      <c r="AW1485" t="s">
        <v>69</v>
      </c>
      <c r="AX1485" t="s">
        <v>218</v>
      </c>
      <c r="AY1485" t="s">
        <v>3531</v>
      </c>
      <c r="AZ1485" t="s">
        <v>310</v>
      </c>
      <c r="BA1485" t="s">
        <v>244</v>
      </c>
      <c r="BB1485" t="s">
        <v>244</v>
      </c>
      <c r="BC1485" t="s">
        <v>244</v>
      </c>
      <c r="BD1485" t="s">
        <v>3532</v>
      </c>
      <c r="BE1485" t="s">
        <v>4180</v>
      </c>
      <c r="BF1485" t="s">
        <v>786</v>
      </c>
      <c r="BG1485" t="s">
        <v>87</v>
      </c>
      <c r="BH1485" t="str">
        <f>IF(COUNTIF(工作表1!A:A, $C1485)&gt;0, "預購款", "非預購款")</f>
        <v>非預購款</v>
      </c>
    </row>
    <row r="1486" spans="1:60" x14ac:dyDescent="0.25">
      <c r="A1486" t="s">
        <v>1385</v>
      </c>
      <c r="B1486" t="s">
        <v>576</v>
      </c>
      <c r="C1486" t="s">
        <v>1386</v>
      </c>
      <c r="D1486" t="s">
        <v>1387</v>
      </c>
      <c r="E1486" t="s">
        <v>1388</v>
      </c>
      <c r="F1486" t="s">
        <v>222</v>
      </c>
      <c r="G1486" t="s">
        <v>1389</v>
      </c>
      <c r="H1486" t="s">
        <v>273</v>
      </c>
      <c r="I1486" t="s">
        <v>97</v>
      </c>
      <c r="J1486" t="s">
        <v>98</v>
      </c>
      <c r="K1486" t="s">
        <v>69</v>
      </c>
      <c r="L1486" t="s">
        <v>1390</v>
      </c>
      <c r="M1486" t="s">
        <v>71</v>
      </c>
      <c r="N1486" t="s">
        <v>100</v>
      </c>
      <c r="O1486" t="s">
        <v>1391</v>
      </c>
      <c r="P1486" t="s">
        <v>1392</v>
      </c>
      <c r="R1486" t="s">
        <v>1393</v>
      </c>
      <c r="S1486" t="s">
        <v>223</v>
      </c>
      <c r="T1486" t="s">
        <v>274</v>
      </c>
      <c r="U1486" t="s">
        <v>104</v>
      </c>
      <c r="V1486" t="s">
        <v>1394</v>
      </c>
      <c r="W1486">
        <v>890</v>
      </c>
      <c r="X1486">
        <v>39.99</v>
      </c>
      <c r="Y1486">
        <v>115</v>
      </c>
      <c r="Z1486">
        <v>639000</v>
      </c>
      <c r="AA1486">
        <v>71200</v>
      </c>
      <c r="AB1486">
        <v>182</v>
      </c>
      <c r="AD1486" t="s">
        <v>238</v>
      </c>
      <c r="AE1486">
        <v>1</v>
      </c>
      <c r="AF1486">
        <v>0</v>
      </c>
      <c r="AI1486">
        <v>0</v>
      </c>
      <c r="AJ1486">
        <v>45</v>
      </c>
      <c r="AK1486">
        <v>45</v>
      </c>
      <c r="AL1486">
        <v>80</v>
      </c>
      <c r="AM1486">
        <v>0</v>
      </c>
      <c r="AN1486">
        <v>0</v>
      </c>
      <c r="AO1486">
        <v>0</v>
      </c>
      <c r="AP1486" t="s">
        <v>69</v>
      </c>
      <c r="AS1486" t="s">
        <v>86</v>
      </c>
      <c r="AT1486" t="s">
        <v>240</v>
      </c>
      <c r="AU1486" t="s">
        <v>240</v>
      </c>
      <c r="AV1486" t="s">
        <v>1395</v>
      </c>
      <c r="AW1486" t="s">
        <v>69</v>
      </c>
      <c r="AX1486" t="s">
        <v>126</v>
      </c>
      <c r="AY1486" t="s">
        <v>1396</v>
      </c>
      <c r="AZ1486" t="s">
        <v>264</v>
      </c>
      <c r="BA1486" t="s">
        <v>243</v>
      </c>
      <c r="BB1486" t="s">
        <v>264</v>
      </c>
      <c r="BC1486" t="s">
        <v>264</v>
      </c>
      <c r="BD1486" t="s">
        <v>4181</v>
      </c>
      <c r="BE1486" t="s">
        <v>4182</v>
      </c>
      <c r="BF1486" t="s">
        <v>279</v>
      </c>
      <c r="BG1486" t="s">
        <v>110</v>
      </c>
      <c r="BH1486" t="str">
        <f>IF(COUNTIF(工作表1!A:A, $C1486)&gt;0, "預購款", "非預購款")</f>
        <v>非預購款</v>
      </c>
    </row>
    <row r="1487" spans="1:60" x14ac:dyDescent="0.25">
      <c r="A1487" t="s">
        <v>1385</v>
      </c>
      <c r="B1487" t="s">
        <v>576</v>
      </c>
      <c r="C1487" t="s">
        <v>1386</v>
      </c>
      <c r="D1487" t="s">
        <v>1387</v>
      </c>
      <c r="E1487" t="s">
        <v>1388</v>
      </c>
      <c r="F1487" t="s">
        <v>222</v>
      </c>
      <c r="G1487" t="s">
        <v>1389</v>
      </c>
      <c r="H1487" t="s">
        <v>501</v>
      </c>
      <c r="I1487" t="s">
        <v>97</v>
      </c>
      <c r="J1487" t="s">
        <v>98</v>
      </c>
      <c r="K1487" t="s">
        <v>69</v>
      </c>
      <c r="L1487" t="s">
        <v>1390</v>
      </c>
      <c r="M1487" t="s">
        <v>71</v>
      </c>
      <c r="N1487" t="s">
        <v>100</v>
      </c>
      <c r="O1487" t="s">
        <v>1391</v>
      </c>
      <c r="P1487" t="s">
        <v>1392</v>
      </c>
      <c r="R1487" t="s">
        <v>1393</v>
      </c>
      <c r="S1487" t="s">
        <v>223</v>
      </c>
      <c r="T1487" t="s">
        <v>274</v>
      </c>
      <c r="U1487" t="s">
        <v>104</v>
      </c>
      <c r="V1487" t="s">
        <v>1394</v>
      </c>
      <c r="W1487">
        <v>890</v>
      </c>
      <c r="X1487">
        <v>39.99</v>
      </c>
      <c r="Y1487">
        <v>115</v>
      </c>
      <c r="Z1487">
        <v>639000</v>
      </c>
      <c r="AA1487">
        <v>71200</v>
      </c>
      <c r="AB1487">
        <v>182</v>
      </c>
      <c r="AD1487" t="s">
        <v>238</v>
      </c>
      <c r="AE1487">
        <v>1</v>
      </c>
      <c r="AF1487">
        <v>0</v>
      </c>
      <c r="AI1487">
        <v>0</v>
      </c>
      <c r="AJ1487">
        <v>10</v>
      </c>
      <c r="AK1487">
        <v>10</v>
      </c>
      <c r="AL1487">
        <v>80</v>
      </c>
      <c r="AM1487">
        <v>0</v>
      </c>
      <c r="AN1487">
        <v>0</v>
      </c>
      <c r="AO1487">
        <v>0</v>
      </c>
      <c r="AP1487" t="s">
        <v>69</v>
      </c>
      <c r="AS1487" t="s">
        <v>86</v>
      </c>
      <c r="AT1487" t="s">
        <v>240</v>
      </c>
      <c r="AU1487" t="s">
        <v>240</v>
      </c>
      <c r="AV1487" t="s">
        <v>1395</v>
      </c>
      <c r="AW1487" t="s">
        <v>69</v>
      </c>
      <c r="AX1487" t="s">
        <v>126</v>
      </c>
      <c r="AY1487" t="s">
        <v>1396</v>
      </c>
      <c r="AZ1487" t="s">
        <v>264</v>
      </c>
      <c r="BA1487" t="s">
        <v>243</v>
      </c>
      <c r="BB1487" t="s">
        <v>264</v>
      </c>
      <c r="BC1487" t="s">
        <v>264</v>
      </c>
      <c r="BD1487" t="s">
        <v>4183</v>
      </c>
      <c r="BE1487" t="s">
        <v>4182</v>
      </c>
      <c r="BF1487" t="s">
        <v>279</v>
      </c>
      <c r="BG1487" t="s">
        <v>110</v>
      </c>
      <c r="BH1487" t="str">
        <f>IF(COUNTIF(工作表1!A:A, $C1487)&gt;0, "預購款", "非預購款")</f>
        <v>非預購款</v>
      </c>
    </row>
    <row r="1488" spans="1:60" x14ac:dyDescent="0.25">
      <c r="A1488" t="s">
        <v>1385</v>
      </c>
      <c r="B1488" t="s">
        <v>576</v>
      </c>
      <c r="C1488" t="s">
        <v>1386</v>
      </c>
      <c r="D1488" t="s">
        <v>1387</v>
      </c>
      <c r="E1488" t="s">
        <v>1388</v>
      </c>
      <c r="F1488" t="s">
        <v>222</v>
      </c>
      <c r="G1488" t="s">
        <v>1389</v>
      </c>
      <c r="H1488" t="s">
        <v>280</v>
      </c>
      <c r="I1488" t="s">
        <v>97</v>
      </c>
      <c r="J1488" t="s">
        <v>98</v>
      </c>
      <c r="K1488" t="s">
        <v>69</v>
      </c>
      <c r="L1488" t="s">
        <v>1390</v>
      </c>
      <c r="M1488" t="s">
        <v>71</v>
      </c>
      <c r="N1488" t="s">
        <v>100</v>
      </c>
      <c r="O1488" t="s">
        <v>1391</v>
      </c>
      <c r="P1488" t="s">
        <v>1392</v>
      </c>
      <c r="R1488" t="s">
        <v>1393</v>
      </c>
      <c r="S1488" t="s">
        <v>223</v>
      </c>
      <c r="T1488" t="s">
        <v>274</v>
      </c>
      <c r="U1488" t="s">
        <v>104</v>
      </c>
      <c r="V1488" t="s">
        <v>1394</v>
      </c>
      <c r="W1488">
        <v>890</v>
      </c>
      <c r="X1488">
        <v>39.99</v>
      </c>
      <c r="Y1488">
        <v>115</v>
      </c>
      <c r="Z1488">
        <v>639000</v>
      </c>
      <c r="AA1488">
        <v>71200</v>
      </c>
      <c r="AB1488">
        <v>182</v>
      </c>
      <c r="AD1488" t="s">
        <v>238</v>
      </c>
      <c r="AE1488">
        <v>1</v>
      </c>
      <c r="AF1488">
        <v>0</v>
      </c>
      <c r="AI1488">
        <v>0</v>
      </c>
      <c r="AJ1488">
        <v>25</v>
      </c>
      <c r="AK1488">
        <v>25</v>
      </c>
      <c r="AL1488">
        <v>80</v>
      </c>
      <c r="AM1488">
        <v>0</v>
      </c>
      <c r="AN1488">
        <v>0</v>
      </c>
      <c r="AO1488">
        <v>0</v>
      </c>
      <c r="AP1488" t="s">
        <v>69</v>
      </c>
      <c r="AS1488" t="s">
        <v>86</v>
      </c>
      <c r="AT1488" t="s">
        <v>240</v>
      </c>
      <c r="AU1488" t="s">
        <v>240</v>
      </c>
      <c r="AV1488" t="s">
        <v>1395</v>
      </c>
      <c r="AW1488" t="s">
        <v>69</v>
      </c>
      <c r="AX1488" t="s">
        <v>126</v>
      </c>
      <c r="AY1488" t="s">
        <v>1396</v>
      </c>
      <c r="AZ1488" t="s">
        <v>264</v>
      </c>
      <c r="BA1488" t="s">
        <v>243</v>
      </c>
      <c r="BB1488" t="s">
        <v>264</v>
      </c>
      <c r="BC1488" t="s">
        <v>264</v>
      </c>
      <c r="BD1488" t="s">
        <v>4184</v>
      </c>
      <c r="BE1488" t="s">
        <v>4182</v>
      </c>
      <c r="BF1488" t="s">
        <v>279</v>
      </c>
      <c r="BG1488" t="s">
        <v>110</v>
      </c>
      <c r="BH1488" t="str">
        <f>IF(COUNTIF(工作表1!A:A, $C1488)&gt;0, "預購款", "非預購款")</f>
        <v>非預購款</v>
      </c>
    </row>
    <row r="1489" spans="1:60" x14ac:dyDescent="0.25">
      <c r="A1489" t="s">
        <v>3994</v>
      </c>
      <c r="B1489" t="s">
        <v>576</v>
      </c>
      <c r="C1489" t="s">
        <v>3995</v>
      </c>
      <c r="D1489" t="s">
        <v>3996</v>
      </c>
      <c r="E1489" t="s">
        <v>3997</v>
      </c>
      <c r="F1489" t="s">
        <v>222</v>
      </c>
      <c r="G1489" t="s">
        <v>3998</v>
      </c>
      <c r="H1489" t="s">
        <v>273</v>
      </c>
      <c r="I1489" t="s">
        <v>120</v>
      </c>
      <c r="J1489" t="s">
        <v>121</v>
      </c>
      <c r="K1489" t="s">
        <v>69</v>
      </c>
      <c r="L1489" t="s">
        <v>3987</v>
      </c>
      <c r="M1489" t="s">
        <v>71</v>
      </c>
      <c r="N1489" t="s">
        <v>198</v>
      </c>
      <c r="O1489" t="s">
        <v>3966</v>
      </c>
      <c r="P1489" t="s">
        <v>3967</v>
      </c>
      <c r="R1489" t="s">
        <v>1798</v>
      </c>
      <c r="S1489" t="s">
        <v>223</v>
      </c>
      <c r="T1489" t="s">
        <v>274</v>
      </c>
      <c r="U1489" t="s">
        <v>684</v>
      </c>
      <c r="V1489" t="s">
        <v>685</v>
      </c>
      <c r="W1489">
        <v>1080</v>
      </c>
      <c r="X1489">
        <v>44.99</v>
      </c>
      <c r="Y1489">
        <v>139</v>
      </c>
      <c r="Z1489">
        <v>779000</v>
      </c>
      <c r="AA1489">
        <v>167400</v>
      </c>
      <c r="AB1489">
        <v>300</v>
      </c>
      <c r="AD1489" t="s">
        <v>238</v>
      </c>
      <c r="AE1489">
        <v>1</v>
      </c>
      <c r="AF1489">
        <v>0</v>
      </c>
      <c r="AI1489">
        <v>40</v>
      </c>
      <c r="AJ1489">
        <v>40</v>
      </c>
      <c r="AK1489">
        <v>80</v>
      </c>
      <c r="AL1489">
        <v>155</v>
      </c>
      <c r="AM1489">
        <v>0</v>
      </c>
      <c r="AN1489">
        <v>0</v>
      </c>
      <c r="AO1489">
        <v>0</v>
      </c>
      <c r="AP1489" t="s">
        <v>69</v>
      </c>
      <c r="AS1489" t="s">
        <v>86</v>
      </c>
      <c r="AT1489" t="s">
        <v>86</v>
      </c>
      <c r="AU1489" t="s">
        <v>86</v>
      </c>
      <c r="AV1489" t="s">
        <v>3190</v>
      </c>
      <c r="AW1489" t="s">
        <v>69</v>
      </c>
      <c r="AX1489" t="s">
        <v>126</v>
      </c>
      <c r="AY1489" t="s">
        <v>3999</v>
      </c>
      <c r="AZ1489" t="s">
        <v>264</v>
      </c>
      <c r="BA1489" t="s">
        <v>245</v>
      </c>
      <c r="BB1489" t="s">
        <v>244</v>
      </c>
      <c r="BC1489" t="s">
        <v>244</v>
      </c>
      <c r="BD1489" t="s">
        <v>4000</v>
      </c>
      <c r="BE1489" t="s">
        <v>4185</v>
      </c>
      <c r="BF1489" t="s">
        <v>279</v>
      </c>
      <c r="BG1489" t="s">
        <v>110</v>
      </c>
      <c r="BH1489" t="str">
        <f>IF(COUNTIF(工作表1!A:A, $C1489)&gt;0, "預購款", "非預購款")</f>
        <v>非預購款</v>
      </c>
    </row>
    <row r="1490" spans="1:60" x14ac:dyDescent="0.25">
      <c r="A1490" t="s">
        <v>3994</v>
      </c>
      <c r="B1490" t="s">
        <v>576</v>
      </c>
      <c r="C1490" t="s">
        <v>3995</v>
      </c>
      <c r="D1490" t="s">
        <v>3996</v>
      </c>
      <c r="E1490" t="s">
        <v>3997</v>
      </c>
      <c r="F1490" t="s">
        <v>222</v>
      </c>
      <c r="G1490" t="s">
        <v>3998</v>
      </c>
      <c r="H1490" t="s">
        <v>501</v>
      </c>
      <c r="I1490" t="s">
        <v>120</v>
      </c>
      <c r="J1490" t="s">
        <v>121</v>
      </c>
      <c r="K1490" t="s">
        <v>69</v>
      </c>
      <c r="L1490" t="s">
        <v>3987</v>
      </c>
      <c r="M1490" t="s">
        <v>71</v>
      </c>
      <c r="N1490" t="s">
        <v>198</v>
      </c>
      <c r="O1490" t="s">
        <v>3966</v>
      </c>
      <c r="P1490" t="s">
        <v>3967</v>
      </c>
      <c r="R1490" t="s">
        <v>1798</v>
      </c>
      <c r="S1490" t="s">
        <v>223</v>
      </c>
      <c r="T1490" t="s">
        <v>274</v>
      </c>
      <c r="U1490" t="s">
        <v>684</v>
      </c>
      <c r="V1490" t="s">
        <v>685</v>
      </c>
      <c r="W1490">
        <v>1080</v>
      </c>
      <c r="X1490">
        <v>44.99</v>
      </c>
      <c r="Y1490">
        <v>139</v>
      </c>
      <c r="Z1490">
        <v>779000</v>
      </c>
      <c r="AA1490">
        <v>167400</v>
      </c>
      <c r="AB1490">
        <v>300</v>
      </c>
      <c r="AD1490" t="s">
        <v>238</v>
      </c>
      <c r="AE1490">
        <v>1</v>
      </c>
      <c r="AF1490">
        <v>0</v>
      </c>
      <c r="AI1490">
        <v>10</v>
      </c>
      <c r="AJ1490">
        <v>20</v>
      </c>
      <c r="AK1490">
        <v>30</v>
      </c>
      <c r="AL1490">
        <v>155</v>
      </c>
      <c r="AM1490">
        <v>0</v>
      </c>
      <c r="AN1490">
        <v>0</v>
      </c>
      <c r="AO1490">
        <v>0</v>
      </c>
      <c r="AP1490" t="s">
        <v>69</v>
      </c>
      <c r="AS1490" t="s">
        <v>86</v>
      </c>
      <c r="AT1490" t="s">
        <v>86</v>
      </c>
      <c r="AU1490" t="s">
        <v>86</v>
      </c>
      <c r="AV1490" t="s">
        <v>3190</v>
      </c>
      <c r="AW1490" t="s">
        <v>69</v>
      </c>
      <c r="AX1490" t="s">
        <v>126</v>
      </c>
      <c r="AY1490" t="s">
        <v>3999</v>
      </c>
      <c r="AZ1490" t="s">
        <v>264</v>
      </c>
      <c r="BA1490" t="s">
        <v>245</v>
      </c>
      <c r="BB1490" t="s">
        <v>244</v>
      </c>
      <c r="BC1490" t="s">
        <v>244</v>
      </c>
      <c r="BD1490" t="s">
        <v>4002</v>
      </c>
      <c r="BE1490" t="s">
        <v>4185</v>
      </c>
      <c r="BF1490" t="s">
        <v>279</v>
      </c>
      <c r="BG1490" t="s">
        <v>110</v>
      </c>
      <c r="BH1490" t="str">
        <f>IF(COUNTIF(工作表1!A:A, $C1490)&gt;0, "預購款", "非預購款")</f>
        <v>非預購款</v>
      </c>
    </row>
    <row r="1491" spans="1:60" x14ac:dyDescent="0.25">
      <c r="A1491" t="s">
        <v>3994</v>
      </c>
      <c r="B1491" t="s">
        <v>576</v>
      </c>
      <c r="C1491" t="s">
        <v>3995</v>
      </c>
      <c r="D1491" t="s">
        <v>3996</v>
      </c>
      <c r="E1491" t="s">
        <v>3997</v>
      </c>
      <c r="F1491" t="s">
        <v>222</v>
      </c>
      <c r="G1491" t="s">
        <v>3998</v>
      </c>
      <c r="H1491" t="s">
        <v>280</v>
      </c>
      <c r="I1491" t="s">
        <v>120</v>
      </c>
      <c r="J1491" t="s">
        <v>121</v>
      </c>
      <c r="K1491" t="s">
        <v>69</v>
      </c>
      <c r="L1491" t="s">
        <v>3987</v>
      </c>
      <c r="M1491" t="s">
        <v>71</v>
      </c>
      <c r="N1491" t="s">
        <v>198</v>
      </c>
      <c r="O1491" t="s">
        <v>3966</v>
      </c>
      <c r="P1491" t="s">
        <v>3967</v>
      </c>
      <c r="R1491" t="s">
        <v>1798</v>
      </c>
      <c r="S1491" t="s">
        <v>223</v>
      </c>
      <c r="T1491" t="s">
        <v>274</v>
      </c>
      <c r="U1491" t="s">
        <v>684</v>
      </c>
      <c r="V1491" t="s">
        <v>685</v>
      </c>
      <c r="W1491">
        <v>1080</v>
      </c>
      <c r="X1491">
        <v>44.99</v>
      </c>
      <c r="Y1491">
        <v>139</v>
      </c>
      <c r="Z1491">
        <v>779000</v>
      </c>
      <c r="AA1491">
        <v>167400</v>
      </c>
      <c r="AB1491">
        <v>300</v>
      </c>
      <c r="AD1491" t="s">
        <v>238</v>
      </c>
      <c r="AE1491">
        <v>1</v>
      </c>
      <c r="AF1491">
        <v>0</v>
      </c>
      <c r="AI1491">
        <v>15</v>
      </c>
      <c r="AJ1491">
        <v>30</v>
      </c>
      <c r="AK1491">
        <v>45</v>
      </c>
      <c r="AL1491">
        <v>155</v>
      </c>
      <c r="AM1491">
        <v>0</v>
      </c>
      <c r="AN1491">
        <v>0</v>
      </c>
      <c r="AO1491">
        <v>0</v>
      </c>
      <c r="AP1491" t="s">
        <v>69</v>
      </c>
      <c r="AS1491" t="s">
        <v>86</v>
      </c>
      <c r="AT1491" t="s">
        <v>86</v>
      </c>
      <c r="AU1491" t="s">
        <v>86</v>
      </c>
      <c r="AV1491" t="s">
        <v>3190</v>
      </c>
      <c r="AW1491" t="s">
        <v>69</v>
      </c>
      <c r="AX1491" t="s">
        <v>126</v>
      </c>
      <c r="AY1491" t="s">
        <v>3999</v>
      </c>
      <c r="AZ1491" t="s">
        <v>264</v>
      </c>
      <c r="BA1491" t="s">
        <v>245</v>
      </c>
      <c r="BB1491" t="s">
        <v>244</v>
      </c>
      <c r="BC1491" t="s">
        <v>244</v>
      </c>
      <c r="BD1491" t="s">
        <v>4003</v>
      </c>
      <c r="BE1491" t="s">
        <v>4185</v>
      </c>
      <c r="BF1491" t="s">
        <v>279</v>
      </c>
      <c r="BG1491" t="s">
        <v>110</v>
      </c>
      <c r="BH1491" t="str">
        <f>IF(COUNTIF(工作表1!A:A, $C1491)&gt;0, "預購款", "非預購款")</f>
        <v>非預購款</v>
      </c>
    </row>
    <row r="1492" spans="1:60" x14ac:dyDescent="0.25">
      <c r="A1492" t="s">
        <v>4186</v>
      </c>
      <c r="B1492" t="s">
        <v>576</v>
      </c>
      <c r="C1492" t="s">
        <v>4187</v>
      </c>
      <c r="D1492" t="s">
        <v>4188</v>
      </c>
      <c r="E1492" t="s">
        <v>4189</v>
      </c>
      <c r="F1492" t="s">
        <v>222</v>
      </c>
      <c r="G1492" t="s">
        <v>4190</v>
      </c>
      <c r="H1492" t="s">
        <v>119</v>
      </c>
      <c r="I1492" t="s">
        <v>214</v>
      </c>
      <c r="J1492" t="s">
        <v>215</v>
      </c>
      <c r="K1492" t="s">
        <v>69</v>
      </c>
      <c r="L1492" t="s">
        <v>4191</v>
      </c>
      <c r="M1492" t="s">
        <v>71</v>
      </c>
      <c r="N1492" t="s">
        <v>198</v>
      </c>
      <c r="O1492" t="s">
        <v>199</v>
      </c>
      <c r="P1492" t="s">
        <v>200</v>
      </c>
      <c r="R1492" t="s">
        <v>4192</v>
      </c>
      <c r="S1492" t="s">
        <v>223</v>
      </c>
      <c r="T1492" t="s">
        <v>76</v>
      </c>
      <c r="U1492" t="s">
        <v>502</v>
      </c>
      <c r="V1492" t="s">
        <v>2876</v>
      </c>
      <c r="W1492">
        <v>1280</v>
      </c>
      <c r="X1492">
        <v>49.99</v>
      </c>
      <c r="Y1492">
        <v>169</v>
      </c>
      <c r="Z1492">
        <v>919000</v>
      </c>
      <c r="AA1492">
        <v>281600</v>
      </c>
      <c r="AB1492">
        <v>586</v>
      </c>
      <c r="AD1492" t="s">
        <v>238</v>
      </c>
      <c r="AE1492">
        <v>2</v>
      </c>
      <c r="AF1492">
        <v>0</v>
      </c>
      <c r="AI1492">
        <v>0</v>
      </c>
      <c r="AJ1492">
        <v>70</v>
      </c>
      <c r="AK1492">
        <v>70</v>
      </c>
      <c r="AL1492">
        <v>220</v>
      </c>
      <c r="AM1492">
        <v>0</v>
      </c>
      <c r="AN1492">
        <v>0</v>
      </c>
      <c r="AO1492">
        <v>0</v>
      </c>
      <c r="AP1492" t="s">
        <v>69</v>
      </c>
      <c r="AR1492" t="s">
        <v>86</v>
      </c>
      <c r="AS1492" t="s">
        <v>86</v>
      </c>
      <c r="AT1492" t="s">
        <v>86</v>
      </c>
      <c r="AU1492" t="s">
        <v>86</v>
      </c>
      <c r="AV1492" t="s">
        <v>3566</v>
      </c>
      <c r="AW1492" t="s">
        <v>69</v>
      </c>
      <c r="AX1492" t="s">
        <v>4013</v>
      </c>
      <c r="AY1492" t="s">
        <v>4193</v>
      </c>
      <c r="AZ1492" t="s">
        <v>264</v>
      </c>
      <c r="BA1492" t="s">
        <v>245</v>
      </c>
      <c r="BB1492" t="s">
        <v>244</v>
      </c>
      <c r="BC1492" t="s">
        <v>244</v>
      </c>
      <c r="BD1492" t="s">
        <v>4195</v>
      </c>
      <c r="BE1492" t="s">
        <v>4194</v>
      </c>
      <c r="BF1492" t="s">
        <v>86</v>
      </c>
      <c r="BG1492" t="s">
        <v>110</v>
      </c>
      <c r="BH1492" t="str">
        <f>IF(COUNTIF(工作表1!A:A, $C1492)&gt;0, "預購款", "非預購款")</f>
        <v>非預購款</v>
      </c>
    </row>
    <row r="1493" spans="1:60" x14ac:dyDescent="0.25">
      <c r="A1493" t="s">
        <v>4186</v>
      </c>
      <c r="B1493" t="s">
        <v>576</v>
      </c>
      <c r="C1493" t="s">
        <v>4187</v>
      </c>
      <c r="D1493" t="s">
        <v>4188</v>
      </c>
      <c r="E1493" t="s">
        <v>4189</v>
      </c>
      <c r="F1493" t="s">
        <v>222</v>
      </c>
      <c r="G1493" t="s">
        <v>4190</v>
      </c>
      <c r="H1493" t="s">
        <v>130</v>
      </c>
      <c r="I1493" t="s">
        <v>214</v>
      </c>
      <c r="J1493" t="s">
        <v>215</v>
      </c>
      <c r="K1493" t="s">
        <v>69</v>
      </c>
      <c r="L1493" t="s">
        <v>4191</v>
      </c>
      <c r="M1493" t="s">
        <v>71</v>
      </c>
      <c r="N1493" t="s">
        <v>198</v>
      </c>
      <c r="O1493" t="s">
        <v>199</v>
      </c>
      <c r="P1493" t="s">
        <v>200</v>
      </c>
      <c r="R1493" t="s">
        <v>4192</v>
      </c>
      <c r="S1493" t="s">
        <v>223</v>
      </c>
      <c r="T1493" t="s">
        <v>76</v>
      </c>
      <c r="U1493" t="s">
        <v>502</v>
      </c>
      <c r="V1493" t="s">
        <v>2876</v>
      </c>
      <c r="W1493">
        <v>1280</v>
      </c>
      <c r="X1493">
        <v>49.99</v>
      </c>
      <c r="Y1493">
        <v>169</v>
      </c>
      <c r="Z1493">
        <v>919000</v>
      </c>
      <c r="AA1493">
        <v>281600</v>
      </c>
      <c r="AB1493">
        <v>586</v>
      </c>
      <c r="AD1493" t="s">
        <v>238</v>
      </c>
      <c r="AE1493">
        <v>2</v>
      </c>
      <c r="AF1493">
        <v>0</v>
      </c>
      <c r="AI1493">
        <v>0</v>
      </c>
      <c r="AJ1493">
        <v>45</v>
      </c>
      <c r="AK1493">
        <v>45</v>
      </c>
      <c r="AL1493">
        <v>220</v>
      </c>
      <c r="AM1493">
        <v>0</v>
      </c>
      <c r="AN1493">
        <v>0</v>
      </c>
      <c r="AO1493">
        <v>0</v>
      </c>
      <c r="AP1493" t="s">
        <v>69</v>
      </c>
      <c r="AR1493" t="s">
        <v>86</v>
      </c>
      <c r="AS1493" t="s">
        <v>86</v>
      </c>
      <c r="AT1493" t="s">
        <v>86</v>
      </c>
      <c r="AU1493" t="s">
        <v>86</v>
      </c>
      <c r="AV1493" t="s">
        <v>3566</v>
      </c>
      <c r="AW1493" t="s">
        <v>69</v>
      </c>
      <c r="AX1493" t="s">
        <v>4013</v>
      </c>
      <c r="AY1493" t="s">
        <v>4193</v>
      </c>
      <c r="AZ1493" t="s">
        <v>264</v>
      </c>
      <c r="BA1493" t="s">
        <v>245</v>
      </c>
      <c r="BB1493" t="s">
        <v>244</v>
      </c>
      <c r="BC1493" t="s">
        <v>244</v>
      </c>
      <c r="BD1493" t="s">
        <v>4196</v>
      </c>
      <c r="BE1493" t="s">
        <v>4194</v>
      </c>
      <c r="BF1493" t="s">
        <v>86</v>
      </c>
      <c r="BG1493" t="s">
        <v>110</v>
      </c>
      <c r="BH1493" t="str">
        <f>IF(COUNTIF(工作表1!A:A, $C1493)&gt;0, "預購款", "非預購款")</f>
        <v>非預購款</v>
      </c>
    </row>
    <row r="1494" spans="1:60" x14ac:dyDescent="0.25">
      <c r="A1494" t="s">
        <v>4186</v>
      </c>
      <c r="B1494" t="s">
        <v>576</v>
      </c>
      <c r="C1494" t="s">
        <v>4187</v>
      </c>
      <c r="D1494" t="s">
        <v>4188</v>
      </c>
      <c r="E1494" t="s">
        <v>4189</v>
      </c>
      <c r="F1494" t="s">
        <v>222</v>
      </c>
      <c r="G1494" t="s">
        <v>4190</v>
      </c>
      <c r="H1494" t="s">
        <v>132</v>
      </c>
      <c r="I1494" t="s">
        <v>214</v>
      </c>
      <c r="J1494" t="s">
        <v>215</v>
      </c>
      <c r="K1494" t="s">
        <v>69</v>
      </c>
      <c r="L1494" t="s">
        <v>4191</v>
      </c>
      <c r="M1494" t="s">
        <v>71</v>
      </c>
      <c r="N1494" t="s">
        <v>198</v>
      </c>
      <c r="O1494" t="s">
        <v>199</v>
      </c>
      <c r="P1494" t="s">
        <v>200</v>
      </c>
      <c r="R1494" t="s">
        <v>4192</v>
      </c>
      <c r="S1494" t="s">
        <v>223</v>
      </c>
      <c r="T1494" t="s">
        <v>76</v>
      </c>
      <c r="U1494" t="s">
        <v>502</v>
      </c>
      <c r="V1494" t="s">
        <v>2876</v>
      </c>
      <c r="W1494">
        <v>1280</v>
      </c>
      <c r="X1494">
        <v>49.99</v>
      </c>
      <c r="Y1494">
        <v>169</v>
      </c>
      <c r="Z1494">
        <v>919000</v>
      </c>
      <c r="AA1494">
        <v>281600</v>
      </c>
      <c r="AB1494">
        <v>586</v>
      </c>
      <c r="AD1494" t="s">
        <v>238</v>
      </c>
      <c r="AE1494">
        <v>2</v>
      </c>
      <c r="AF1494">
        <v>0</v>
      </c>
      <c r="AI1494">
        <v>0</v>
      </c>
      <c r="AJ1494">
        <v>20</v>
      </c>
      <c r="AK1494">
        <v>20</v>
      </c>
      <c r="AL1494">
        <v>220</v>
      </c>
      <c r="AM1494">
        <v>0</v>
      </c>
      <c r="AN1494">
        <v>0</v>
      </c>
      <c r="AO1494">
        <v>0</v>
      </c>
      <c r="AP1494" t="s">
        <v>69</v>
      </c>
      <c r="AR1494" t="s">
        <v>86</v>
      </c>
      <c r="AS1494" t="s">
        <v>86</v>
      </c>
      <c r="AT1494" t="s">
        <v>86</v>
      </c>
      <c r="AU1494" t="s">
        <v>86</v>
      </c>
      <c r="AV1494" t="s">
        <v>3566</v>
      </c>
      <c r="AW1494" t="s">
        <v>69</v>
      </c>
      <c r="AX1494" t="s">
        <v>4013</v>
      </c>
      <c r="AY1494" t="s">
        <v>4193</v>
      </c>
      <c r="AZ1494" t="s">
        <v>264</v>
      </c>
      <c r="BA1494" t="s">
        <v>245</v>
      </c>
      <c r="BB1494" t="s">
        <v>244</v>
      </c>
      <c r="BC1494" t="s">
        <v>244</v>
      </c>
      <c r="BD1494" t="s">
        <v>4197</v>
      </c>
      <c r="BE1494" t="s">
        <v>4194</v>
      </c>
      <c r="BF1494" t="s">
        <v>86</v>
      </c>
      <c r="BG1494" t="s">
        <v>110</v>
      </c>
      <c r="BH1494" t="str">
        <f>IF(COUNTIF(工作表1!A:A, $C1494)&gt;0, "預購款", "非預購款")</f>
        <v>非預購款</v>
      </c>
    </row>
    <row r="1495" spans="1:60" x14ac:dyDescent="0.25">
      <c r="A1495" t="s">
        <v>4198</v>
      </c>
      <c r="B1495" t="s">
        <v>576</v>
      </c>
      <c r="C1495" t="s">
        <v>4199</v>
      </c>
      <c r="D1495" t="s">
        <v>4200</v>
      </c>
      <c r="E1495" t="s">
        <v>4201</v>
      </c>
      <c r="F1495" t="s">
        <v>222</v>
      </c>
      <c r="G1495" t="s">
        <v>4202</v>
      </c>
      <c r="H1495" t="s">
        <v>119</v>
      </c>
      <c r="I1495" t="s">
        <v>97</v>
      </c>
      <c r="J1495" t="s">
        <v>98</v>
      </c>
      <c r="K1495" t="s">
        <v>69</v>
      </c>
      <c r="L1495" t="s">
        <v>4203</v>
      </c>
      <c r="M1495" t="s">
        <v>71</v>
      </c>
      <c r="N1495" t="s">
        <v>198</v>
      </c>
      <c r="O1495" t="s">
        <v>199</v>
      </c>
      <c r="P1495" t="s">
        <v>200</v>
      </c>
      <c r="R1495" t="s">
        <v>4192</v>
      </c>
      <c r="S1495" t="s">
        <v>223</v>
      </c>
      <c r="T1495" t="s">
        <v>291</v>
      </c>
      <c r="U1495" t="s">
        <v>735</v>
      </c>
      <c r="V1495" t="s">
        <v>736</v>
      </c>
      <c r="W1495">
        <v>990</v>
      </c>
      <c r="X1495">
        <v>39.99</v>
      </c>
      <c r="Y1495">
        <v>129</v>
      </c>
      <c r="Z1495">
        <v>709000</v>
      </c>
      <c r="AA1495">
        <v>143550</v>
      </c>
      <c r="AB1495">
        <v>342</v>
      </c>
      <c r="AD1495" t="s">
        <v>238</v>
      </c>
      <c r="AE1495">
        <v>1</v>
      </c>
      <c r="AF1495">
        <v>0</v>
      </c>
      <c r="AI1495">
        <v>25</v>
      </c>
      <c r="AJ1495">
        <v>60</v>
      </c>
      <c r="AK1495">
        <v>85</v>
      </c>
      <c r="AL1495">
        <v>145</v>
      </c>
      <c r="AM1495">
        <v>0</v>
      </c>
      <c r="AN1495">
        <v>0</v>
      </c>
      <c r="AO1495">
        <v>0</v>
      </c>
      <c r="AP1495" t="s">
        <v>69</v>
      </c>
      <c r="AT1495" t="s">
        <v>86</v>
      </c>
      <c r="AU1495" t="s">
        <v>86</v>
      </c>
      <c r="AV1495" t="s">
        <v>4204</v>
      </c>
      <c r="AW1495" t="s">
        <v>69</v>
      </c>
      <c r="AX1495" t="s">
        <v>218</v>
      </c>
      <c r="AY1495" t="s">
        <v>4205</v>
      </c>
      <c r="AZ1495" t="s">
        <v>244</v>
      </c>
      <c r="BA1495" t="s">
        <v>245</v>
      </c>
      <c r="BB1495" t="s">
        <v>244</v>
      </c>
      <c r="BC1495" t="s">
        <v>244</v>
      </c>
      <c r="BD1495" t="s">
        <v>4206</v>
      </c>
      <c r="BE1495" t="s">
        <v>4207</v>
      </c>
      <c r="BF1495" t="s">
        <v>291</v>
      </c>
      <c r="BG1495" t="s">
        <v>110</v>
      </c>
      <c r="BH1495" t="str">
        <f>IF(COUNTIF(工作表1!A:A, $C1495)&gt;0, "預購款", "非預購款")</f>
        <v>非預購款</v>
      </c>
    </row>
    <row r="1496" spans="1:60" x14ac:dyDescent="0.25">
      <c r="A1496" t="s">
        <v>4198</v>
      </c>
      <c r="B1496" t="s">
        <v>576</v>
      </c>
      <c r="C1496" t="s">
        <v>4199</v>
      </c>
      <c r="D1496" t="s">
        <v>4200</v>
      </c>
      <c r="E1496" t="s">
        <v>4201</v>
      </c>
      <c r="F1496" t="s">
        <v>222</v>
      </c>
      <c r="G1496" t="s">
        <v>4202</v>
      </c>
      <c r="H1496" t="s">
        <v>130</v>
      </c>
      <c r="I1496" t="s">
        <v>97</v>
      </c>
      <c r="J1496" t="s">
        <v>98</v>
      </c>
      <c r="K1496" t="s">
        <v>69</v>
      </c>
      <c r="L1496" t="s">
        <v>4203</v>
      </c>
      <c r="M1496" t="s">
        <v>71</v>
      </c>
      <c r="N1496" t="s">
        <v>198</v>
      </c>
      <c r="O1496" t="s">
        <v>199</v>
      </c>
      <c r="P1496" t="s">
        <v>200</v>
      </c>
      <c r="R1496" t="s">
        <v>4192</v>
      </c>
      <c r="S1496" t="s">
        <v>223</v>
      </c>
      <c r="T1496" t="s">
        <v>291</v>
      </c>
      <c r="U1496" t="s">
        <v>735</v>
      </c>
      <c r="V1496" t="s">
        <v>736</v>
      </c>
      <c r="W1496">
        <v>990</v>
      </c>
      <c r="X1496">
        <v>39.99</v>
      </c>
      <c r="Y1496">
        <v>129</v>
      </c>
      <c r="Z1496">
        <v>709000</v>
      </c>
      <c r="AA1496">
        <v>143550</v>
      </c>
      <c r="AB1496">
        <v>342</v>
      </c>
      <c r="AD1496" t="s">
        <v>238</v>
      </c>
      <c r="AE1496">
        <v>1</v>
      </c>
      <c r="AF1496">
        <v>0</v>
      </c>
      <c r="AI1496">
        <v>15</v>
      </c>
      <c r="AJ1496">
        <v>25</v>
      </c>
      <c r="AK1496">
        <v>40</v>
      </c>
      <c r="AL1496">
        <v>145</v>
      </c>
      <c r="AM1496">
        <v>0</v>
      </c>
      <c r="AN1496">
        <v>0</v>
      </c>
      <c r="AO1496">
        <v>0</v>
      </c>
      <c r="AP1496" t="s">
        <v>69</v>
      </c>
      <c r="AT1496" t="s">
        <v>86</v>
      </c>
      <c r="AU1496" t="s">
        <v>86</v>
      </c>
      <c r="AV1496" t="s">
        <v>4204</v>
      </c>
      <c r="AW1496" t="s">
        <v>69</v>
      </c>
      <c r="AX1496" t="s">
        <v>218</v>
      </c>
      <c r="AY1496" t="s">
        <v>4205</v>
      </c>
      <c r="AZ1496" t="s">
        <v>244</v>
      </c>
      <c r="BA1496" t="s">
        <v>245</v>
      </c>
      <c r="BB1496" t="s">
        <v>244</v>
      </c>
      <c r="BC1496" t="s">
        <v>244</v>
      </c>
      <c r="BD1496" t="s">
        <v>4208</v>
      </c>
      <c r="BE1496" t="s">
        <v>4207</v>
      </c>
      <c r="BF1496" t="s">
        <v>291</v>
      </c>
      <c r="BG1496" t="s">
        <v>110</v>
      </c>
      <c r="BH1496" t="str">
        <f>IF(COUNTIF(工作表1!A:A, $C1496)&gt;0, "預購款", "非預購款")</f>
        <v>非預購款</v>
      </c>
    </row>
    <row r="1497" spans="1:60" x14ac:dyDescent="0.25">
      <c r="A1497" t="s">
        <v>4198</v>
      </c>
      <c r="B1497" t="s">
        <v>576</v>
      </c>
      <c r="C1497" t="s">
        <v>4199</v>
      </c>
      <c r="D1497" t="s">
        <v>4200</v>
      </c>
      <c r="E1497" t="s">
        <v>4201</v>
      </c>
      <c r="F1497" t="s">
        <v>222</v>
      </c>
      <c r="G1497" t="s">
        <v>4202</v>
      </c>
      <c r="H1497" t="s">
        <v>132</v>
      </c>
      <c r="I1497" t="s">
        <v>97</v>
      </c>
      <c r="J1497" t="s">
        <v>98</v>
      </c>
      <c r="K1497" t="s">
        <v>69</v>
      </c>
      <c r="L1497" t="s">
        <v>4203</v>
      </c>
      <c r="M1497" t="s">
        <v>71</v>
      </c>
      <c r="N1497" t="s">
        <v>198</v>
      </c>
      <c r="O1497" t="s">
        <v>199</v>
      </c>
      <c r="P1497" t="s">
        <v>200</v>
      </c>
      <c r="R1497" t="s">
        <v>4192</v>
      </c>
      <c r="S1497" t="s">
        <v>223</v>
      </c>
      <c r="T1497" t="s">
        <v>291</v>
      </c>
      <c r="U1497" t="s">
        <v>735</v>
      </c>
      <c r="V1497" t="s">
        <v>736</v>
      </c>
      <c r="W1497">
        <v>990</v>
      </c>
      <c r="X1497">
        <v>39.99</v>
      </c>
      <c r="Y1497">
        <v>129</v>
      </c>
      <c r="Z1497">
        <v>709000</v>
      </c>
      <c r="AA1497">
        <v>143550</v>
      </c>
      <c r="AB1497">
        <v>342</v>
      </c>
      <c r="AD1497" t="s">
        <v>238</v>
      </c>
      <c r="AE1497">
        <v>1</v>
      </c>
      <c r="AF1497">
        <v>0</v>
      </c>
      <c r="AI1497">
        <v>10</v>
      </c>
      <c r="AJ1497">
        <v>10</v>
      </c>
      <c r="AK1497">
        <v>20</v>
      </c>
      <c r="AL1497">
        <v>145</v>
      </c>
      <c r="AM1497">
        <v>0</v>
      </c>
      <c r="AN1497">
        <v>0</v>
      </c>
      <c r="AO1497">
        <v>0</v>
      </c>
      <c r="AP1497" t="s">
        <v>69</v>
      </c>
      <c r="AT1497" t="s">
        <v>86</v>
      </c>
      <c r="AU1497" t="s">
        <v>86</v>
      </c>
      <c r="AV1497" t="s">
        <v>4204</v>
      </c>
      <c r="AW1497" t="s">
        <v>69</v>
      </c>
      <c r="AX1497" t="s">
        <v>218</v>
      </c>
      <c r="AY1497" t="s">
        <v>4205</v>
      </c>
      <c r="AZ1497" t="s">
        <v>244</v>
      </c>
      <c r="BA1497" t="s">
        <v>245</v>
      </c>
      <c r="BB1497" t="s">
        <v>244</v>
      </c>
      <c r="BC1497" t="s">
        <v>244</v>
      </c>
      <c r="BD1497" t="s">
        <v>4209</v>
      </c>
      <c r="BE1497" t="s">
        <v>4207</v>
      </c>
      <c r="BF1497" t="s">
        <v>291</v>
      </c>
      <c r="BG1497" t="s">
        <v>110</v>
      </c>
      <c r="BH1497" t="str">
        <f>IF(COUNTIF(工作表1!A:A, $C1497)&gt;0, "預購款", "非預購款")</f>
        <v>非預購款</v>
      </c>
    </row>
    <row r="1498" spans="1:60" x14ac:dyDescent="0.25">
      <c r="A1498" t="s">
        <v>4210</v>
      </c>
      <c r="B1498" t="s">
        <v>576</v>
      </c>
      <c r="C1498" t="s">
        <v>4211</v>
      </c>
      <c r="D1498" t="s">
        <v>4212</v>
      </c>
      <c r="E1498" t="s">
        <v>4213</v>
      </c>
      <c r="F1498" t="s">
        <v>222</v>
      </c>
      <c r="G1498" t="s">
        <v>4214</v>
      </c>
      <c r="H1498" t="s">
        <v>66</v>
      </c>
      <c r="I1498" t="s">
        <v>88</v>
      </c>
      <c r="J1498" t="s">
        <v>89</v>
      </c>
      <c r="K1498" t="s">
        <v>69</v>
      </c>
      <c r="L1498" t="s">
        <v>4215</v>
      </c>
      <c r="M1498" t="s">
        <v>71</v>
      </c>
      <c r="N1498" t="s">
        <v>198</v>
      </c>
      <c r="O1498" t="s">
        <v>199</v>
      </c>
      <c r="P1498" t="s">
        <v>200</v>
      </c>
      <c r="R1498" t="s">
        <v>4192</v>
      </c>
      <c r="S1498" t="s">
        <v>223</v>
      </c>
      <c r="T1498" t="s">
        <v>76</v>
      </c>
      <c r="U1498" t="s">
        <v>104</v>
      </c>
      <c r="V1498" t="s">
        <v>99</v>
      </c>
      <c r="W1498">
        <v>790</v>
      </c>
      <c r="X1498">
        <v>34.99</v>
      </c>
      <c r="Y1498">
        <v>99</v>
      </c>
      <c r="Z1498">
        <v>569000</v>
      </c>
      <c r="AA1498">
        <v>197500</v>
      </c>
      <c r="AB1498">
        <v>248</v>
      </c>
      <c r="AD1498" t="s">
        <v>238</v>
      </c>
      <c r="AE1498">
        <v>1</v>
      </c>
      <c r="AF1498">
        <v>0</v>
      </c>
      <c r="AI1498">
        <v>0</v>
      </c>
      <c r="AJ1498">
        <v>250</v>
      </c>
      <c r="AK1498">
        <v>250</v>
      </c>
      <c r="AL1498">
        <v>250</v>
      </c>
      <c r="AM1498">
        <v>0</v>
      </c>
      <c r="AN1498">
        <v>0</v>
      </c>
      <c r="AO1498">
        <v>0</v>
      </c>
      <c r="AP1498" t="s">
        <v>69</v>
      </c>
      <c r="AR1498" t="s">
        <v>86</v>
      </c>
      <c r="AS1498" t="s">
        <v>86</v>
      </c>
      <c r="AT1498" t="s">
        <v>240</v>
      </c>
      <c r="AU1498" t="s">
        <v>86</v>
      </c>
      <c r="AV1498" t="s">
        <v>4216</v>
      </c>
      <c r="AW1498" t="s">
        <v>69</v>
      </c>
      <c r="AX1498" t="s">
        <v>82</v>
      </c>
      <c r="AY1498" t="s">
        <v>1676</v>
      </c>
      <c r="AZ1498" t="s">
        <v>264</v>
      </c>
      <c r="BA1498" t="s">
        <v>243</v>
      </c>
      <c r="BB1498" t="s">
        <v>244</v>
      </c>
      <c r="BC1498" t="s">
        <v>244</v>
      </c>
      <c r="BD1498" t="s">
        <v>4217</v>
      </c>
      <c r="BE1498" t="s">
        <v>4218</v>
      </c>
      <c r="BF1498" t="s">
        <v>86</v>
      </c>
      <c r="BG1498" t="s">
        <v>110</v>
      </c>
      <c r="BH1498" t="str">
        <f>IF(COUNTIF(工作表1!A:A, $C1498)&gt;0, "預購款", "非預購款")</f>
        <v>非預購款</v>
      </c>
    </row>
    <row r="1499" spans="1:60" x14ac:dyDescent="0.25">
      <c r="A1499" t="s">
        <v>2638</v>
      </c>
      <c r="B1499" t="s">
        <v>776</v>
      </c>
      <c r="C1499" t="s">
        <v>2639</v>
      </c>
      <c r="D1499" t="s">
        <v>2640</v>
      </c>
      <c r="E1499" t="s">
        <v>2641</v>
      </c>
      <c r="F1499" t="s">
        <v>222</v>
      </c>
      <c r="G1499" t="s">
        <v>2642</v>
      </c>
      <c r="H1499" t="s">
        <v>119</v>
      </c>
      <c r="I1499" t="s">
        <v>97</v>
      </c>
      <c r="J1499" t="s">
        <v>98</v>
      </c>
      <c r="K1499" t="s">
        <v>69</v>
      </c>
      <c r="L1499" t="s">
        <v>2643</v>
      </c>
      <c r="M1499" t="s">
        <v>71</v>
      </c>
      <c r="N1499" t="s">
        <v>100</v>
      </c>
      <c r="O1499" t="s">
        <v>2597</v>
      </c>
      <c r="P1499" t="s">
        <v>2598</v>
      </c>
      <c r="R1499" t="s">
        <v>2599</v>
      </c>
      <c r="S1499" t="s">
        <v>223</v>
      </c>
      <c r="T1499" t="s">
        <v>291</v>
      </c>
      <c r="U1499" t="s">
        <v>104</v>
      </c>
      <c r="V1499" t="s">
        <v>653</v>
      </c>
      <c r="W1499">
        <v>490</v>
      </c>
      <c r="X1499">
        <v>22.99</v>
      </c>
      <c r="Y1499">
        <v>60</v>
      </c>
      <c r="Z1499">
        <v>355000</v>
      </c>
      <c r="AA1499">
        <v>63700</v>
      </c>
      <c r="AB1499">
        <v>180</v>
      </c>
      <c r="AD1499" t="s">
        <v>238</v>
      </c>
      <c r="AE1499">
        <v>1</v>
      </c>
      <c r="AF1499">
        <v>0</v>
      </c>
      <c r="AI1499">
        <v>0</v>
      </c>
      <c r="AJ1499">
        <v>60</v>
      </c>
      <c r="AK1499">
        <v>60</v>
      </c>
      <c r="AL1499">
        <v>130</v>
      </c>
      <c r="AM1499">
        <v>0</v>
      </c>
      <c r="AN1499">
        <v>0</v>
      </c>
      <c r="AO1499">
        <v>0</v>
      </c>
      <c r="AP1499" t="s">
        <v>69</v>
      </c>
      <c r="AT1499" t="s">
        <v>240</v>
      </c>
      <c r="AU1499" t="s">
        <v>240</v>
      </c>
      <c r="AV1499" t="s">
        <v>2644</v>
      </c>
      <c r="AW1499" t="s">
        <v>69</v>
      </c>
      <c r="AX1499" t="s">
        <v>218</v>
      </c>
      <c r="AY1499" t="s">
        <v>2645</v>
      </c>
      <c r="AZ1499" t="s">
        <v>243</v>
      </c>
      <c r="BA1499" t="s">
        <v>245</v>
      </c>
      <c r="BB1499" t="s">
        <v>244</v>
      </c>
      <c r="BC1499" t="s">
        <v>264</v>
      </c>
      <c r="BD1499" t="s">
        <v>2650</v>
      </c>
      <c r="BE1499" t="s">
        <v>4221</v>
      </c>
      <c r="BF1499" t="s">
        <v>971</v>
      </c>
      <c r="BG1499" t="s">
        <v>150</v>
      </c>
      <c r="BH1499" t="str">
        <f>IF(COUNTIF(工作表1!A:A, $C1499)&gt;0, "預購款", "非預購款")</f>
        <v>非預購款</v>
      </c>
    </row>
    <row r="1500" spans="1:60" x14ac:dyDescent="0.25">
      <c r="A1500" t="s">
        <v>2638</v>
      </c>
      <c r="B1500" t="s">
        <v>776</v>
      </c>
      <c r="C1500" t="s">
        <v>2639</v>
      </c>
      <c r="D1500" t="s">
        <v>2640</v>
      </c>
      <c r="E1500" t="s">
        <v>2641</v>
      </c>
      <c r="F1500" t="s">
        <v>222</v>
      </c>
      <c r="G1500" t="s">
        <v>2642</v>
      </c>
      <c r="H1500" t="s">
        <v>130</v>
      </c>
      <c r="I1500" t="s">
        <v>97</v>
      </c>
      <c r="J1500" t="s">
        <v>98</v>
      </c>
      <c r="K1500" t="s">
        <v>69</v>
      </c>
      <c r="L1500" t="s">
        <v>2643</v>
      </c>
      <c r="M1500" t="s">
        <v>71</v>
      </c>
      <c r="N1500" t="s">
        <v>100</v>
      </c>
      <c r="O1500" t="s">
        <v>2597</v>
      </c>
      <c r="P1500" t="s">
        <v>2598</v>
      </c>
      <c r="R1500" t="s">
        <v>2599</v>
      </c>
      <c r="S1500" t="s">
        <v>223</v>
      </c>
      <c r="T1500" t="s">
        <v>291</v>
      </c>
      <c r="U1500" t="s">
        <v>104</v>
      </c>
      <c r="V1500" t="s">
        <v>653</v>
      </c>
      <c r="W1500">
        <v>490</v>
      </c>
      <c r="X1500">
        <v>22.99</v>
      </c>
      <c r="Y1500">
        <v>60</v>
      </c>
      <c r="Z1500">
        <v>355000</v>
      </c>
      <c r="AA1500">
        <v>63700</v>
      </c>
      <c r="AB1500">
        <v>180</v>
      </c>
      <c r="AD1500" t="s">
        <v>238</v>
      </c>
      <c r="AE1500">
        <v>1</v>
      </c>
      <c r="AF1500">
        <v>0</v>
      </c>
      <c r="AI1500">
        <v>0</v>
      </c>
      <c r="AJ1500">
        <v>50</v>
      </c>
      <c r="AK1500">
        <v>50</v>
      </c>
      <c r="AL1500">
        <v>130</v>
      </c>
      <c r="AM1500">
        <v>0</v>
      </c>
      <c r="AN1500">
        <v>0</v>
      </c>
      <c r="AO1500">
        <v>0</v>
      </c>
      <c r="AP1500" t="s">
        <v>69</v>
      </c>
      <c r="AT1500" t="s">
        <v>240</v>
      </c>
      <c r="AU1500" t="s">
        <v>240</v>
      </c>
      <c r="AV1500" t="s">
        <v>2644</v>
      </c>
      <c r="AW1500" t="s">
        <v>69</v>
      </c>
      <c r="AX1500" t="s">
        <v>218</v>
      </c>
      <c r="AY1500" t="s">
        <v>2645</v>
      </c>
      <c r="AZ1500" t="s">
        <v>243</v>
      </c>
      <c r="BA1500" t="s">
        <v>245</v>
      </c>
      <c r="BB1500" t="s">
        <v>244</v>
      </c>
      <c r="BC1500" t="s">
        <v>264</v>
      </c>
      <c r="BD1500" t="s">
        <v>2651</v>
      </c>
      <c r="BE1500" t="s">
        <v>4221</v>
      </c>
      <c r="BF1500" t="s">
        <v>971</v>
      </c>
      <c r="BG1500" t="s">
        <v>150</v>
      </c>
      <c r="BH1500" t="str">
        <f>IF(COUNTIF(工作表1!A:A, $C1500)&gt;0, "預購款", "非預購款")</f>
        <v>非預購款</v>
      </c>
    </row>
    <row r="1501" spans="1:60" x14ac:dyDescent="0.25">
      <c r="A1501" t="s">
        <v>2638</v>
      </c>
      <c r="B1501" t="s">
        <v>776</v>
      </c>
      <c r="C1501" t="s">
        <v>2639</v>
      </c>
      <c r="D1501" t="s">
        <v>2640</v>
      </c>
      <c r="E1501" t="s">
        <v>2641</v>
      </c>
      <c r="F1501" t="s">
        <v>222</v>
      </c>
      <c r="G1501" t="s">
        <v>2642</v>
      </c>
      <c r="H1501" t="s">
        <v>132</v>
      </c>
      <c r="I1501" t="s">
        <v>97</v>
      </c>
      <c r="J1501" t="s">
        <v>98</v>
      </c>
      <c r="K1501" t="s">
        <v>69</v>
      </c>
      <c r="L1501" t="s">
        <v>2643</v>
      </c>
      <c r="M1501" t="s">
        <v>71</v>
      </c>
      <c r="N1501" t="s">
        <v>100</v>
      </c>
      <c r="O1501" t="s">
        <v>2597</v>
      </c>
      <c r="P1501" t="s">
        <v>2598</v>
      </c>
      <c r="R1501" t="s">
        <v>2599</v>
      </c>
      <c r="S1501" t="s">
        <v>223</v>
      </c>
      <c r="T1501" t="s">
        <v>291</v>
      </c>
      <c r="U1501" t="s">
        <v>104</v>
      </c>
      <c r="V1501" t="s">
        <v>653</v>
      </c>
      <c r="W1501">
        <v>490</v>
      </c>
      <c r="X1501">
        <v>22.99</v>
      </c>
      <c r="Y1501">
        <v>60</v>
      </c>
      <c r="Z1501">
        <v>355000</v>
      </c>
      <c r="AA1501">
        <v>63700</v>
      </c>
      <c r="AB1501">
        <v>180</v>
      </c>
      <c r="AD1501" t="s">
        <v>238</v>
      </c>
      <c r="AE1501">
        <v>1</v>
      </c>
      <c r="AF1501">
        <v>0</v>
      </c>
      <c r="AI1501">
        <v>0</v>
      </c>
      <c r="AJ1501">
        <v>20</v>
      </c>
      <c r="AK1501">
        <v>20</v>
      </c>
      <c r="AL1501">
        <v>130</v>
      </c>
      <c r="AM1501">
        <v>0</v>
      </c>
      <c r="AN1501">
        <v>0</v>
      </c>
      <c r="AO1501">
        <v>0</v>
      </c>
      <c r="AP1501" t="s">
        <v>69</v>
      </c>
      <c r="AT1501" t="s">
        <v>240</v>
      </c>
      <c r="AU1501" t="s">
        <v>240</v>
      </c>
      <c r="AV1501" t="s">
        <v>2644</v>
      </c>
      <c r="AW1501" t="s">
        <v>69</v>
      </c>
      <c r="AX1501" t="s">
        <v>218</v>
      </c>
      <c r="AY1501" t="s">
        <v>2645</v>
      </c>
      <c r="AZ1501" t="s">
        <v>243</v>
      </c>
      <c r="BA1501" t="s">
        <v>245</v>
      </c>
      <c r="BB1501" t="s">
        <v>244</v>
      </c>
      <c r="BC1501" t="s">
        <v>264</v>
      </c>
      <c r="BD1501" t="s">
        <v>2652</v>
      </c>
      <c r="BE1501" t="s">
        <v>4221</v>
      </c>
      <c r="BF1501" t="s">
        <v>971</v>
      </c>
      <c r="BG1501" t="s">
        <v>150</v>
      </c>
      <c r="BH1501" t="str">
        <f>IF(COUNTIF(工作表1!A:A, $C1501)&gt;0, "預購款", "非預購款")</f>
        <v>非預購款</v>
      </c>
    </row>
    <row r="1502" spans="1:60" x14ac:dyDescent="0.25">
      <c r="A1502" t="s">
        <v>4032</v>
      </c>
      <c r="B1502" t="s">
        <v>226</v>
      </c>
      <c r="C1502" t="s">
        <v>4033</v>
      </c>
      <c r="D1502" t="s">
        <v>4034</v>
      </c>
      <c r="E1502" t="s">
        <v>4035</v>
      </c>
      <c r="F1502" t="s">
        <v>222</v>
      </c>
      <c r="G1502" t="s">
        <v>4036</v>
      </c>
      <c r="H1502" t="s">
        <v>379</v>
      </c>
      <c r="I1502" t="s">
        <v>120</v>
      </c>
      <c r="J1502" t="s">
        <v>121</v>
      </c>
      <c r="K1502" t="s">
        <v>69</v>
      </c>
      <c r="L1502" t="s">
        <v>4037</v>
      </c>
      <c r="M1502" t="s">
        <v>71</v>
      </c>
      <c r="N1502" t="s">
        <v>198</v>
      </c>
      <c r="O1502" t="s">
        <v>3966</v>
      </c>
      <c r="P1502" t="s">
        <v>3967</v>
      </c>
      <c r="R1502" t="s">
        <v>1798</v>
      </c>
      <c r="S1502" t="s">
        <v>223</v>
      </c>
      <c r="T1502" t="s">
        <v>76</v>
      </c>
      <c r="U1502" t="s">
        <v>104</v>
      </c>
      <c r="V1502" t="s">
        <v>653</v>
      </c>
      <c r="W1502">
        <v>490</v>
      </c>
      <c r="X1502">
        <v>22.99</v>
      </c>
      <c r="Y1502">
        <v>60</v>
      </c>
      <c r="Z1502">
        <v>355000</v>
      </c>
      <c r="AA1502">
        <v>507150</v>
      </c>
      <c r="AB1502">
        <v>170</v>
      </c>
      <c r="AD1502" t="s">
        <v>238</v>
      </c>
      <c r="AE1502">
        <v>3</v>
      </c>
      <c r="AF1502">
        <v>0</v>
      </c>
      <c r="AI1502">
        <v>30</v>
      </c>
      <c r="AJ1502">
        <v>20</v>
      </c>
      <c r="AK1502">
        <v>50</v>
      </c>
      <c r="AL1502">
        <v>1035</v>
      </c>
      <c r="AM1502">
        <v>0</v>
      </c>
      <c r="AN1502">
        <v>0</v>
      </c>
      <c r="AO1502">
        <v>0</v>
      </c>
      <c r="AP1502" t="s">
        <v>69</v>
      </c>
      <c r="AR1502" t="s">
        <v>240</v>
      </c>
      <c r="AS1502" t="s">
        <v>240</v>
      </c>
      <c r="AT1502" t="s">
        <v>264</v>
      </c>
      <c r="AU1502" t="s">
        <v>240</v>
      </c>
      <c r="AV1502" t="s">
        <v>4038</v>
      </c>
      <c r="AW1502" t="s">
        <v>80</v>
      </c>
      <c r="AX1502" t="s">
        <v>218</v>
      </c>
      <c r="AY1502" t="s">
        <v>4039</v>
      </c>
      <c r="AZ1502" t="s">
        <v>310</v>
      </c>
      <c r="BA1502" t="s">
        <v>264</v>
      </c>
      <c r="BB1502" t="s">
        <v>244</v>
      </c>
      <c r="BC1502" t="s">
        <v>244</v>
      </c>
      <c r="BD1502" t="s">
        <v>4040</v>
      </c>
      <c r="BE1502" t="s">
        <v>4222</v>
      </c>
      <c r="BF1502" t="s">
        <v>786</v>
      </c>
      <c r="BG1502" t="s">
        <v>150</v>
      </c>
      <c r="BH1502" t="str">
        <f>IF(COUNTIF(工作表1!A:A, $C1502)&gt;0, "預購款", "非預購款")</f>
        <v>非預購款</v>
      </c>
    </row>
    <row r="1503" spans="1:60" x14ac:dyDescent="0.25">
      <c r="A1503" t="s">
        <v>4032</v>
      </c>
      <c r="B1503" t="s">
        <v>226</v>
      </c>
      <c r="C1503" t="s">
        <v>4033</v>
      </c>
      <c r="D1503" t="s">
        <v>4034</v>
      </c>
      <c r="E1503" t="s">
        <v>4035</v>
      </c>
      <c r="F1503" t="s">
        <v>222</v>
      </c>
      <c r="G1503" t="s">
        <v>4036</v>
      </c>
      <c r="H1503" t="s">
        <v>119</v>
      </c>
      <c r="I1503" t="s">
        <v>120</v>
      </c>
      <c r="J1503" t="s">
        <v>121</v>
      </c>
      <c r="K1503" t="s">
        <v>69</v>
      </c>
      <c r="L1503" t="s">
        <v>4037</v>
      </c>
      <c r="M1503" t="s">
        <v>71</v>
      </c>
      <c r="N1503" t="s">
        <v>198</v>
      </c>
      <c r="O1503" t="s">
        <v>3966</v>
      </c>
      <c r="P1503" t="s">
        <v>3967</v>
      </c>
      <c r="R1503" t="s">
        <v>1798</v>
      </c>
      <c r="S1503" t="s">
        <v>223</v>
      </c>
      <c r="T1503" t="s">
        <v>76</v>
      </c>
      <c r="U1503" t="s">
        <v>104</v>
      </c>
      <c r="V1503" t="s">
        <v>653</v>
      </c>
      <c r="W1503">
        <v>490</v>
      </c>
      <c r="X1503">
        <v>22.99</v>
      </c>
      <c r="Y1503">
        <v>60</v>
      </c>
      <c r="Z1503">
        <v>355000</v>
      </c>
      <c r="AA1503">
        <v>507150</v>
      </c>
      <c r="AB1503">
        <v>170</v>
      </c>
      <c r="AD1503" t="s">
        <v>238</v>
      </c>
      <c r="AE1503">
        <v>3</v>
      </c>
      <c r="AF1503">
        <v>0</v>
      </c>
      <c r="AI1503">
        <v>40</v>
      </c>
      <c r="AJ1503">
        <v>60</v>
      </c>
      <c r="AK1503">
        <v>100</v>
      </c>
      <c r="AL1503">
        <v>1035</v>
      </c>
      <c r="AM1503">
        <v>0</v>
      </c>
      <c r="AN1503">
        <v>0</v>
      </c>
      <c r="AO1503">
        <v>0</v>
      </c>
      <c r="AP1503" t="s">
        <v>69</v>
      </c>
      <c r="AR1503" t="s">
        <v>240</v>
      </c>
      <c r="AS1503" t="s">
        <v>240</v>
      </c>
      <c r="AT1503" t="s">
        <v>264</v>
      </c>
      <c r="AU1503" t="s">
        <v>240</v>
      </c>
      <c r="AV1503" t="s">
        <v>4038</v>
      </c>
      <c r="AW1503" t="s">
        <v>80</v>
      </c>
      <c r="AX1503" t="s">
        <v>218</v>
      </c>
      <c r="AY1503" t="s">
        <v>4039</v>
      </c>
      <c r="AZ1503" t="s">
        <v>310</v>
      </c>
      <c r="BA1503" t="s">
        <v>264</v>
      </c>
      <c r="BB1503" t="s">
        <v>244</v>
      </c>
      <c r="BC1503" t="s">
        <v>244</v>
      </c>
      <c r="BD1503" t="s">
        <v>4041</v>
      </c>
      <c r="BE1503" t="s">
        <v>4222</v>
      </c>
      <c r="BF1503" t="s">
        <v>786</v>
      </c>
      <c r="BG1503" t="s">
        <v>150</v>
      </c>
      <c r="BH1503" t="str">
        <f>IF(COUNTIF(工作表1!A:A, $C1503)&gt;0, "預購款", "非預購款")</f>
        <v>非預購款</v>
      </c>
    </row>
    <row r="1504" spans="1:60" x14ac:dyDescent="0.25">
      <c r="A1504" t="s">
        <v>4032</v>
      </c>
      <c r="B1504" t="s">
        <v>226</v>
      </c>
      <c r="C1504" t="s">
        <v>4033</v>
      </c>
      <c r="D1504" t="s">
        <v>4034</v>
      </c>
      <c r="E1504" t="s">
        <v>4035</v>
      </c>
      <c r="F1504" t="s">
        <v>222</v>
      </c>
      <c r="G1504" t="s">
        <v>4036</v>
      </c>
      <c r="H1504" t="s">
        <v>392</v>
      </c>
      <c r="I1504" t="s">
        <v>120</v>
      </c>
      <c r="J1504" t="s">
        <v>121</v>
      </c>
      <c r="K1504" t="s">
        <v>69</v>
      </c>
      <c r="L1504" t="s">
        <v>4037</v>
      </c>
      <c r="M1504" t="s">
        <v>71</v>
      </c>
      <c r="N1504" t="s">
        <v>198</v>
      </c>
      <c r="O1504" t="s">
        <v>3966</v>
      </c>
      <c r="P1504" t="s">
        <v>3967</v>
      </c>
      <c r="R1504" t="s">
        <v>1798</v>
      </c>
      <c r="S1504" t="s">
        <v>223</v>
      </c>
      <c r="T1504" t="s">
        <v>76</v>
      </c>
      <c r="U1504" t="s">
        <v>104</v>
      </c>
      <c r="V1504" t="s">
        <v>653</v>
      </c>
      <c r="W1504">
        <v>490</v>
      </c>
      <c r="X1504">
        <v>22.99</v>
      </c>
      <c r="Y1504">
        <v>60</v>
      </c>
      <c r="Z1504">
        <v>355000</v>
      </c>
      <c r="AA1504">
        <v>507150</v>
      </c>
      <c r="AB1504">
        <v>170</v>
      </c>
      <c r="AD1504" t="s">
        <v>238</v>
      </c>
      <c r="AE1504">
        <v>3</v>
      </c>
      <c r="AF1504">
        <v>0</v>
      </c>
      <c r="AI1504">
        <v>10</v>
      </c>
      <c r="AJ1504">
        <v>25</v>
      </c>
      <c r="AK1504">
        <v>35</v>
      </c>
      <c r="AL1504">
        <v>1035</v>
      </c>
      <c r="AM1504">
        <v>0</v>
      </c>
      <c r="AN1504">
        <v>0</v>
      </c>
      <c r="AO1504">
        <v>0</v>
      </c>
      <c r="AP1504" t="s">
        <v>69</v>
      </c>
      <c r="AR1504" t="s">
        <v>240</v>
      </c>
      <c r="AS1504" t="s">
        <v>240</v>
      </c>
      <c r="AT1504" t="s">
        <v>264</v>
      </c>
      <c r="AU1504" t="s">
        <v>240</v>
      </c>
      <c r="AV1504" t="s">
        <v>4038</v>
      </c>
      <c r="AW1504" t="s">
        <v>80</v>
      </c>
      <c r="AX1504" t="s">
        <v>218</v>
      </c>
      <c r="AY1504" t="s">
        <v>4039</v>
      </c>
      <c r="AZ1504" t="s">
        <v>310</v>
      </c>
      <c r="BA1504" t="s">
        <v>264</v>
      </c>
      <c r="BB1504" t="s">
        <v>244</v>
      </c>
      <c r="BC1504" t="s">
        <v>244</v>
      </c>
      <c r="BD1504" t="s">
        <v>4042</v>
      </c>
      <c r="BE1504" t="s">
        <v>4222</v>
      </c>
      <c r="BF1504" t="s">
        <v>786</v>
      </c>
      <c r="BG1504" t="s">
        <v>150</v>
      </c>
      <c r="BH1504" t="str">
        <f>IF(COUNTIF(工作表1!A:A, $C1504)&gt;0, "預購款", "非預購款")</f>
        <v>非預購款</v>
      </c>
    </row>
    <row r="1505" spans="1:60" x14ac:dyDescent="0.25">
      <c r="A1505" t="s">
        <v>4032</v>
      </c>
      <c r="B1505" t="s">
        <v>226</v>
      </c>
      <c r="C1505" t="s">
        <v>4033</v>
      </c>
      <c r="D1505" t="s">
        <v>4034</v>
      </c>
      <c r="E1505" t="s">
        <v>4035</v>
      </c>
      <c r="F1505" t="s">
        <v>222</v>
      </c>
      <c r="G1505" t="s">
        <v>4036</v>
      </c>
      <c r="H1505" t="s">
        <v>130</v>
      </c>
      <c r="I1505" t="s">
        <v>120</v>
      </c>
      <c r="J1505" t="s">
        <v>121</v>
      </c>
      <c r="K1505" t="s">
        <v>69</v>
      </c>
      <c r="L1505" t="s">
        <v>4037</v>
      </c>
      <c r="M1505" t="s">
        <v>71</v>
      </c>
      <c r="N1505" t="s">
        <v>198</v>
      </c>
      <c r="O1505" t="s">
        <v>3966</v>
      </c>
      <c r="P1505" t="s">
        <v>3967</v>
      </c>
      <c r="R1505" t="s">
        <v>1798</v>
      </c>
      <c r="S1505" t="s">
        <v>223</v>
      </c>
      <c r="T1505" t="s">
        <v>76</v>
      </c>
      <c r="U1505" t="s">
        <v>104</v>
      </c>
      <c r="V1505" t="s">
        <v>653</v>
      </c>
      <c r="W1505">
        <v>490</v>
      </c>
      <c r="X1505">
        <v>22.99</v>
      </c>
      <c r="Y1505">
        <v>60</v>
      </c>
      <c r="Z1505">
        <v>355000</v>
      </c>
      <c r="AA1505">
        <v>507150</v>
      </c>
      <c r="AB1505">
        <v>170</v>
      </c>
      <c r="AD1505" t="s">
        <v>238</v>
      </c>
      <c r="AE1505">
        <v>3</v>
      </c>
      <c r="AF1505">
        <v>0</v>
      </c>
      <c r="AI1505">
        <v>10</v>
      </c>
      <c r="AJ1505">
        <v>70</v>
      </c>
      <c r="AK1505">
        <v>80</v>
      </c>
      <c r="AL1505">
        <v>1035</v>
      </c>
      <c r="AM1505">
        <v>0</v>
      </c>
      <c r="AN1505">
        <v>0</v>
      </c>
      <c r="AO1505">
        <v>0</v>
      </c>
      <c r="AP1505" t="s">
        <v>69</v>
      </c>
      <c r="AR1505" t="s">
        <v>240</v>
      </c>
      <c r="AS1505" t="s">
        <v>240</v>
      </c>
      <c r="AT1505" t="s">
        <v>264</v>
      </c>
      <c r="AU1505" t="s">
        <v>240</v>
      </c>
      <c r="AV1505" t="s">
        <v>4038</v>
      </c>
      <c r="AW1505" t="s">
        <v>80</v>
      </c>
      <c r="AX1505" t="s">
        <v>218</v>
      </c>
      <c r="AY1505" t="s">
        <v>4039</v>
      </c>
      <c r="AZ1505" t="s">
        <v>310</v>
      </c>
      <c r="BA1505" t="s">
        <v>264</v>
      </c>
      <c r="BB1505" t="s">
        <v>244</v>
      </c>
      <c r="BC1505" t="s">
        <v>244</v>
      </c>
      <c r="BD1505" t="s">
        <v>4043</v>
      </c>
      <c r="BE1505" t="s">
        <v>4222</v>
      </c>
      <c r="BF1505" t="s">
        <v>786</v>
      </c>
      <c r="BG1505" t="s">
        <v>150</v>
      </c>
      <c r="BH1505" t="str">
        <f>IF(COUNTIF(工作表1!A:A, $C1505)&gt;0, "預購款", "非預購款")</f>
        <v>非預購款</v>
      </c>
    </row>
    <row r="1506" spans="1:60" x14ac:dyDescent="0.25">
      <c r="A1506" t="s">
        <v>4032</v>
      </c>
      <c r="B1506" t="s">
        <v>226</v>
      </c>
      <c r="C1506" t="s">
        <v>4033</v>
      </c>
      <c r="D1506" t="s">
        <v>4034</v>
      </c>
      <c r="E1506" t="s">
        <v>4035</v>
      </c>
      <c r="F1506" t="s">
        <v>222</v>
      </c>
      <c r="G1506" t="s">
        <v>4036</v>
      </c>
      <c r="H1506" t="s">
        <v>3580</v>
      </c>
      <c r="I1506" t="s">
        <v>120</v>
      </c>
      <c r="J1506" t="s">
        <v>121</v>
      </c>
      <c r="K1506" t="s">
        <v>69</v>
      </c>
      <c r="L1506" t="s">
        <v>4037</v>
      </c>
      <c r="M1506" t="s">
        <v>71</v>
      </c>
      <c r="N1506" t="s">
        <v>198</v>
      </c>
      <c r="O1506" t="s">
        <v>3966</v>
      </c>
      <c r="P1506" t="s">
        <v>3967</v>
      </c>
      <c r="R1506" t="s">
        <v>1798</v>
      </c>
      <c r="S1506" t="s">
        <v>223</v>
      </c>
      <c r="T1506" t="s">
        <v>76</v>
      </c>
      <c r="U1506" t="s">
        <v>104</v>
      </c>
      <c r="V1506" t="s">
        <v>653</v>
      </c>
      <c r="W1506">
        <v>490</v>
      </c>
      <c r="X1506">
        <v>22.99</v>
      </c>
      <c r="Y1506">
        <v>60</v>
      </c>
      <c r="Z1506">
        <v>355000</v>
      </c>
      <c r="AA1506">
        <v>507150</v>
      </c>
      <c r="AB1506">
        <v>170</v>
      </c>
      <c r="AD1506" t="s">
        <v>238</v>
      </c>
      <c r="AE1506">
        <v>3</v>
      </c>
      <c r="AF1506">
        <v>0</v>
      </c>
      <c r="AI1506">
        <v>10</v>
      </c>
      <c r="AJ1506">
        <v>20</v>
      </c>
      <c r="AK1506">
        <v>30</v>
      </c>
      <c r="AL1506">
        <v>1035</v>
      </c>
      <c r="AM1506">
        <v>0</v>
      </c>
      <c r="AN1506">
        <v>0</v>
      </c>
      <c r="AO1506">
        <v>0</v>
      </c>
      <c r="AP1506" t="s">
        <v>69</v>
      </c>
      <c r="AR1506" t="s">
        <v>240</v>
      </c>
      <c r="AS1506" t="s">
        <v>240</v>
      </c>
      <c r="AT1506" t="s">
        <v>264</v>
      </c>
      <c r="AU1506" t="s">
        <v>240</v>
      </c>
      <c r="AV1506" t="s">
        <v>4038</v>
      </c>
      <c r="AW1506" t="s">
        <v>80</v>
      </c>
      <c r="AX1506" t="s">
        <v>218</v>
      </c>
      <c r="AY1506" t="s">
        <v>4039</v>
      </c>
      <c r="AZ1506" t="s">
        <v>310</v>
      </c>
      <c r="BA1506" t="s">
        <v>264</v>
      </c>
      <c r="BB1506" t="s">
        <v>244</v>
      </c>
      <c r="BC1506" t="s">
        <v>244</v>
      </c>
      <c r="BD1506" t="s">
        <v>4044</v>
      </c>
      <c r="BE1506" t="s">
        <v>4222</v>
      </c>
      <c r="BF1506" t="s">
        <v>786</v>
      </c>
      <c r="BG1506" t="s">
        <v>150</v>
      </c>
      <c r="BH1506" t="str">
        <f>IF(COUNTIF(工作表1!A:A, $C1506)&gt;0, "預購款", "非預購款")</f>
        <v>非預購款</v>
      </c>
    </row>
    <row r="1507" spans="1:60" x14ac:dyDescent="0.25">
      <c r="A1507" t="s">
        <v>4032</v>
      </c>
      <c r="B1507" t="s">
        <v>226</v>
      </c>
      <c r="C1507" t="s">
        <v>4033</v>
      </c>
      <c r="D1507" t="s">
        <v>4034</v>
      </c>
      <c r="E1507" t="s">
        <v>4035</v>
      </c>
      <c r="F1507" t="s">
        <v>222</v>
      </c>
      <c r="G1507" t="s">
        <v>4036</v>
      </c>
      <c r="H1507" t="s">
        <v>132</v>
      </c>
      <c r="I1507" t="s">
        <v>120</v>
      </c>
      <c r="J1507" t="s">
        <v>121</v>
      </c>
      <c r="K1507" t="s">
        <v>69</v>
      </c>
      <c r="L1507" t="s">
        <v>4037</v>
      </c>
      <c r="M1507" t="s">
        <v>71</v>
      </c>
      <c r="N1507" t="s">
        <v>198</v>
      </c>
      <c r="O1507" t="s">
        <v>3966</v>
      </c>
      <c r="P1507" t="s">
        <v>3967</v>
      </c>
      <c r="R1507" t="s">
        <v>1798</v>
      </c>
      <c r="S1507" t="s">
        <v>223</v>
      </c>
      <c r="T1507" t="s">
        <v>76</v>
      </c>
      <c r="U1507" t="s">
        <v>104</v>
      </c>
      <c r="V1507" t="s">
        <v>653</v>
      </c>
      <c r="W1507">
        <v>490</v>
      </c>
      <c r="X1507">
        <v>22.99</v>
      </c>
      <c r="Y1507">
        <v>60</v>
      </c>
      <c r="Z1507">
        <v>355000</v>
      </c>
      <c r="AA1507">
        <v>507150</v>
      </c>
      <c r="AB1507">
        <v>170</v>
      </c>
      <c r="AD1507" t="s">
        <v>238</v>
      </c>
      <c r="AE1507">
        <v>3</v>
      </c>
      <c r="AF1507">
        <v>0</v>
      </c>
      <c r="AI1507">
        <v>10</v>
      </c>
      <c r="AJ1507">
        <v>20</v>
      </c>
      <c r="AK1507">
        <v>30</v>
      </c>
      <c r="AL1507">
        <v>1035</v>
      </c>
      <c r="AM1507">
        <v>0</v>
      </c>
      <c r="AN1507">
        <v>0</v>
      </c>
      <c r="AO1507">
        <v>0</v>
      </c>
      <c r="AP1507" t="s">
        <v>69</v>
      </c>
      <c r="AR1507" t="s">
        <v>240</v>
      </c>
      <c r="AS1507" t="s">
        <v>240</v>
      </c>
      <c r="AT1507" t="s">
        <v>264</v>
      </c>
      <c r="AU1507" t="s">
        <v>240</v>
      </c>
      <c r="AV1507" t="s">
        <v>4038</v>
      </c>
      <c r="AW1507" t="s">
        <v>80</v>
      </c>
      <c r="AX1507" t="s">
        <v>218</v>
      </c>
      <c r="AY1507" t="s">
        <v>4039</v>
      </c>
      <c r="AZ1507" t="s">
        <v>310</v>
      </c>
      <c r="BA1507" t="s">
        <v>264</v>
      </c>
      <c r="BB1507" t="s">
        <v>244</v>
      </c>
      <c r="BC1507" t="s">
        <v>244</v>
      </c>
      <c r="BD1507" t="s">
        <v>4045</v>
      </c>
      <c r="BE1507" t="s">
        <v>4222</v>
      </c>
      <c r="BF1507" t="s">
        <v>786</v>
      </c>
      <c r="BG1507" t="s">
        <v>150</v>
      </c>
      <c r="BH1507" t="str">
        <f>IF(COUNTIF(工作表1!A:A, $C1507)&gt;0, "預購款", "非預購款")</f>
        <v>非預購款</v>
      </c>
    </row>
    <row r="1508" spans="1:60" x14ac:dyDescent="0.25">
      <c r="A1508" t="s">
        <v>4032</v>
      </c>
      <c r="B1508" t="s">
        <v>226</v>
      </c>
      <c r="C1508" t="s">
        <v>4033</v>
      </c>
      <c r="D1508" t="s">
        <v>4034</v>
      </c>
      <c r="E1508" t="s">
        <v>4035</v>
      </c>
      <c r="F1508" t="s">
        <v>222</v>
      </c>
      <c r="G1508" t="s">
        <v>4036</v>
      </c>
      <c r="H1508" t="s">
        <v>379</v>
      </c>
      <c r="I1508" t="s">
        <v>97</v>
      </c>
      <c r="J1508" t="s">
        <v>98</v>
      </c>
      <c r="K1508" t="s">
        <v>69</v>
      </c>
      <c r="L1508" t="s">
        <v>4037</v>
      </c>
      <c r="M1508" t="s">
        <v>71</v>
      </c>
      <c r="N1508" t="s">
        <v>198</v>
      </c>
      <c r="O1508" t="s">
        <v>3966</v>
      </c>
      <c r="P1508" t="s">
        <v>3967</v>
      </c>
      <c r="R1508" t="s">
        <v>1798</v>
      </c>
      <c r="S1508" t="s">
        <v>223</v>
      </c>
      <c r="T1508" t="s">
        <v>76</v>
      </c>
      <c r="U1508" t="s">
        <v>104</v>
      </c>
      <c r="V1508" t="s">
        <v>653</v>
      </c>
      <c r="W1508">
        <v>490</v>
      </c>
      <c r="X1508">
        <v>22.99</v>
      </c>
      <c r="Y1508">
        <v>60</v>
      </c>
      <c r="Z1508">
        <v>355000</v>
      </c>
      <c r="AA1508">
        <v>507150</v>
      </c>
      <c r="AB1508">
        <v>170</v>
      </c>
      <c r="AD1508" t="s">
        <v>238</v>
      </c>
      <c r="AE1508">
        <v>3</v>
      </c>
      <c r="AF1508">
        <v>0</v>
      </c>
      <c r="AI1508">
        <v>35</v>
      </c>
      <c r="AJ1508">
        <v>30</v>
      </c>
      <c r="AK1508">
        <v>65</v>
      </c>
      <c r="AL1508">
        <v>1035</v>
      </c>
      <c r="AM1508">
        <v>0</v>
      </c>
      <c r="AN1508">
        <v>0</v>
      </c>
      <c r="AO1508">
        <v>0</v>
      </c>
      <c r="AP1508" t="s">
        <v>69</v>
      </c>
      <c r="AR1508" t="s">
        <v>240</v>
      </c>
      <c r="AS1508" t="s">
        <v>240</v>
      </c>
      <c r="AT1508" t="s">
        <v>264</v>
      </c>
      <c r="AU1508" t="s">
        <v>240</v>
      </c>
      <c r="AV1508" t="s">
        <v>4038</v>
      </c>
      <c r="AW1508" t="s">
        <v>80</v>
      </c>
      <c r="AX1508" t="s">
        <v>218</v>
      </c>
      <c r="AY1508" t="s">
        <v>4039</v>
      </c>
      <c r="AZ1508" t="s">
        <v>310</v>
      </c>
      <c r="BA1508" t="s">
        <v>264</v>
      </c>
      <c r="BB1508" t="s">
        <v>244</v>
      </c>
      <c r="BC1508" t="s">
        <v>244</v>
      </c>
      <c r="BD1508" t="s">
        <v>4046</v>
      </c>
      <c r="BE1508" t="s">
        <v>4222</v>
      </c>
      <c r="BF1508" t="s">
        <v>786</v>
      </c>
      <c r="BG1508" t="s">
        <v>150</v>
      </c>
      <c r="BH1508" t="str">
        <f>IF(COUNTIF(工作表1!A:A, $C1508)&gt;0, "預購款", "非預購款")</f>
        <v>非預購款</v>
      </c>
    </row>
    <row r="1509" spans="1:60" x14ac:dyDescent="0.25">
      <c r="A1509" t="s">
        <v>4032</v>
      </c>
      <c r="B1509" t="s">
        <v>226</v>
      </c>
      <c r="C1509" t="s">
        <v>4033</v>
      </c>
      <c r="D1509" t="s">
        <v>4034</v>
      </c>
      <c r="E1509" t="s">
        <v>4035</v>
      </c>
      <c r="F1509" t="s">
        <v>222</v>
      </c>
      <c r="G1509" t="s">
        <v>4036</v>
      </c>
      <c r="H1509" t="s">
        <v>119</v>
      </c>
      <c r="I1509" t="s">
        <v>97</v>
      </c>
      <c r="J1509" t="s">
        <v>98</v>
      </c>
      <c r="K1509" t="s">
        <v>69</v>
      </c>
      <c r="L1509" t="s">
        <v>4037</v>
      </c>
      <c r="M1509" t="s">
        <v>71</v>
      </c>
      <c r="N1509" t="s">
        <v>198</v>
      </c>
      <c r="O1509" t="s">
        <v>3966</v>
      </c>
      <c r="P1509" t="s">
        <v>3967</v>
      </c>
      <c r="R1509" t="s">
        <v>1798</v>
      </c>
      <c r="S1509" t="s">
        <v>223</v>
      </c>
      <c r="T1509" t="s">
        <v>76</v>
      </c>
      <c r="U1509" t="s">
        <v>104</v>
      </c>
      <c r="V1509" t="s">
        <v>653</v>
      </c>
      <c r="W1509">
        <v>490</v>
      </c>
      <c r="X1509">
        <v>22.99</v>
      </c>
      <c r="Y1509">
        <v>60</v>
      </c>
      <c r="Z1509">
        <v>355000</v>
      </c>
      <c r="AA1509">
        <v>507150</v>
      </c>
      <c r="AB1509">
        <v>170</v>
      </c>
      <c r="AD1509" t="s">
        <v>238</v>
      </c>
      <c r="AE1509">
        <v>3</v>
      </c>
      <c r="AF1509">
        <v>0</v>
      </c>
      <c r="AI1509">
        <v>85</v>
      </c>
      <c r="AJ1509">
        <v>110</v>
      </c>
      <c r="AK1509">
        <v>195</v>
      </c>
      <c r="AL1509">
        <v>1035</v>
      </c>
      <c r="AM1509">
        <v>0</v>
      </c>
      <c r="AN1509">
        <v>0</v>
      </c>
      <c r="AO1509">
        <v>0</v>
      </c>
      <c r="AP1509" t="s">
        <v>69</v>
      </c>
      <c r="AR1509" t="s">
        <v>240</v>
      </c>
      <c r="AS1509" t="s">
        <v>240</v>
      </c>
      <c r="AT1509" t="s">
        <v>264</v>
      </c>
      <c r="AU1509" t="s">
        <v>240</v>
      </c>
      <c r="AV1509" t="s">
        <v>4038</v>
      </c>
      <c r="AW1509" t="s">
        <v>80</v>
      </c>
      <c r="AX1509" t="s">
        <v>218</v>
      </c>
      <c r="AY1509" t="s">
        <v>4039</v>
      </c>
      <c r="AZ1509" t="s">
        <v>310</v>
      </c>
      <c r="BA1509" t="s">
        <v>264</v>
      </c>
      <c r="BB1509" t="s">
        <v>244</v>
      </c>
      <c r="BC1509" t="s">
        <v>244</v>
      </c>
      <c r="BD1509" t="s">
        <v>4047</v>
      </c>
      <c r="BE1509" t="s">
        <v>4222</v>
      </c>
      <c r="BF1509" t="s">
        <v>786</v>
      </c>
      <c r="BG1509" t="s">
        <v>150</v>
      </c>
      <c r="BH1509" t="str">
        <f>IF(COUNTIF(工作表1!A:A, $C1509)&gt;0, "預購款", "非預購款")</f>
        <v>非預購款</v>
      </c>
    </row>
    <row r="1510" spans="1:60" x14ac:dyDescent="0.25">
      <c r="A1510" t="s">
        <v>4032</v>
      </c>
      <c r="B1510" t="s">
        <v>226</v>
      </c>
      <c r="C1510" t="s">
        <v>4033</v>
      </c>
      <c r="D1510" t="s">
        <v>4034</v>
      </c>
      <c r="E1510" t="s">
        <v>4035</v>
      </c>
      <c r="F1510" t="s">
        <v>222</v>
      </c>
      <c r="G1510" t="s">
        <v>4036</v>
      </c>
      <c r="H1510" t="s">
        <v>392</v>
      </c>
      <c r="I1510" t="s">
        <v>97</v>
      </c>
      <c r="J1510" t="s">
        <v>98</v>
      </c>
      <c r="K1510" t="s">
        <v>69</v>
      </c>
      <c r="L1510" t="s">
        <v>4037</v>
      </c>
      <c r="M1510" t="s">
        <v>71</v>
      </c>
      <c r="N1510" t="s">
        <v>198</v>
      </c>
      <c r="O1510" t="s">
        <v>3966</v>
      </c>
      <c r="P1510" t="s">
        <v>3967</v>
      </c>
      <c r="R1510" t="s">
        <v>1798</v>
      </c>
      <c r="S1510" t="s">
        <v>223</v>
      </c>
      <c r="T1510" t="s">
        <v>76</v>
      </c>
      <c r="U1510" t="s">
        <v>104</v>
      </c>
      <c r="V1510" t="s">
        <v>653</v>
      </c>
      <c r="W1510">
        <v>490</v>
      </c>
      <c r="X1510">
        <v>22.99</v>
      </c>
      <c r="Y1510">
        <v>60</v>
      </c>
      <c r="Z1510">
        <v>355000</v>
      </c>
      <c r="AA1510">
        <v>507150</v>
      </c>
      <c r="AB1510">
        <v>170</v>
      </c>
      <c r="AD1510" t="s">
        <v>238</v>
      </c>
      <c r="AE1510">
        <v>3</v>
      </c>
      <c r="AF1510">
        <v>0</v>
      </c>
      <c r="AI1510">
        <v>10</v>
      </c>
      <c r="AJ1510">
        <v>40</v>
      </c>
      <c r="AK1510">
        <v>50</v>
      </c>
      <c r="AL1510">
        <v>1035</v>
      </c>
      <c r="AM1510">
        <v>0</v>
      </c>
      <c r="AN1510">
        <v>0</v>
      </c>
      <c r="AO1510">
        <v>0</v>
      </c>
      <c r="AP1510" t="s">
        <v>69</v>
      </c>
      <c r="AR1510" t="s">
        <v>240</v>
      </c>
      <c r="AS1510" t="s">
        <v>240</v>
      </c>
      <c r="AT1510" t="s">
        <v>264</v>
      </c>
      <c r="AU1510" t="s">
        <v>240</v>
      </c>
      <c r="AV1510" t="s">
        <v>4038</v>
      </c>
      <c r="AW1510" t="s">
        <v>80</v>
      </c>
      <c r="AX1510" t="s">
        <v>218</v>
      </c>
      <c r="AY1510" t="s">
        <v>4039</v>
      </c>
      <c r="AZ1510" t="s">
        <v>310</v>
      </c>
      <c r="BA1510" t="s">
        <v>264</v>
      </c>
      <c r="BB1510" t="s">
        <v>244</v>
      </c>
      <c r="BC1510" t="s">
        <v>244</v>
      </c>
      <c r="BD1510" t="s">
        <v>4048</v>
      </c>
      <c r="BE1510" t="s">
        <v>4222</v>
      </c>
      <c r="BF1510" t="s">
        <v>786</v>
      </c>
      <c r="BG1510" t="s">
        <v>150</v>
      </c>
      <c r="BH1510" t="str">
        <f>IF(COUNTIF(工作表1!A:A, $C1510)&gt;0, "預購款", "非預購款")</f>
        <v>非預購款</v>
      </c>
    </row>
    <row r="1511" spans="1:60" x14ac:dyDescent="0.25">
      <c r="A1511" t="s">
        <v>4032</v>
      </c>
      <c r="B1511" t="s">
        <v>226</v>
      </c>
      <c r="C1511" t="s">
        <v>4033</v>
      </c>
      <c r="D1511" t="s">
        <v>4034</v>
      </c>
      <c r="E1511" t="s">
        <v>4035</v>
      </c>
      <c r="F1511" t="s">
        <v>222</v>
      </c>
      <c r="G1511" t="s">
        <v>4036</v>
      </c>
      <c r="H1511" t="s">
        <v>130</v>
      </c>
      <c r="I1511" t="s">
        <v>97</v>
      </c>
      <c r="J1511" t="s">
        <v>98</v>
      </c>
      <c r="K1511" t="s">
        <v>69</v>
      </c>
      <c r="L1511" t="s">
        <v>4037</v>
      </c>
      <c r="M1511" t="s">
        <v>71</v>
      </c>
      <c r="N1511" t="s">
        <v>198</v>
      </c>
      <c r="O1511" t="s">
        <v>3966</v>
      </c>
      <c r="P1511" t="s">
        <v>3967</v>
      </c>
      <c r="R1511" t="s">
        <v>1798</v>
      </c>
      <c r="S1511" t="s">
        <v>223</v>
      </c>
      <c r="T1511" t="s">
        <v>76</v>
      </c>
      <c r="U1511" t="s">
        <v>104</v>
      </c>
      <c r="V1511" t="s">
        <v>653</v>
      </c>
      <c r="W1511">
        <v>490</v>
      </c>
      <c r="X1511">
        <v>22.99</v>
      </c>
      <c r="Y1511">
        <v>60</v>
      </c>
      <c r="Z1511">
        <v>355000</v>
      </c>
      <c r="AA1511">
        <v>507150</v>
      </c>
      <c r="AB1511">
        <v>170</v>
      </c>
      <c r="AD1511" t="s">
        <v>238</v>
      </c>
      <c r="AE1511">
        <v>3</v>
      </c>
      <c r="AF1511">
        <v>0</v>
      </c>
      <c r="AI1511">
        <v>45</v>
      </c>
      <c r="AJ1511">
        <v>110</v>
      </c>
      <c r="AK1511">
        <v>155</v>
      </c>
      <c r="AL1511">
        <v>1035</v>
      </c>
      <c r="AM1511">
        <v>0</v>
      </c>
      <c r="AN1511">
        <v>0</v>
      </c>
      <c r="AO1511">
        <v>0</v>
      </c>
      <c r="AP1511" t="s">
        <v>69</v>
      </c>
      <c r="AR1511" t="s">
        <v>240</v>
      </c>
      <c r="AS1511" t="s">
        <v>240</v>
      </c>
      <c r="AT1511" t="s">
        <v>264</v>
      </c>
      <c r="AU1511" t="s">
        <v>240</v>
      </c>
      <c r="AV1511" t="s">
        <v>4038</v>
      </c>
      <c r="AW1511" t="s">
        <v>80</v>
      </c>
      <c r="AX1511" t="s">
        <v>218</v>
      </c>
      <c r="AY1511" t="s">
        <v>4039</v>
      </c>
      <c r="AZ1511" t="s">
        <v>310</v>
      </c>
      <c r="BA1511" t="s">
        <v>264</v>
      </c>
      <c r="BB1511" t="s">
        <v>244</v>
      </c>
      <c r="BC1511" t="s">
        <v>244</v>
      </c>
      <c r="BD1511" t="s">
        <v>4049</v>
      </c>
      <c r="BE1511" t="s">
        <v>4222</v>
      </c>
      <c r="BF1511" t="s">
        <v>786</v>
      </c>
      <c r="BG1511" t="s">
        <v>150</v>
      </c>
      <c r="BH1511" t="str">
        <f>IF(COUNTIF(工作表1!A:A, $C1511)&gt;0, "預購款", "非預購款")</f>
        <v>非預購款</v>
      </c>
    </row>
    <row r="1512" spans="1:60" x14ac:dyDescent="0.25">
      <c r="A1512" t="s">
        <v>4032</v>
      </c>
      <c r="B1512" t="s">
        <v>226</v>
      </c>
      <c r="C1512" t="s">
        <v>4033</v>
      </c>
      <c r="D1512" t="s">
        <v>4034</v>
      </c>
      <c r="E1512" t="s">
        <v>4035</v>
      </c>
      <c r="F1512" t="s">
        <v>222</v>
      </c>
      <c r="G1512" t="s">
        <v>4036</v>
      </c>
      <c r="H1512" t="s">
        <v>3580</v>
      </c>
      <c r="I1512" t="s">
        <v>97</v>
      </c>
      <c r="J1512" t="s">
        <v>98</v>
      </c>
      <c r="K1512" t="s">
        <v>69</v>
      </c>
      <c r="L1512" t="s">
        <v>4037</v>
      </c>
      <c r="M1512" t="s">
        <v>71</v>
      </c>
      <c r="N1512" t="s">
        <v>198</v>
      </c>
      <c r="O1512" t="s">
        <v>3966</v>
      </c>
      <c r="P1512" t="s">
        <v>3967</v>
      </c>
      <c r="R1512" t="s">
        <v>1798</v>
      </c>
      <c r="S1512" t="s">
        <v>223</v>
      </c>
      <c r="T1512" t="s">
        <v>76</v>
      </c>
      <c r="U1512" t="s">
        <v>104</v>
      </c>
      <c r="V1512" t="s">
        <v>653</v>
      </c>
      <c r="W1512">
        <v>490</v>
      </c>
      <c r="X1512">
        <v>22.99</v>
      </c>
      <c r="Y1512">
        <v>60</v>
      </c>
      <c r="Z1512">
        <v>355000</v>
      </c>
      <c r="AA1512">
        <v>507150</v>
      </c>
      <c r="AB1512">
        <v>170</v>
      </c>
      <c r="AD1512" t="s">
        <v>238</v>
      </c>
      <c r="AE1512">
        <v>3</v>
      </c>
      <c r="AF1512">
        <v>0</v>
      </c>
      <c r="AI1512">
        <v>10</v>
      </c>
      <c r="AJ1512">
        <v>15</v>
      </c>
      <c r="AK1512">
        <v>25</v>
      </c>
      <c r="AL1512">
        <v>1035</v>
      </c>
      <c r="AM1512">
        <v>0</v>
      </c>
      <c r="AN1512">
        <v>0</v>
      </c>
      <c r="AO1512">
        <v>0</v>
      </c>
      <c r="AP1512" t="s">
        <v>69</v>
      </c>
      <c r="AR1512" t="s">
        <v>240</v>
      </c>
      <c r="AS1512" t="s">
        <v>240</v>
      </c>
      <c r="AT1512" t="s">
        <v>264</v>
      </c>
      <c r="AU1512" t="s">
        <v>240</v>
      </c>
      <c r="AV1512" t="s">
        <v>4038</v>
      </c>
      <c r="AW1512" t="s">
        <v>80</v>
      </c>
      <c r="AX1512" t="s">
        <v>218</v>
      </c>
      <c r="AY1512" t="s">
        <v>4039</v>
      </c>
      <c r="AZ1512" t="s">
        <v>310</v>
      </c>
      <c r="BA1512" t="s">
        <v>264</v>
      </c>
      <c r="BB1512" t="s">
        <v>244</v>
      </c>
      <c r="BC1512" t="s">
        <v>244</v>
      </c>
      <c r="BD1512" t="s">
        <v>4050</v>
      </c>
      <c r="BE1512" t="s">
        <v>4222</v>
      </c>
      <c r="BF1512" t="s">
        <v>786</v>
      </c>
      <c r="BG1512" t="s">
        <v>150</v>
      </c>
      <c r="BH1512" t="str">
        <f>IF(COUNTIF(工作表1!A:A, $C1512)&gt;0, "預購款", "非預購款")</f>
        <v>非預購款</v>
      </c>
    </row>
    <row r="1513" spans="1:60" x14ac:dyDescent="0.25">
      <c r="A1513" t="s">
        <v>4032</v>
      </c>
      <c r="B1513" t="s">
        <v>226</v>
      </c>
      <c r="C1513" t="s">
        <v>4033</v>
      </c>
      <c r="D1513" t="s">
        <v>4034</v>
      </c>
      <c r="E1513" t="s">
        <v>4035</v>
      </c>
      <c r="F1513" t="s">
        <v>222</v>
      </c>
      <c r="G1513" t="s">
        <v>4036</v>
      </c>
      <c r="H1513" t="s">
        <v>132</v>
      </c>
      <c r="I1513" t="s">
        <v>97</v>
      </c>
      <c r="J1513" t="s">
        <v>98</v>
      </c>
      <c r="K1513" t="s">
        <v>69</v>
      </c>
      <c r="L1513" t="s">
        <v>4037</v>
      </c>
      <c r="M1513" t="s">
        <v>71</v>
      </c>
      <c r="N1513" t="s">
        <v>198</v>
      </c>
      <c r="O1513" t="s">
        <v>3966</v>
      </c>
      <c r="P1513" t="s">
        <v>3967</v>
      </c>
      <c r="R1513" t="s">
        <v>1798</v>
      </c>
      <c r="S1513" t="s">
        <v>223</v>
      </c>
      <c r="T1513" t="s">
        <v>76</v>
      </c>
      <c r="U1513" t="s">
        <v>104</v>
      </c>
      <c r="V1513" t="s">
        <v>653</v>
      </c>
      <c r="W1513">
        <v>490</v>
      </c>
      <c r="X1513">
        <v>22.99</v>
      </c>
      <c r="Y1513">
        <v>60</v>
      </c>
      <c r="Z1513">
        <v>355000</v>
      </c>
      <c r="AA1513">
        <v>507150</v>
      </c>
      <c r="AB1513">
        <v>170</v>
      </c>
      <c r="AD1513" t="s">
        <v>238</v>
      </c>
      <c r="AE1513">
        <v>3</v>
      </c>
      <c r="AF1513">
        <v>0</v>
      </c>
      <c r="AI1513">
        <v>10</v>
      </c>
      <c r="AJ1513">
        <v>30</v>
      </c>
      <c r="AK1513">
        <v>40</v>
      </c>
      <c r="AL1513">
        <v>1035</v>
      </c>
      <c r="AM1513">
        <v>0</v>
      </c>
      <c r="AN1513">
        <v>0</v>
      </c>
      <c r="AO1513">
        <v>0</v>
      </c>
      <c r="AP1513" t="s">
        <v>69</v>
      </c>
      <c r="AR1513" t="s">
        <v>240</v>
      </c>
      <c r="AS1513" t="s">
        <v>240</v>
      </c>
      <c r="AT1513" t="s">
        <v>264</v>
      </c>
      <c r="AU1513" t="s">
        <v>240</v>
      </c>
      <c r="AV1513" t="s">
        <v>4038</v>
      </c>
      <c r="AW1513" t="s">
        <v>80</v>
      </c>
      <c r="AX1513" t="s">
        <v>218</v>
      </c>
      <c r="AY1513" t="s">
        <v>4039</v>
      </c>
      <c r="AZ1513" t="s">
        <v>310</v>
      </c>
      <c r="BA1513" t="s">
        <v>264</v>
      </c>
      <c r="BB1513" t="s">
        <v>244</v>
      </c>
      <c r="BC1513" t="s">
        <v>244</v>
      </c>
      <c r="BD1513" t="s">
        <v>4051</v>
      </c>
      <c r="BE1513" t="s">
        <v>4222</v>
      </c>
      <c r="BF1513" t="s">
        <v>786</v>
      </c>
      <c r="BG1513" t="s">
        <v>150</v>
      </c>
      <c r="BH1513" t="str">
        <f>IF(COUNTIF(工作表1!A:A, $C1513)&gt;0, "預購款", "非預購款")</f>
        <v>非預購款</v>
      </c>
    </row>
    <row r="1514" spans="1:60" x14ac:dyDescent="0.25">
      <c r="A1514" t="s">
        <v>4032</v>
      </c>
      <c r="B1514" t="s">
        <v>226</v>
      </c>
      <c r="C1514" t="s">
        <v>4033</v>
      </c>
      <c r="D1514" t="s">
        <v>4034</v>
      </c>
      <c r="E1514" t="s">
        <v>4035</v>
      </c>
      <c r="F1514" t="s">
        <v>222</v>
      </c>
      <c r="G1514" t="s">
        <v>4036</v>
      </c>
      <c r="H1514" t="s">
        <v>379</v>
      </c>
      <c r="I1514" t="s">
        <v>171</v>
      </c>
      <c r="J1514" t="s">
        <v>172</v>
      </c>
      <c r="K1514" t="s">
        <v>69</v>
      </c>
      <c r="L1514" t="s">
        <v>4037</v>
      </c>
      <c r="M1514" t="s">
        <v>71</v>
      </c>
      <c r="N1514" t="s">
        <v>198</v>
      </c>
      <c r="O1514" t="s">
        <v>3966</v>
      </c>
      <c r="P1514" t="s">
        <v>3967</v>
      </c>
      <c r="R1514" t="s">
        <v>1798</v>
      </c>
      <c r="S1514" t="s">
        <v>223</v>
      </c>
      <c r="T1514" t="s">
        <v>76</v>
      </c>
      <c r="U1514" t="s">
        <v>104</v>
      </c>
      <c r="V1514" t="s">
        <v>653</v>
      </c>
      <c r="W1514">
        <v>490</v>
      </c>
      <c r="X1514">
        <v>22.99</v>
      </c>
      <c r="Y1514">
        <v>60</v>
      </c>
      <c r="Z1514">
        <v>355000</v>
      </c>
      <c r="AA1514">
        <v>507150</v>
      </c>
      <c r="AB1514">
        <v>170</v>
      </c>
      <c r="AD1514" t="s">
        <v>238</v>
      </c>
      <c r="AE1514">
        <v>3</v>
      </c>
      <c r="AF1514">
        <v>0</v>
      </c>
      <c r="AI1514">
        <v>0</v>
      </c>
      <c r="AJ1514">
        <v>15</v>
      </c>
      <c r="AK1514">
        <v>15</v>
      </c>
      <c r="AL1514">
        <v>1035</v>
      </c>
      <c r="AM1514">
        <v>0</v>
      </c>
      <c r="AN1514">
        <v>0</v>
      </c>
      <c r="AO1514">
        <v>0</v>
      </c>
      <c r="AP1514" t="s">
        <v>69</v>
      </c>
      <c r="AR1514" t="s">
        <v>240</v>
      </c>
      <c r="AS1514" t="s">
        <v>240</v>
      </c>
      <c r="AT1514" t="s">
        <v>264</v>
      </c>
      <c r="AU1514" t="s">
        <v>240</v>
      </c>
      <c r="AV1514" t="s">
        <v>4038</v>
      </c>
      <c r="AW1514" t="s">
        <v>80</v>
      </c>
      <c r="AX1514" t="s">
        <v>218</v>
      </c>
      <c r="AY1514" t="s">
        <v>4039</v>
      </c>
      <c r="AZ1514" t="s">
        <v>310</v>
      </c>
      <c r="BA1514" t="s">
        <v>264</v>
      </c>
      <c r="BB1514" t="s">
        <v>244</v>
      </c>
      <c r="BC1514" t="s">
        <v>244</v>
      </c>
      <c r="BD1514" t="s">
        <v>4052</v>
      </c>
      <c r="BE1514" t="s">
        <v>4222</v>
      </c>
      <c r="BF1514" t="s">
        <v>786</v>
      </c>
      <c r="BG1514" t="s">
        <v>150</v>
      </c>
      <c r="BH1514" t="str">
        <f>IF(COUNTIF(工作表1!A:A, $C1514)&gt;0, "預購款", "非預購款")</f>
        <v>非預購款</v>
      </c>
    </row>
    <row r="1515" spans="1:60" x14ac:dyDescent="0.25">
      <c r="A1515" t="s">
        <v>4032</v>
      </c>
      <c r="B1515" t="s">
        <v>226</v>
      </c>
      <c r="C1515" t="s">
        <v>4033</v>
      </c>
      <c r="D1515" t="s">
        <v>4034</v>
      </c>
      <c r="E1515" t="s">
        <v>4035</v>
      </c>
      <c r="F1515" t="s">
        <v>222</v>
      </c>
      <c r="G1515" t="s">
        <v>4036</v>
      </c>
      <c r="H1515" t="s">
        <v>119</v>
      </c>
      <c r="I1515" t="s">
        <v>171</v>
      </c>
      <c r="J1515" t="s">
        <v>172</v>
      </c>
      <c r="K1515" t="s">
        <v>69</v>
      </c>
      <c r="L1515" t="s">
        <v>4037</v>
      </c>
      <c r="M1515" t="s">
        <v>71</v>
      </c>
      <c r="N1515" t="s">
        <v>198</v>
      </c>
      <c r="O1515" t="s">
        <v>3966</v>
      </c>
      <c r="P1515" t="s">
        <v>3967</v>
      </c>
      <c r="R1515" t="s">
        <v>1798</v>
      </c>
      <c r="S1515" t="s">
        <v>223</v>
      </c>
      <c r="T1515" t="s">
        <v>76</v>
      </c>
      <c r="U1515" t="s">
        <v>104</v>
      </c>
      <c r="V1515" t="s">
        <v>653</v>
      </c>
      <c r="W1515">
        <v>490</v>
      </c>
      <c r="X1515">
        <v>22.99</v>
      </c>
      <c r="Y1515">
        <v>60</v>
      </c>
      <c r="Z1515">
        <v>355000</v>
      </c>
      <c r="AA1515">
        <v>507150</v>
      </c>
      <c r="AB1515">
        <v>170</v>
      </c>
      <c r="AD1515" t="s">
        <v>238</v>
      </c>
      <c r="AE1515">
        <v>3</v>
      </c>
      <c r="AF1515">
        <v>0</v>
      </c>
      <c r="AI1515">
        <v>15</v>
      </c>
      <c r="AJ1515">
        <v>60</v>
      </c>
      <c r="AK1515">
        <v>75</v>
      </c>
      <c r="AL1515">
        <v>1035</v>
      </c>
      <c r="AM1515">
        <v>0</v>
      </c>
      <c r="AN1515">
        <v>0</v>
      </c>
      <c r="AO1515">
        <v>0</v>
      </c>
      <c r="AP1515" t="s">
        <v>69</v>
      </c>
      <c r="AR1515" t="s">
        <v>240</v>
      </c>
      <c r="AS1515" t="s">
        <v>240</v>
      </c>
      <c r="AT1515" t="s">
        <v>264</v>
      </c>
      <c r="AU1515" t="s">
        <v>240</v>
      </c>
      <c r="AV1515" t="s">
        <v>4038</v>
      </c>
      <c r="AW1515" t="s">
        <v>80</v>
      </c>
      <c r="AX1515" t="s">
        <v>218</v>
      </c>
      <c r="AY1515" t="s">
        <v>4039</v>
      </c>
      <c r="AZ1515" t="s">
        <v>310</v>
      </c>
      <c r="BA1515" t="s">
        <v>264</v>
      </c>
      <c r="BB1515" t="s">
        <v>244</v>
      </c>
      <c r="BC1515" t="s">
        <v>244</v>
      </c>
      <c r="BD1515" t="s">
        <v>4053</v>
      </c>
      <c r="BE1515" t="s">
        <v>4222</v>
      </c>
      <c r="BF1515" t="s">
        <v>786</v>
      </c>
      <c r="BG1515" t="s">
        <v>150</v>
      </c>
      <c r="BH1515" t="str">
        <f>IF(COUNTIF(工作表1!A:A, $C1515)&gt;0, "預購款", "非預購款")</f>
        <v>非預購款</v>
      </c>
    </row>
    <row r="1516" spans="1:60" x14ac:dyDescent="0.25">
      <c r="A1516" t="s">
        <v>4032</v>
      </c>
      <c r="B1516" t="s">
        <v>226</v>
      </c>
      <c r="C1516" t="s">
        <v>4033</v>
      </c>
      <c r="D1516" t="s">
        <v>4034</v>
      </c>
      <c r="E1516" t="s">
        <v>4035</v>
      </c>
      <c r="F1516" t="s">
        <v>222</v>
      </c>
      <c r="G1516" t="s">
        <v>4036</v>
      </c>
      <c r="H1516" t="s">
        <v>392</v>
      </c>
      <c r="I1516" t="s">
        <v>171</v>
      </c>
      <c r="J1516" t="s">
        <v>172</v>
      </c>
      <c r="K1516" t="s">
        <v>69</v>
      </c>
      <c r="L1516" t="s">
        <v>4037</v>
      </c>
      <c r="M1516" t="s">
        <v>71</v>
      </c>
      <c r="N1516" t="s">
        <v>198</v>
      </c>
      <c r="O1516" t="s">
        <v>3966</v>
      </c>
      <c r="P1516" t="s">
        <v>3967</v>
      </c>
      <c r="R1516" t="s">
        <v>1798</v>
      </c>
      <c r="S1516" t="s">
        <v>223</v>
      </c>
      <c r="T1516" t="s">
        <v>76</v>
      </c>
      <c r="U1516" t="s">
        <v>104</v>
      </c>
      <c r="V1516" t="s">
        <v>653</v>
      </c>
      <c r="W1516">
        <v>490</v>
      </c>
      <c r="X1516">
        <v>22.99</v>
      </c>
      <c r="Y1516">
        <v>60</v>
      </c>
      <c r="Z1516">
        <v>355000</v>
      </c>
      <c r="AA1516">
        <v>507150</v>
      </c>
      <c r="AB1516">
        <v>170</v>
      </c>
      <c r="AD1516" t="s">
        <v>238</v>
      </c>
      <c r="AE1516">
        <v>3</v>
      </c>
      <c r="AF1516">
        <v>0</v>
      </c>
      <c r="AI1516">
        <v>0</v>
      </c>
      <c r="AJ1516">
        <v>15</v>
      </c>
      <c r="AK1516">
        <v>15</v>
      </c>
      <c r="AL1516">
        <v>1035</v>
      </c>
      <c r="AM1516">
        <v>0</v>
      </c>
      <c r="AN1516">
        <v>0</v>
      </c>
      <c r="AO1516">
        <v>0</v>
      </c>
      <c r="AP1516" t="s">
        <v>69</v>
      </c>
      <c r="AR1516" t="s">
        <v>240</v>
      </c>
      <c r="AS1516" t="s">
        <v>240</v>
      </c>
      <c r="AT1516" t="s">
        <v>264</v>
      </c>
      <c r="AU1516" t="s">
        <v>240</v>
      </c>
      <c r="AV1516" t="s">
        <v>4038</v>
      </c>
      <c r="AW1516" t="s">
        <v>80</v>
      </c>
      <c r="AX1516" t="s">
        <v>218</v>
      </c>
      <c r="AY1516" t="s">
        <v>4039</v>
      </c>
      <c r="AZ1516" t="s">
        <v>310</v>
      </c>
      <c r="BA1516" t="s">
        <v>264</v>
      </c>
      <c r="BB1516" t="s">
        <v>244</v>
      </c>
      <c r="BC1516" t="s">
        <v>244</v>
      </c>
      <c r="BD1516" t="s">
        <v>4054</v>
      </c>
      <c r="BE1516" t="s">
        <v>4222</v>
      </c>
      <c r="BF1516" t="s">
        <v>786</v>
      </c>
      <c r="BG1516" t="s">
        <v>150</v>
      </c>
      <c r="BH1516" t="str">
        <f>IF(COUNTIF(工作表1!A:A, $C1516)&gt;0, "預購款", "非預購款")</f>
        <v>非預購款</v>
      </c>
    </row>
    <row r="1517" spans="1:60" x14ac:dyDescent="0.25">
      <c r="A1517" t="s">
        <v>4032</v>
      </c>
      <c r="B1517" t="s">
        <v>226</v>
      </c>
      <c r="C1517" t="s">
        <v>4033</v>
      </c>
      <c r="D1517" t="s">
        <v>4034</v>
      </c>
      <c r="E1517" t="s">
        <v>4035</v>
      </c>
      <c r="F1517" t="s">
        <v>222</v>
      </c>
      <c r="G1517" t="s">
        <v>4036</v>
      </c>
      <c r="H1517" t="s">
        <v>130</v>
      </c>
      <c r="I1517" t="s">
        <v>171</v>
      </c>
      <c r="J1517" t="s">
        <v>172</v>
      </c>
      <c r="K1517" t="s">
        <v>69</v>
      </c>
      <c r="L1517" t="s">
        <v>4037</v>
      </c>
      <c r="M1517" t="s">
        <v>71</v>
      </c>
      <c r="N1517" t="s">
        <v>198</v>
      </c>
      <c r="O1517" t="s">
        <v>3966</v>
      </c>
      <c r="P1517" t="s">
        <v>3967</v>
      </c>
      <c r="R1517" t="s">
        <v>1798</v>
      </c>
      <c r="S1517" t="s">
        <v>223</v>
      </c>
      <c r="T1517" t="s">
        <v>76</v>
      </c>
      <c r="U1517" t="s">
        <v>104</v>
      </c>
      <c r="V1517" t="s">
        <v>653</v>
      </c>
      <c r="W1517">
        <v>490</v>
      </c>
      <c r="X1517">
        <v>22.99</v>
      </c>
      <c r="Y1517">
        <v>60</v>
      </c>
      <c r="Z1517">
        <v>355000</v>
      </c>
      <c r="AA1517">
        <v>507150</v>
      </c>
      <c r="AB1517">
        <v>170</v>
      </c>
      <c r="AD1517" t="s">
        <v>238</v>
      </c>
      <c r="AE1517">
        <v>3</v>
      </c>
      <c r="AF1517">
        <v>0</v>
      </c>
      <c r="AI1517">
        <v>0</v>
      </c>
      <c r="AJ1517">
        <v>45</v>
      </c>
      <c r="AK1517">
        <v>45</v>
      </c>
      <c r="AL1517">
        <v>1035</v>
      </c>
      <c r="AM1517">
        <v>0</v>
      </c>
      <c r="AN1517">
        <v>0</v>
      </c>
      <c r="AO1517">
        <v>0</v>
      </c>
      <c r="AP1517" t="s">
        <v>69</v>
      </c>
      <c r="AR1517" t="s">
        <v>240</v>
      </c>
      <c r="AS1517" t="s">
        <v>240</v>
      </c>
      <c r="AT1517" t="s">
        <v>264</v>
      </c>
      <c r="AU1517" t="s">
        <v>240</v>
      </c>
      <c r="AV1517" t="s">
        <v>4038</v>
      </c>
      <c r="AW1517" t="s">
        <v>80</v>
      </c>
      <c r="AX1517" t="s">
        <v>218</v>
      </c>
      <c r="AY1517" t="s">
        <v>4039</v>
      </c>
      <c r="AZ1517" t="s">
        <v>310</v>
      </c>
      <c r="BA1517" t="s">
        <v>264</v>
      </c>
      <c r="BB1517" t="s">
        <v>244</v>
      </c>
      <c r="BC1517" t="s">
        <v>244</v>
      </c>
      <c r="BD1517" t="s">
        <v>4055</v>
      </c>
      <c r="BE1517" t="s">
        <v>4222</v>
      </c>
      <c r="BF1517" t="s">
        <v>786</v>
      </c>
      <c r="BG1517" t="s">
        <v>150</v>
      </c>
      <c r="BH1517" t="str">
        <f>IF(COUNTIF(工作表1!A:A, $C1517)&gt;0, "預購款", "非預購款")</f>
        <v>非預購款</v>
      </c>
    </row>
    <row r="1518" spans="1:60" x14ac:dyDescent="0.25">
      <c r="A1518" t="s">
        <v>4032</v>
      </c>
      <c r="B1518" t="s">
        <v>226</v>
      </c>
      <c r="C1518" t="s">
        <v>4033</v>
      </c>
      <c r="D1518" t="s">
        <v>4034</v>
      </c>
      <c r="E1518" t="s">
        <v>4035</v>
      </c>
      <c r="F1518" t="s">
        <v>222</v>
      </c>
      <c r="G1518" t="s">
        <v>4036</v>
      </c>
      <c r="H1518" t="s">
        <v>3580</v>
      </c>
      <c r="I1518" t="s">
        <v>171</v>
      </c>
      <c r="J1518" t="s">
        <v>172</v>
      </c>
      <c r="K1518" t="s">
        <v>69</v>
      </c>
      <c r="L1518" t="s">
        <v>4037</v>
      </c>
      <c r="M1518" t="s">
        <v>71</v>
      </c>
      <c r="N1518" t="s">
        <v>198</v>
      </c>
      <c r="O1518" t="s">
        <v>3966</v>
      </c>
      <c r="P1518" t="s">
        <v>3967</v>
      </c>
      <c r="R1518" t="s">
        <v>1798</v>
      </c>
      <c r="S1518" t="s">
        <v>223</v>
      </c>
      <c r="T1518" t="s">
        <v>76</v>
      </c>
      <c r="U1518" t="s">
        <v>104</v>
      </c>
      <c r="V1518" t="s">
        <v>653</v>
      </c>
      <c r="W1518">
        <v>490</v>
      </c>
      <c r="X1518">
        <v>22.99</v>
      </c>
      <c r="Y1518">
        <v>60</v>
      </c>
      <c r="Z1518">
        <v>355000</v>
      </c>
      <c r="AA1518">
        <v>507150</v>
      </c>
      <c r="AB1518">
        <v>170</v>
      </c>
      <c r="AD1518" t="s">
        <v>238</v>
      </c>
      <c r="AE1518">
        <v>3</v>
      </c>
      <c r="AF1518">
        <v>0</v>
      </c>
      <c r="AI1518">
        <v>0</v>
      </c>
      <c r="AJ1518">
        <v>15</v>
      </c>
      <c r="AK1518">
        <v>15</v>
      </c>
      <c r="AL1518">
        <v>1035</v>
      </c>
      <c r="AM1518">
        <v>0</v>
      </c>
      <c r="AN1518">
        <v>0</v>
      </c>
      <c r="AO1518">
        <v>0</v>
      </c>
      <c r="AP1518" t="s">
        <v>69</v>
      </c>
      <c r="AR1518" t="s">
        <v>240</v>
      </c>
      <c r="AS1518" t="s">
        <v>240</v>
      </c>
      <c r="AT1518" t="s">
        <v>264</v>
      </c>
      <c r="AU1518" t="s">
        <v>240</v>
      </c>
      <c r="AV1518" t="s">
        <v>4038</v>
      </c>
      <c r="AW1518" t="s">
        <v>80</v>
      </c>
      <c r="AX1518" t="s">
        <v>218</v>
      </c>
      <c r="AY1518" t="s">
        <v>4039</v>
      </c>
      <c r="AZ1518" t="s">
        <v>310</v>
      </c>
      <c r="BA1518" t="s">
        <v>264</v>
      </c>
      <c r="BB1518" t="s">
        <v>244</v>
      </c>
      <c r="BC1518" t="s">
        <v>244</v>
      </c>
      <c r="BD1518" t="s">
        <v>4056</v>
      </c>
      <c r="BE1518" t="s">
        <v>4222</v>
      </c>
      <c r="BF1518" t="s">
        <v>786</v>
      </c>
      <c r="BG1518" t="s">
        <v>150</v>
      </c>
      <c r="BH1518" t="str">
        <f>IF(COUNTIF(工作表1!A:A, $C1518)&gt;0, "預購款", "非預購款")</f>
        <v>非預購款</v>
      </c>
    </row>
    <row r="1519" spans="1:60" x14ac:dyDescent="0.25">
      <c r="A1519" t="s">
        <v>4032</v>
      </c>
      <c r="B1519" t="s">
        <v>226</v>
      </c>
      <c r="C1519" t="s">
        <v>4033</v>
      </c>
      <c r="D1519" t="s">
        <v>4034</v>
      </c>
      <c r="E1519" t="s">
        <v>4035</v>
      </c>
      <c r="F1519" t="s">
        <v>222</v>
      </c>
      <c r="G1519" t="s">
        <v>4036</v>
      </c>
      <c r="H1519" t="s">
        <v>132</v>
      </c>
      <c r="I1519" t="s">
        <v>171</v>
      </c>
      <c r="J1519" t="s">
        <v>172</v>
      </c>
      <c r="K1519" t="s">
        <v>69</v>
      </c>
      <c r="L1519" t="s">
        <v>4037</v>
      </c>
      <c r="M1519" t="s">
        <v>71</v>
      </c>
      <c r="N1519" t="s">
        <v>198</v>
      </c>
      <c r="O1519" t="s">
        <v>3966</v>
      </c>
      <c r="P1519" t="s">
        <v>3967</v>
      </c>
      <c r="R1519" t="s">
        <v>1798</v>
      </c>
      <c r="S1519" t="s">
        <v>223</v>
      </c>
      <c r="T1519" t="s">
        <v>76</v>
      </c>
      <c r="U1519" t="s">
        <v>104</v>
      </c>
      <c r="V1519" t="s">
        <v>653</v>
      </c>
      <c r="W1519">
        <v>490</v>
      </c>
      <c r="X1519">
        <v>22.99</v>
      </c>
      <c r="Y1519">
        <v>60</v>
      </c>
      <c r="Z1519">
        <v>355000</v>
      </c>
      <c r="AA1519">
        <v>507150</v>
      </c>
      <c r="AB1519">
        <v>170</v>
      </c>
      <c r="AD1519" t="s">
        <v>238</v>
      </c>
      <c r="AE1519">
        <v>3</v>
      </c>
      <c r="AF1519">
        <v>0</v>
      </c>
      <c r="AI1519">
        <v>0</v>
      </c>
      <c r="AJ1519">
        <v>15</v>
      </c>
      <c r="AK1519">
        <v>15</v>
      </c>
      <c r="AL1519">
        <v>1035</v>
      </c>
      <c r="AM1519">
        <v>0</v>
      </c>
      <c r="AN1519">
        <v>0</v>
      </c>
      <c r="AO1519">
        <v>0</v>
      </c>
      <c r="AP1519" t="s">
        <v>69</v>
      </c>
      <c r="AR1519" t="s">
        <v>240</v>
      </c>
      <c r="AS1519" t="s">
        <v>240</v>
      </c>
      <c r="AT1519" t="s">
        <v>264</v>
      </c>
      <c r="AU1519" t="s">
        <v>240</v>
      </c>
      <c r="AV1519" t="s">
        <v>4038</v>
      </c>
      <c r="AW1519" t="s">
        <v>80</v>
      </c>
      <c r="AX1519" t="s">
        <v>218</v>
      </c>
      <c r="AY1519" t="s">
        <v>4039</v>
      </c>
      <c r="AZ1519" t="s">
        <v>310</v>
      </c>
      <c r="BA1519" t="s">
        <v>264</v>
      </c>
      <c r="BB1519" t="s">
        <v>244</v>
      </c>
      <c r="BC1519" t="s">
        <v>244</v>
      </c>
      <c r="BD1519" t="s">
        <v>4057</v>
      </c>
      <c r="BE1519" t="s">
        <v>4222</v>
      </c>
      <c r="BF1519" t="s">
        <v>786</v>
      </c>
      <c r="BG1519" t="s">
        <v>150</v>
      </c>
      <c r="BH1519" t="str">
        <f>IF(COUNTIF(工作表1!A:A, $C1519)&gt;0, "預購款", "非預購款")</f>
        <v>非預購款</v>
      </c>
    </row>
    <row r="1520" spans="1:60" x14ac:dyDescent="0.25">
      <c r="A1520" t="s">
        <v>4223</v>
      </c>
      <c r="B1520" t="s">
        <v>4224</v>
      </c>
      <c r="C1520" t="s">
        <v>4225</v>
      </c>
      <c r="D1520" t="s">
        <v>4226</v>
      </c>
      <c r="E1520" t="s">
        <v>4227</v>
      </c>
      <c r="F1520" t="s">
        <v>222</v>
      </c>
      <c r="G1520" t="s">
        <v>4228</v>
      </c>
      <c r="H1520" t="s">
        <v>566</v>
      </c>
      <c r="I1520" t="s">
        <v>4219</v>
      </c>
      <c r="J1520" t="s">
        <v>4220</v>
      </c>
      <c r="K1520" t="s">
        <v>69</v>
      </c>
      <c r="M1520" t="s">
        <v>71</v>
      </c>
      <c r="N1520" t="s">
        <v>198</v>
      </c>
      <c r="O1520" t="s">
        <v>1307</v>
      </c>
      <c r="P1520" t="s">
        <v>1308</v>
      </c>
      <c r="S1520" t="s">
        <v>4179</v>
      </c>
      <c r="T1520" t="s">
        <v>4229</v>
      </c>
      <c r="U1520" t="s">
        <v>527</v>
      </c>
      <c r="V1520" t="s">
        <v>554</v>
      </c>
      <c r="W1520">
        <v>590</v>
      </c>
      <c r="X1520">
        <v>29.99</v>
      </c>
      <c r="Y1520">
        <v>75</v>
      </c>
      <c r="Z1520">
        <v>429000</v>
      </c>
      <c r="AA1520">
        <v>123900</v>
      </c>
      <c r="AB1520">
        <v>0</v>
      </c>
      <c r="AD1520" t="s">
        <v>238</v>
      </c>
      <c r="AE1520">
        <v>7</v>
      </c>
      <c r="AF1520">
        <v>0</v>
      </c>
      <c r="AI1520">
        <v>0</v>
      </c>
      <c r="AJ1520">
        <v>30</v>
      </c>
      <c r="AK1520">
        <v>30</v>
      </c>
      <c r="AL1520">
        <v>210</v>
      </c>
      <c r="AM1520">
        <v>0</v>
      </c>
      <c r="AN1520">
        <v>0</v>
      </c>
      <c r="AO1520">
        <v>0</v>
      </c>
      <c r="AP1520" t="s">
        <v>69</v>
      </c>
      <c r="AT1520" t="s">
        <v>261</v>
      </c>
      <c r="AV1520" t="s">
        <v>4230</v>
      </c>
      <c r="AW1520" t="s">
        <v>69</v>
      </c>
      <c r="AY1520" t="s">
        <v>4231</v>
      </c>
      <c r="BD1520" t="s">
        <v>4232</v>
      </c>
      <c r="BE1520" t="s">
        <v>4233</v>
      </c>
      <c r="BH1520" t="str">
        <f>IF(COUNTIF(工作表1!A:A, $C1520)&gt;0, "預購款", "非預購款")</f>
        <v>非預購款</v>
      </c>
    </row>
    <row r="1521" spans="1:60" x14ac:dyDescent="0.25">
      <c r="A1521" t="s">
        <v>4223</v>
      </c>
      <c r="B1521" t="s">
        <v>4224</v>
      </c>
      <c r="C1521" t="s">
        <v>4225</v>
      </c>
      <c r="D1521" t="s">
        <v>4226</v>
      </c>
      <c r="E1521" t="s">
        <v>4227</v>
      </c>
      <c r="F1521" t="s">
        <v>222</v>
      </c>
      <c r="G1521" t="s">
        <v>4228</v>
      </c>
      <c r="H1521" t="s">
        <v>566</v>
      </c>
      <c r="I1521" t="s">
        <v>1635</v>
      </c>
      <c r="J1521" t="s">
        <v>1636</v>
      </c>
      <c r="K1521" t="s">
        <v>69</v>
      </c>
      <c r="M1521" t="s">
        <v>71</v>
      </c>
      <c r="N1521" t="s">
        <v>198</v>
      </c>
      <c r="O1521" t="s">
        <v>1307</v>
      </c>
      <c r="P1521" t="s">
        <v>1308</v>
      </c>
      <c r="S1521" t="s">
        <v>4179</v>
      </c>
      <c r="T1521" t="s">
        <v>4229</v>
      </c>
      <c r="U1521" t="s">
        <v>527</v>
      </c>
      <c r="V1521" t="s">
        <v>554</v>
      </c>
      <c r="W1521">
        <v>590</v>
      </c>
      <c r="X1521">
        <v>29.99</v>
      </c>
      <c r="Y1521">
        <v>75</v>
      </c>
      <c r="Z1521">
        <v>429000</v>
      </c>
      <c r="AA1521">
        <v>123900</v>
      </c>
      <c r="AB1521">
        <v>0</v>
      </c>
      <c r="AD1521" t="s">
        <v>238</v>
      </c>
      <c r="AE1521">
        <v>7</v>
      </c>
      <c r="AF1521">
        <v>0</v>
      </c>
      <c r="AI1521">
        <v>0</v>
      </c>
      <c r="AJ1521">
        <v>30</v>
      </c>
      <c r="AK1521">
        <v>30</v>
      </c>
      <c r="AL1521">
        <v>210</v>
      </c>
      <c r="AM1521">
        <v>0</v>
      </c>
      <c r="AN1521">
        <v>0</v>
      </c>
      <c r="AO1521">
        <v>0</v>
      </c>
      <c r="AP1521" t="s">
        <v>69</v>
      </c>
      <c r="AT1521" t="s">
        <v>261</v>
      </c>
      <c r="AV1521" t="s">
        <v>4230</v>
      </c>
      <c r="AW1521" t="s">
        <v>69</v>
      </c>
      <c r="AY1521" t="s">
        <v>4231</v>
      </c>
      <c r="BD1521" t="s">
        <v>4234</v>
      </c>
      <c r="BE1521" t="s">
        <v>4233</v>
      </c>
      <c r="BH1521" t="str">
        <f>IF(COUNTIF(工作表1!A:A, $C1521)&gt;0, "預購款", "非預購款")</f>
        <v>非預購款</v>
      </c>
    </row>
    <row r="1522" spans="1:60" x14ac:dyDescent="0.25">
      <c r="A1522" t="s">
        <v>4223</v>
      </c>
      <c r="B1522" t="s">
        <v>4224</v>
      </c>
      <c r="C1522" t="s">
        <v>4225</v>
      </c>
      <c r="D1522" t="s">
        <v>4226</v>
      </c>
      <c r="E1522" t="s">
        <v>4227</v>
      </c>
      <c r="F1522" t="s">
        <v>222</v>
      </c>
      <c r="G1522" t="s">
        <v>4228</v>
      </c>
      <c r="H1522" t="s">
        <v>566</v>
      </c>
      <c r="I1522" t="s">
        <v>422</v>
      </c>
      <c r="J1522" t="s">
        <v>423</v>
      </c>
      <c r="K1522" t="s">
        <v>69</v>
      </c>
      <c r="M1522" t="s">
        <v>71</v>
      </c>
      <c r="N1522" t="s">
        <v>198</v>
      </c>
      <c r="O1522" t="s">
        <v>1307</v>
      </c>
      <c r="P1522" t="s">
        <v>1308</v>
      </c>
      <c r="S1522" t="s">
        <v>4179</v>
      </c>
      <c r="T1522" t="s">
        <v>4229</v>
      </c>
      <c r="U1522" t="s">
        <v>527</v>
      </c>
      <c r="V1522" t="s">
        <v>554</v>
      </c>
      <c r="W1522">
        <v>590</v>
      </c>
      <c r="X1522">
        <v>29.99</v>
      </c>
      <c r="Y1522">
        <v>75</v>
      </c>
      <c r="Z1522">
        <v>429000</v>
      </c>
      <c r="AA1522">
        <v>123900</v>
      </c>
      <c r="AB1522">
        <v>0</v>
      </c>
      <c r="AD1522" t="s">
        <v>238</v>
      </c>
      <c r="AE1522">
        <v>7</v>
      </c>
      <c r="AF1522">
        <v>0</v>
      </c>
      <c r="AI1522">
        <v>0</v>
      </c>
      <c r="AJ1522">
        <v>30</v>
      </c>
      <c r="AK1522">
        <v>30</v>
      </c>
      <c r="AL1522">
        <v>210</v>
      </c>
      <c r="AM1522">
        <v>0</v>
      </c>
      <c r="AN1522">
        <v>0</v>
      </c>
      <c r="AO1522">
        <v>0</v>
      </c>
      <c r="AP1522" t="s">
        <v>69</v>
      </c>
      <c r="AT1522" t="s">
        <v>261</v>
      </c>
      <c r="AV1522" t="s">
        <v>4230</v>
      </c>
      <c r="AW1522" t="s">
        <v>69</v>
      </c>
      <c r="AY1522" t="s">
        <v>4231</v>
      </c>
      <c r="BD1522" t="s">
        <v>4235</v>
      </c>
      <c r="BE1522" t="s">
        <v>4233</v>
      </c>
      <c r="BH1522" t="str">
        <f>IF(COUNTIF(工作表1!A:A, $C1522)&gt;0, "預購款", "非預購款")</f>
        <v>非預購款</v>
      </c>
    </row>
    <row r="1523" spans="1:60" x14ac:dyDescent="0.25">
      <c r="A1523" t="s">
        <v>4223</v>
      </c>
      <c r="B1523" t="s">
        <v>4224</v>
      </c>
      <c r="C1523" t="s">
        <v>4225</v>
      </c>
      <c r="D1523" t="s">
        <v>4226</v>
      </c>
      <c r="E1523" t="s">
        <v>4227</v>
      </c>
      <c r="F1523" t="s">
        <v>222</v>
      </c>
      <c r="G1523" t="s">
        <v>4228</v>
      </c>
      <c r="H1523" t="s">
        <v>566</v>
      </c>
      <c r="I1523" t="s">
        <v>214</v>
      </c>
      <c r="J1523" t="s">
        <v>215</v>
      </c>
      <c r="K1523" t="s">
        <v>69</v>
      </c>
      <c r="M1523" t="s">
        <v>71</v>
      </c>
      <c r="N1523" t="s">
        <v>198</v>
      </c>
      <c r="O1523" t="s">
        <v>1307</v>
      </c>
      <c r="P1523" t="s">
        <v>1308</v>
      </c>
      <c r="S1523" t="s">
        <v>4179</v>
      </c>
      <c r="T1523" t="s">
        <v>4229</v>
      </c>
      <c r="U1523" t="s">
        <v>527</v>
      </c>
      <c r="V1523" t="s">
        <v>554</v>
      </c>
      <c r="W1523">
        <v>590</v>
      </c>
      <c r="X1523">
        <v>29.99</v>
      </c>
      <c r="Y1523">
        <v>75</v>
      </c>
      <c r="Z1523">
        <v>429000</v>
      </c>
      <c r="AA1523">
        <v>123900</v>
      </c>
      <c r="AB1523">
        <v>0</v>
      </c>
      <c r="AD1523" t="s">
        <v>238</v>
      </c>
      <c r="AE1523">
        <v>7</v>
      </c>
      <c r="AF1523">
        <v>0</v>
      </c>
      <c r="AI1523">
        <v>0</v>
      </c>
      <c r="AJ1523">
        <v>30</v>
      </c>
      <c r="AK1523">
        <v>30</v>
      </c>
      <c r="AL1523">
        <v>210</v>
      </c>
      <c r="AM1523">
        <v>0</v>
      </c>
      <c r="AN1523">
        <v>0</v>
      </c>
      <c r="AO1523">
        <v>0</v>
      </c>
      <c r="AP1523" t="s">
        <v>69</v>
      </c>
      <c r="AT1523" t="s">
        <v>261</v>
      </c>
      <c r="AV1523" t="s">
        <v>4230</v>
      </c>
      <c r="AW1523" t="s">
        <v>69</v>
      </c>
      <c r="AY1523" t="s">
        <v>4231</v>
      </c>
      <c r="BD1523" t="s">
        <v>4236</v>
      </c>
      <c r="BE1523" t="s">
        <v>4233</v>
      </c>
      <c r="BH1523" t="str">
        <f>IF(COUNTIF(工作表1!A:A, $C1523)&gt;0, "預購款", "非預購款")</f>
        <v>非預購款</v>
      </c>
    </row>
    <row r="1524" spans="1:60" x14ac:dyDescent="0.25">
      <c r="A1524" t="s">
        <v>4223</v>
      </c>
      <c r="B1524" t="s">
        <v>4224</v>
      </c>
      <c r="C1524" t="s">
        <v>4225</v>
      </c>
      <c r="D1524" t="s">
        <v>4226</v>
      </c>
      <c r="E1524" t="s">
        <v>4227</v>
      </c>
      <c r="F1524" t="s">
        <v>222</v>
      </c>
      <c r="G1524" t="s">
        <v>4228</v>
      </c>
      <c r="H1524" t="s">
        <v>566</v>
      </c>
      <c r="I1524" t="s">
        <v>4237</v>
      </c>
      <c r="J1524" t="s">
        <v>4238</v>
      </c>
      <c r="K1524" t="s">
        <v>69</v>
      </c>
      <c r="M1524" t="s">
        <v>71</v>
      </c>
      <c r="N1524" t="s">
        <v>198</v>
      </c>
      <c r="O1524" t="s">
        <v>1307</v>
      </c>
      <c r="P1524" t="s">
        <v>1308</v>
      </c>
      <c r="S1524" t="s">
        <v>4179</v>
      </c>
      <c r="T1524" t="s">
        <v>4229</v>
      </c>
      <c r="U1524" t="s">
        <v>527</v>
      </c>
      <c r="V1524" t="s">
        <v>554</v>
      </c>
      <c r="W1524">
        <v>590</v>
      </c>
      <c r="X1524">
        <v>29.99</v>
      </c>
      <c r="Y1524">
        <v>75</v>
      </c>
      <c r="Z1524">
        <v>429000</v>
      </c>
      <c r="AA1524">
        <v>123900</v>
      </c>
      <c r="AB1524">
        <v>0</v>
      </c>
      <c r="AD1524" t="s">
        <v>238</v>
      </c>
      <c r="AE1524">
        <v>7</v>
      </c>
      <c r="AF1524">
        <v>0</v>
      </c>
      <c r="AI1524">
        <v>0</v>
      </c>
      <c r="AJ1524">
        <v>30</v>
      </c>
      <c r="AK1524">
        <v>30</v>
      </c>
      <c r="AL1524">
        <v>210</v>
      </c>
      <c r="AM1524">
        <v>0</v>
      </c>
      <c r="AN1524">
        <v>0</v>
      </c>
      <c r="AO1524">
        <v>0</v>
      </c>
      <c r="AP1524" t="s">
        <v>69</v>
      </c>
      <c r="AT1524" t="s">
        <v>261</v>
      </c>
      <c r="AV1524" t="s">
        <v>4230</v>
      </c>
      <c r="AW1524" t="s">
        <v>69</v>
      </c>
      <c r="AY1524" t="s">
        <v>4231</v>
      </c>
      <c r="BD1524" t="s">
        <v>4239</v>
      </c>
      <c r="BE1524" t="s">
        <v>4233</v>
      </c>
      <c r="BH1524" t="str">
        <f>IF(COUNTIF(工作表1!A:A, $C1524)&gt;0, "預購款", "非預購款")</f>
        <v>非預購款</v>
      </c>
    </row>
    <row r="1525" spans="1:60" x14ac:dyDescent="0.25">
      <c r="A1525" t="s">
        <v>4223</v>
      </c>
      <c r="B1525" t="s">
        <v>4224</v>
      </c>
      <c r="C1525" t="s">
        <v>4225</v>
      </c>
      <c r="D1525" t="s">
        <v>4226</v>
      </c>
      <c r="E1525" t="s">
        <v>4227</v>
      </c>
      <c r="F1525" t="s">
        <v>222</v>
      </c>
      <c r="G1525" t="s">
        <v>4228</v>
      </c>
      <c r="H1525" t="s">
        <v>566</v>
      </c>
      <c r="I1525" t="s">
        <v>4240</v>
      </c>
      <c r="J1525" t="s">
        <v>4241</v>
      </c>
      <c r="K1525" t="s">
        <v>69</v>
      </c>
      <c r="M1525" t="s">
        <v>71</v>
      </c>
      <c r="N1525" t="s">
        <v>198</v>
      </c>
      <c r="O1525" t="s">
        <v>1307</v>
      </c>
      <c r="P1525" t="s">
        <v>1308</v>
      </c>
      <c r="S1525" t="s">
        <v>4179</v>
      </c>
      <c r="T1525" t="s">
        <v>4229</v>
      </c>
      <c r="U1525" t="s">
        <v>527</v>
      </c>
      <c r="V1525" t="s">
        <v>554</v>
      </c>
      <c r="W1525">
        <v>590</v>
      </c>
      <c r="X1525">
        <v>29.99</v>
      </c>
      <c r="Y1525">
        <v>75</v>
      </c>
      <c r="Z1525">
        <v>429000</v>
      </c>
      <c r="AA1525">
        <v>123900</v>
      </c>
      <c r="AB1525">
        <v>0</v>
      </c>
      <c r="AD1525" t="s">
        <v>238</v>
      </c>
      <c r="AE1525">
        <v>7</v>
      </c>
      <c r="AF1525">
        <v>0</v>
      </c>
      <c r="AI1525">
        <v>0</v>
      </c>
      <c r="AJ1525">
        <v>30</v>
      </c>
      <c r="AK1525">
        <v>30</v>
      </c>
      <c r="AL1525">
        <v>210</v>
      </c>
      <c r="AM1525">
        <v>0</v>
      </c>
      <c r="AN1525">
        <v>0</v>
      </c>
      <c r="AO1525">
        <v>0</v>
      </c>
      <c r="AP1525" t="s">
        <v>69</v>
      </c>
      <c r="AT1525" t="s">
        <v>261</v>
      </c>
      <c r="AV1525" t="s">
        <v>4230</v>
      </c>
      <c r="AW1525" t="s">
        <v>69</v>
      </c>
      <c r="AY1525" t="s">
        <v>4231</v>
      </c>
      <c r="BD1525" t="s">
        <v>4242</v>
      </c>
      <c r="BE1525" t="s">
        <v>4233</v>
      </c>
      <c r="BH1525" t="str">
        <f>IF(COUNTIF(工作表1!A:A, $C1525)&gt;0, "預購款", "非預購款")</f>
        <v>非預購款</v>
      </c>
    </row>
    <row r="1526" spans="1:60" x14ac:dyDescent="0.25">
      <c r="A1526" t="s">
        <v>4223</v>
      </c>
      <c r="B1526" t="s">
        <v>4224</v>
      </c>
      <c r="C1526" t="s">
        <v>4225</v>
      </c>
      <c r="D1526" t="s">
        <v>4226</v>
      </c>
      <c r="E1526" t="s">
        <v>4227</v>
      </c>
      <c r="F1526" t="s">
        <v>222</v>
      </c>
      <c r="G1526" t="s">
        <v>4228</v>
      </c>
      <c r="H1526" t="s">
        <v>566</v>
      </c>
      <c r="I1526" t="s">
        <v>88</v>
      </c>
      <c r="J1526" t="s">
        <v>89</v>
      </c>
      <c r="K1526" t="s">
        <v>69</v>
      </c>
      <c r="M1526" t="s">
        <v>71</v>
      </c>
      <c r="N1526" t="s">
        <v>198</v>
      </c>
      <c r="O1526" t="s">
        <v>1307</v>
      </c>
      <c r="P1526" t="s">
        <v>1308</v>
      </c>
      <c r="S1526" t="s">
        <v>4179</v>
      </c>
      <c r="T1526" t="s">
        <v>4229</v>
      </c>
      <c r="U1526" t="s">
        <v>527</v>
      </c>
      <c r="V1526" t="s">
        <v>554</v>
      </c>
      <c r="W1526">
        <v>590</v>
      </c>
      <c r="X1526">
        <v>29.99</v>
      </c>
      <c r="Y1526">
        <v>75</v>
      </c>
      <c r="Z1526">
        <v>429000</v>
      </c>
      <c r="AA1526">
        <v>123900</v>
      </c>
      <c r="AB1526">
        <v>0</v>
      </c>
      <c r="AD1526" t="s">
        <v>238</v>
      </c>
      <c r="AE1526">
        <v>7</v>
      </c>
      <c r="AF1526">
        <v>0</v>
      </c>
      <c r="AI1526">
        <v>0</v>
      </c>
      <c r="AJ1526">
        <v>30</v>
      </c>
      <c r="AK1526">
        <v>30</v>
      </c>
      <c r="AL1526">
        <v>210</v>
      </c>
      <c r="AM1526">
        <v>0</v>
      </c>
      <c r="AN1526">
        <v>0</v>
      </c>
      <c r="AO1526">
        <v>0</v>
      </c>
      <c r="AP1526" t="s">
        <v>69</v>
      </c>
      <c r="AT1526" t="s">
        <v>261</v>
      </c>
      <c r="AV1526" t="s">
        <v>4230</v>
      </c>
      <c r="AW1526" t="s">
        <v>69</v>
      </c>
      <c r="AY1526" t="s">
        <v>4231</v>
      </c>
      <c r="BD1526" t="s">
        <v>4243</v>
      </c>
      <c r="BE1526" t="s">
        <v>4233</v>
      </c>
      <c r="BH1526" t="str">
        <f>IF(COUNTIF(工作表1!A:A, $C1526)&gt;0, "預購款", "非預購款")</f>
        <v>非預購款</v>
      </c>
    </row>
    <row r="1527" spans="1:60" x14ac:dyDescent="0.25">
      <c r="A1527" t="s">
        <v>4244</v>
      </c>
      <c r="B1527" t="s">
        <v>4224</v>
      </c>
      <c r="C1527" t="s">
        <v>4245</v>
      </c>
      <c r="D1527" t="s">
        <v>4246</v>
      </c>
      <c r="E1527" t="s">
        <v>4247</v>
      </c>
      <c r="F1527" t="s">
        <v>222</v>
      </c>
      <c r="G1527" t="s">
        <v>4248</v>
      </c>
      <c r="H1527" t="s">
        <v>566</v>
      </c>
      <c r="I1527" t="s">
        <v>111</v>
      </c>
      <c r="J1527" t="s">
        <v>112</v>
      </c>
      <c r="K1527" t="s">
        <v>69</v>
      </c>
      <c r="M1527" t="s">
        <v>71</v>
      </c>
      <c r="N1527" t="s">
        <v>198</v>
      </c>
      <c r="O1527" t="s">
        <v>1307</v>
      </c>
      <c r="P1527" t="s">
        <v>1308</v>
      </c>
      <c r="S1527" t="s">
        <v>4179</v>
      </c>
      <c r="T1527" t="s">
        <v>4229</v>
      </c>
      <c r="U1527" t="s">
        <v>527</v>
      </c>
      <c r="V1527" t="s">
        <v>1311</v>
      </c>
      <c r="W1527">
        <v>1290</v>
      </c>
      <c r="X1527">
        <v>49.99</v>
      </c>
      <c r="Y1527">
        <v>169</v>
      </c>
      <c r="Z1527">
        <v>929000</v>
      </c>
      <c r="AA1527">
        <v>51600</v>
      </c>
      <c r="AB1527">
        <v>0</v>
      </c>
      <c r="AD1527" t="s">
        <v>238</v>
      </c>
      <c r="AE1527">
        <v>2</v>
      </c>
      <c r="AF1527">
        <v>0</v>
      </c>
      <c r="AI1527">
        <v>0</v>
      </c>
      <c r="AJ1527">
        <v>20</v>
      </c>
      <c r="AK1527">
        <v>20</v>
      </c>
      <c r="AL1527">
        <v>40</v>
      </c>
      <c r="AM1527">
        <v>0</v>
      </c>
      <c r="AN1527">
        <v>0</v>
      </c>
      <c r="AO1527">
        <v>0</v>
      </c>
      <c r="AP1527" t="s">
        <v>69</v>
      </c>
      <c r="AT1527" t="s">
        <v>261</v>
      </c>
      <c r="AV1527" t="s">
        <v>4249</v>
      </c>
      <c r="AW1527" t="s">
        <v>69</v>
      </c>
      <c r="AY1527" t="s">
        <v>4250</v>
      </c>
      <c r="BD1527" t="s">
        <v>4251</v>
      </c>
      <c r="BE1527" t="s">
        <v>4252</v>
      </c>
      <c r="BH1527" t="str">
        <f>IF(COUNTIF(工作表1!A:A, $C1527)&gt;0, "預購款", "非預購款")</f>
        <v>非預購款</v>
      </c>
    </row>
    <row r="1528" spans="1:60" x14ac:dyDescent="0.25">
      <c r="A1528" t="s">
        <v>4244</v>
      </c>
      <c r="B1528" t="s">
        <v>4224</v>
      </c>
      <c r="C1528" t="s">
        <v>4245</v>
      </c>
      <c r="D1528" t="s">
        <v>4246</v>
      </c>
      <c r="E1528" t="s">
        <v>4247</v>
      </c>
      <c r="F1528" t="s">
        <v>222</v>
      </c>
      <c r="G1528" t="s">
        <v>4248</v>
      </c>
      <c r="H1528" t="s">
        <v>566</v>
      </c>
      <c r="I1528" t="s">
        <v>214</v>
      </c>
      <c r="J1528" t="s">
        <v>215</v>
      </c>
      <c r="K1528" t="s">
        <v>69</v>
      </c>
      <c r="M1528" t="s">
        <v>71</v>
      </c>
      <c r="N1528" t="s">
        <v>198</v>
      </c>
      <c r="O1528" t="s">
        <v>1307</v>
      </c>
      <c r="P1528" t="s">
        <v>1308</v>
      </c>
      <c r="S1528" t="s">
        <v>4179</v>
      </c>
      <c r="T1528" t="s">
        <v>4229</v>
      </c>
      <c r="U1528" t="s">
        <v>527</v>
      </c>
      <c r="V1528" t="s">
        <v>1311</v>
      </c>
      <c r="W1528">
        <v>1290</v>
      </c>
      <c r="X1528">
        <v>49.99</v>
      </c>
      <c r="Y1528">
        <v>169</v>
      </c>
      <c r="Z1528">
        <v>929000</v>
      </c>
      <c r="AA1528">
        <v>51600</v>
      </c>
      <c r="AB1528">
        <v>0</v>
      </c>
      <c r="AD1528" t="s">
        <v>238</v>
      </c>
      <c r="AE1528">
        <v>2</v>
      </c>
      <c r="AF1528">
        <v>0</v>
      </c>
      <c r="AI1528">
        <v>0</v>
      </c>
      <c r="AJ1528">
        <v>20</v>
      </c>
      <c r="AK1528">
        <v>20</v>
      </c>
      <c r="AL1528">
        <v>40</v>
      </c>
      <c r="AM1528">
        <v>0</v>
      </c>
      <c r="AN1528">
        <v>0</v>
      </c>
      <c r="AO1528">
        <v>0</v>
      </c>
      <c r="AP1528" t="s">
        <v>69</v>
      </c>
      <c r="AT1528" t="s">
        <v>261</v>
      </c>
      <c r="AV1528" t="s">
        <v>4249</v>
      </c>
      <c r="AW1528" t="s">
        <v>69</v>
      </c>
      <c r="AY1528" t="s">
        <v>4250</v>
      </c>
      <c r="BD1528" t="s">
        <v>4253</v>
      </c>
      <c r="BE1528" t="s">
        <v>4252</v>
      </c>
      <c r="BH1528" t="str">
        <f>IF(COUNTIF(工作表1!A:A, $C1528)&gt;0, "預購款", "非預購款")</f>
        <v>非預購款</v>
      </c>
    </row>
    <row r="1529" spans="1:60" x14ac:dyDescent="0.25">
      <c r="A1529" t="s">
        <v>4254</v>
      </c>
      <c r="B1529" t="s">
        <v>4224</v>
      </c>
      <c r="C1529" t="s">
        <v>4255</v>
      </c>
      <c r="D1529" t="s">
        <v>4256</v>
      </c>
      <c r="E1529" t="s">
        <v>4257</v>
      </c>
      <c r="F1529" t="s">
        <v>222</v>
      </c>
      <c r="G1529" t="s">
        <v>4258</v>
      </c>
      <c r="H1529" t="s">
        <v>566</v>
      </c>
      <c r="I1529" t="s">
        <v>4219</v>
      </c>
      <c r="J1529" t="s">
        <v>4220</v>
      </c>
      <c r="K1529" t="s">
        <v>69</v>
      </c>
      <c r="M1529" t="s">
        <v>71</v>
      </c>
      <c r="N1529" t="s">
        <v>198</v>
      </c>
      <c r="O1529" t="s">
        <v>1307</v>
      </c>
      <c r="P1529" t="s">
        <v>1308</v>
      </c>
      <c r="S1529" t="s">
        <v>4179</v>
      </c>
      <c r="T1529" t="s">
        <v>4229</v>
      </c>
      <c r="U1529" t="s">
        <v>527</v>
      </c>
      <c r="V1529" t="s">
        <v>1311</v>
      </c>
      <c r="W1529">
        <v>650</v>
      </c>
      <c r="X1529">
        <v>0</v>
      </c>
      <c r="Y1529">
        <v>0</v>
      </c>
      <c r="Z1529">
        <v>0</v>
      </c>
      <c r="AA1529">
        <v>26000</v>
      </c>
      <c r="AB1529">
        <v>0</v>
      </c>
      <c r="AD1529" t="s">
        <v>238</v>
      </c>
      <c r="AE1529">
        <v>2</v>
      </c>
      <c r="AF1529">
        <v>0</v>
      </c>
      <c r="AI1529">
        <v>0</v>
      </c>
      <c r="AJ1529">
        <v>20</v>
      </c>
      <c r="AK1529">
        <v>20</v>
      </c>
      <c r="AL1529">
        <v>40</v>
      </c>
      <c r="AM1529">
        <v>0</v>
      </c>
      <c r="AN1529">
        <v>0</v>
      </c>
      <c r="AO1529">
        <v>0</v>
      </c>
      <c r="AP1529" t="s">
        <v>69</v>
      </c>
      <c r="AT1529" t="s">
        <v>261</v>
      </c>
      <c r="AV1529" t="s">
        <v>4259</v>
      </c>
      <c r="AW1529" t="s">
        <v>69</v>
      </c>
      <c r="AY1529" t="s">
        <v>4260</v>
      </c>
      <c r="BD1529" t="s">
        <v>4261</v>
      </c>
      <c r="BE1529" t="s">
        <v>4262</v>
      </c>
      <c r="BH1529" t="str">
        <f>IF(COUNTIF(工作表1!A:A, $C1529)&gt;0, "預購款", "非預購款")</f>
        <v>非預購款</v>
      </c>
    </row>
    <row r="1530" spans="1:60" x14ac:dyDescent="0.25">
      <c r="A1530" t="s">
        <v>4254</v>
      </c>
      <c r="B1530" t="s">
        <v>4224</v>
      </c>
      <c r="C1530" t="s">
        <v>4255</v>
      </c>
      <c r="D1530" t="s">
        <v>4256</v>
      </c>
      <c r="E1530" t="s">
        <v>4257</v>
      </c>
      <c r="F1530" t="s">
        <v>222</v>
      </c>
      <c r="G1530" t="s">
        <v>4258</v>
      </c>
      <c r="H1530" t="s">
        <v>566</v>
      </c>
      <c r="I1530" t="s">
        <v>422</v>
      </c>
      <c r="J1530" t="s">
        <v>423</v>
      </c>
      <c r="K1530" t="s">
        <v>69</v>
      </c>
      <c r="M1530" t="s">
        <v>71</v>
      </c>
      <c r="N1530" t="s">
        <v>198</v>
      </c>
      <c r="O1530" t="s">
        <v>1307</v>
      </c>
      <c r="P1530" t="s">
        <v>1308</v>
      </c>
      <c r="S1530" t="s">
        <v>4179</v>
      </c>
      <c r="T1530" t="s">
        <v>4229</v>
      </c>
      <c r="U1530" t="s">
        <v>527</v>
      </c>
      <c r="V1530" t="s">
        <v>1311</v>
      </c>
      <c r="W1530">
        <v>650</v>
      </c>
      <c r="X1530">
        <v>0</v>
      </c>
      <c r="Y1530">
        <v>0</v>
      </c>
      <c r="Z1530">
        <v>0</v>
      </c>
      <c r="AA1530">
        <v>26000</v>
      </c>
      <c r="AB1530">
        <v>0</v>
      </c>
      <c r="AD1530" t="s">
        <v>238</v>
      </c>
      <c r="AE1530">
        <v>2</v>
      </c>
      <c r="AF1530">
        <v>0</v>
      </c>
      <c r="AI1530">
        <v>0</v>
      </c>
      <c r="AJ1530">
        <v>20</v>
      </c>
      <c r="AK1530">
        <v>20</v>
      </c>
      <c r="AL1530">
        <v>40</v>
      </c>
      <c r="AM1530">
        <v>0</v>
      </c>
      <c r="AN1530">
        <v>0</v>
      </c>
      <c r="AO1530">
        <v>0</v>
      </c>
      <c r="AP1530" t="s">
        <v>69</v>
      </c>
      <c r="AT1530" t="s">
        <v>261</v>
      </c>
      <c r="AV1530" t="s">
        <v>4259</v>
      </c>
      <c r="AW1530" t="s">
        <v>69</v>
      </c>
      <c r="AY1530" t="s">
        <v>4260</v>
      </c>
      <c r="BD1530" t="s">
        <v>4263</v>
      </c>
      <c r="BE1530" t="s">
        <v>4262</v>
      </c>
      <c r="BH1530" t="str">
        <f>IF(COUNTIF(工作表1!A:A, $C1530)&gt;0, "預購款", "非預購款")</f>
        <v>非預購款</v>
      </c>
    </row>
    <row r="1531" spans="1:60" x14ac:dyDescent="0.25">
      <c r="A1531" t="s">
        <v>4264</v>
      </c>
      <c r="B1531" t="s">
        <v>4224</v>
      </c>
      <c r="C1531" t="s">
        <v>4265</v>
      </c>
      <c r="D1531" t="s">
        <v>4266</v>
      </c>
      <c r="E1531" t="s">
        <v>4267</v>
      </c>
      <c r="F1531" t="s">
        <v>222</v>
      </c>
      <c r="G1531" t="s">
        <v>4268</v>
      </c>
      <c r="H1531" t="s">
        <v>566</v>
      </c>
      <c r="I1531" t="s">
        <v>4219</v>
      </c>
      <c r="J1531" t="s">
        <v>4220</v>
      </c>
      <c r="K1531" t="s">
        <v>69</v>
      </c>
      <c r="M1531" t="s">
        <v>71</v>
      </c>
      <c r="N1531" t="s">
        <v>198</v>
      </c>
      <c r="O1531" t="s">
        <v>1307</v>
      </c>
      <c r="P1531" t="s">
        <v>1308</v>
      </c>
      <c r="S1531" t="s">
        <v>4179</v>
      </c>
      <c r="T1531" t="s">
        <v>4229</v>
      </c>
      <c r="U1531" t="s">
        <v>527</v>
      </c>
      <c r="V1531" t="s">
        <v>1311</v>
      </c>
      <c r="W1531">
        <v>690</v>
      </c>
      <c r="X1531">
        <v>29.99</v>
      </c>
      <c r="Y1531">
        <v>89</v>
      </c>
      <c r="Z1531">
        <v>499000</v>
      </c>
      <c r="AA1531">
        <v>27600</v>
      </c>
      <c r="AB1531">
        <v>0</v>
      </c>
      <c r="AD1531" t="s">
        <v>238</v>
      </c>
      <c r="AE1531">
        <v>2</v>
      </c>
      <c r="AF1531">
        <v>0</v>
      </c>
      <c r="AI1531">
        <v>0</v>
      </c>
      <c r="AJ1531">
        <v>20</v>
      </c>
      <c r="AK1531">
        <v>20</v>
      </c>
      <c r="AL1531">
        <v>40</v>
      </c>
      <c r="AM1531">
        <v>0</v>
      </c>
      <c r="AN1531">
        <v>0</v>
      </c>
      <c r="AO1531">
        <v>0</v>
      </c>
      <c r="AP1531" t="s">
        <v>69</v>
      </c>
      <c r="AT1531" t="s">
        <v>261</v>
      </c>
      <c r="AV1531" t="s">
        <v>4269</v>
      </c>
      <c r="AW1531" t="s">
        <v>69</v>
      </c>
      <c r="AY1531" t="s">
        <v>4260</v>
      </c>
      <c r="BD1531" t="s">
        <v>4270</v>
      </c>
      <c r="BE1531" t="s">
        <v>4271</v>
      </c>
      <c r="BH1531" t="str">
        <f>IF(COUNTIF(工作表1!A:A, $C1531)&gt;0, "預購款", "非預購款")</f>
        <v>非預購款</v>
      </c>
    </row>
    <row r="1532" spans="1:60" x14ac:dyDescent="0.25">
      <c r="A1532" t="s">
        <v>4264</v>
      </c>
      <c r="B1532" t="s">
        <v>4224</v>
      </c>
      <c r="C1532" t="s">
        <v>4265</v>
      </c>
      <c r="D1532" t="s">
        <v>4266</v>
      </c>
      <c r="E1532" t="s">
        <v>4267</v>
      </c>
      <c r="F1532" t="s">
        <v>222</v>
      </c>
      <c r="G1532" t="s">
        <v>4268</v>
      </c>
      <c r="H1532" t="s">
        <v>566</v>
      </c>
      <c r="I1532" t="s">
        <v>1228</v>
      </c>
      <c r="J1532" t="s">
        <v>1229</v>
      </c>
      <c r="K1532" t="s">
        <v>69</v>
      </c>
      <c r="M1532" t="s">
        <v>71</v>
      </c>
      <c r="N1532" t="s">
        <v>198</v>
      </c>
      <c r="O1532" t="s">
        <v>1307</v>
      </c>
      <c r="P1532" t="s">
        <v>1308</v>
      </c>
      <c r="S1532" t="s">
        <v>4179</v>
      </c>
      <c r="T1532" t="s">
        <v>4229</v>
      </c>
      <c r="U1532" t="s">
        <v>527</v>
      </c>
      <c r="V1532" t="s">
        <v>1311</v>
      </c>
      <c r="W1532">
        <v>690</v>
      </c>
      <c r="X1532">
        <v>29.99</v>
      </c>
      <c r="Y1532">
        <v>89</v>
      </c>
      <c r="Z1532">
        <v>499000</v>
      </c>
      <c r="AA1532">
        <v>27600</v>
      </c>
      <c r="AB1532">
        <v>0</v>
      </c>
      <c r="AD1532" t="s">
        <v>238</v>
      </c>
      <c r="AE1532">
        <v>2</v>
      </c>
      <c r="AF1532">
        <v>0</v>
      </c>
      <c r="AI1532">
        <v>0</v>
      </c>
      <c r="AJ1532">
        <v>20</v>
      </c>
      <c r="AK1532">
        <v>20</v>
      </c>
      <c r="AL1532">
        <v>40</v>
      </c>
      <c r="AM1532">
        <v>0</v>
      </c>
      <c r="AN1532">
        <v>0</v>
      </c>
      <c r="AO1532">
        <v>0</v>
      </c>
      <c r="AP1532" t="s">
        <v>69</v>
      </c>
      <c r="AT1532" t="s">
        <v>261</v>
      </c>
      <c r="AV1532" t="s">
        <v>4269</v>
      </c>
      <c r="AW1532" t="s">
        <v>69</v>
      </c>
      <c r="AY1532" t="s">
        <v>4260</v>
      </c>
      <c r="BD1532" t="s">
        <v>4272</v>
      </c>
      <c r="BE1532" t="s">
        <v>4271</v>
      </c>
      <c r="BH1532" t="str">
        <f>IF(COUNTIF(工作表1!A:A, $C1532)&gt;0, "預購款", "非預購款")</f>
        <v>非預購款</v>
      </c>
    </row>
    <row r="1533" spans="1:60" x14ac:dyDescent="0.25">
      <c r="A1533" t="s">
        <v>4273</v>
      </c>
      <c r="B1533" t="s">
        <v>4224</v>
      </c>
      <c r="C1533" t="s">
        <v>4274</v>
      </c>
      <c r="D1533" t="s">
        <v>4275</v>
      </c>
      <c r="E1533" t="s">
        <v>4276</v>
      </c>
      <c r="F1533" t="s">
        <v>222</v>
      </c>
      <c r="G1533" t="s">
        <v>4277</v>
      </c>
      <c r="H1533" t="s">
        <v>566</v>
      </c>
      <c r="I1533" t="s">
        <v>422</v>
      </c>
      <c r="J1533" t="s">
        <v>423</v>
      </c>
      <c r="K1533" t="s">
        <v>69</v>
      </c>
      <c r="M1533" t="s">
        <v>71</v>
      </c>
      <c r="N1533" t="s">
        <v>198</v>
      </c>
      <c r="O1533" t="s">
        <v>1307</v>
      </c>
      <c r="P1533" t="s">
        <v>1308</v>
      </c>
      <c r="S1533" t="s">
        <v>4179</v>
      </c>
      <c r="T1533" t="s">
        <v>4229</v>
      </c>
      <c r="U1533" t="s">
        <v>527</v>
      </c>
      <c r="V1533" t="s">
        <v>1596</v>
      </c>
      <c r="W1533">
        <v>490</v>
      </c>
      <c r="X1533">
        <v>22.99</v>
      </c>
      <c r="Y1533">
        <v>60</v>
      </c>
      <c r="Z1533">
        <v>355000</v>
      </c>
      <c r="AA1533">
        <v>14700</v>
      </c>
      <c r="AB1533">
        <v>0</v>
      </c>
      <c r="AD1533" t="s">
        <v>238</v>
      </c>
      <c r="AE1533">
        <v>1</v>
      </c>
      <c r="AF1533">
        <v>0</v>
      </c>
      <c r="AI1533">
        <v>0</v>
      </c>
      <c r="AJ1533">
        <v>30</v>
      </c>
      <c r="AK1533">
        <v>30</v>
      </c>
      <c r="AL1533">
        <v>30</v>
      </c>
      <c r="AM1533">
        <v>0</v>
      </c>
      <c r="AN1533">
        <v>0</v>
      </c>
      <c r="AO1533">
        <v>0</v>
      </c>
      <c r="AP1533" t="s">
        <v>69</v>
      </c>
      <c r="AT1533" t="s">
        <v>261</v>
      </c>
      <c r="AV1533" t="s">
        <v>4278</v>
      </c>
      <c r="AW1533" t="s">
        <v>69</v>
      </c>
      <c r="AY1533" t="s">
        <v>4260</v>
      </c>
      <c r="BD1533" t="s">
        <v>4279</v>
      </c>
      <c r="BE1533" t="s">
        <v>4280</v>
      </c>
      <c r="BH1533" t="str">
        <f>IF(COUNTIF(工作表1!A:A, $C1533)&gt;0, "預購款", "非預購款")</f>
        <v>非預購款</v>
      </c>
    </row>
    <row r="1534" spans="1:60" x14ac:dyDescent="0.25">
      <c r="A1534" t="s">
        <v>4281</v>
      </c>
      <c r="B1534" t="s">
        <v>226</v>
      </c>
      <c r="C1534" t="s">
        <v>4282</v>
      </c>
      <c r="D1534" t="s">
        <v>4283</v>
      </c>
      <c r="E1534" t="s">
        <v>4284</v>
      </c>
      <c r="F1534" t="s">
        <v>222</v>
      </c>
      <c r="G1534" t="s">
        <v>4285</v>
      </c>
      <c r="H1534" t="s">
        <v>379</v>
      </c>
      <c r="I1534" t="s">
        <v>120</v>
      </c>
      <c r="J1534" t="s">
        <v>121</v>
      </c>
      <c r="K1534" t="s">
        <v>69</v>
      </c>
      <c r="L1534" t="s">
        <v>4286</v>
      </c>
      <c r="M1534" t="s">
        <v>71</v>
      </c>
      <c r="N1534" t="s">
        <v>198</v>
      </c>
      <c r="O1534" t="s">
        <v>3966</v>
      </c>
      <c r="P1534" t="s">
        <v>3967</v>
      </c>
      <c r="R1534" t="s">
        <v>1798</v>
      </c>
      <c r="S1534" t="s">
        <v>223</v>
      </c>
      <c r="T1534" t="s">
        <v>291</v>
      </c>
      <c r="U1534" t="s">
        <v>104</v>
      </c>
      <c r="V1534" t="s">
        <v>653</v>
      </c>
      <c r="W1534">
        <v>590</v>
      </c>
      <c r="X1534">
        <v>29.99</v>
      </c>
      <c r="Y1534">
        <v>75</v>
      </c>
      <c r="Z1534">
        <v>429000</v>
      </c>
      <c r="AA1534">
        <v>324500</v>
      </c>
      <c r="AB1534">
        <v>230</v>
      </c>
      <c r="AD1534" t="s">
        <v>238</v>
      </c>
      <c r="AE1534">
        <v>3</v>
      </c>
      <c r="AF1534">
        <v>0</v>
      </c>
      <c r="AI1534">
        <v>10</v>
      </c>
      <c r="AJ1534">
        <v>10</v>
      </c>
      <c r="AK1534">
        <v>20</v>
      </c>
      <c r="AL1534">
        <v>550</v>
      </c>
      <c r="AM1534">
        <v>0</v>
      </c>
      <c r="AN1534">
        <v>0</v>
      </c>
      <c r="AO1534">
        <v>0</v>
      </c>
      <c r="AP1534" t="s">
        <v>69</v>
      </c>
      <c r="AT1534" t="s">
        <v>86</v>
      </c>
      <c r="AU1534" t="s">
        <v>240</v>
      </c>
      <c r="AV1534" t="s">
        <v>4287</v>
      </c>
      <c r="AW1534" t="s">
        <v>80</v>
      </c>
      <c r="AX1534" t="s">
        <v>218</v>
      </c>
      <c r="AY1534" t="s">
        <v>4288</v>
      </c>
      <c r="AZ1534" t="s">
        <v>243</v>
      </c>
      <c r="BA1534" t="s">
        <v>245</v>
      </c>
      <c r="BB1534" t="s">
        <v>264</v>
      </c>
      <c r="BC1534" t="s">
        <v>264</v>
      </c>
      <c r="BD1534" t="s">
        <v>4289</v>
      </c>
      <c r="BE1534" t="s">
        <v>4290</v>
      </c>
      <c r="BF1534" t="s">
        <v>971</v>
      </c>
      <c r="BG1534" t="s">
        <v>150</v>
      </c>
      <c r="BH1534" t="str">
        <f>IF(COUNTIF(工作表1!A:A, $C1534)&gt;0, "預購款", "非預購款")</f>
        <v>非預購款</v>
      </c>
    </row>
    <row r="1535" spans="1:60" x14ac:dyDescent="0.25">
      <c r="A1535" t="s">
        <v>4281</v>
      </c>
      <c r="B1535" t="s">
        <v>226</v>
      </c>
      <c r="C1535" t="s">
        <v>4282</v>
      </c>
      <c r="D1535" t="s">
        <v>4283</v>
      </c>
      <c r="E1535" t="s">
        <v>4284</v>
      </c>
      <c r="F1535" t="s">
        <v>222</v>
      </c>
      <c r="G1535" t="s">
        <v>4285</v>
      </c>
      <c r="H1535" t="s">
        <v>119</v>
      </c>
      <c r="I1535" t="s">
        <v>120</v>
      </c>
      <c r="J1535" t="s">
        <v>121</v>
      </c>
      <c r="K1535" t="s">
        <v>69</v>
      </c>
      <c r="L1535" t="s">
        <v>4286</v>
      </c>
      <c r="M1535" t="s">
        <v>71</v>
      </c>
      <c r="N1535" t="s">
        <v>198</v>
      </c>
      <c r="O1535" t="s">
        <v>3966</v>
      </c>
      <c r="P1535" t="s">
        <v>3967</v>
      </c>
      <c r="R1535" t="s">
        <v>1798</v>
      </c>
      <c r="S1535" t="s">
        <v>223</v>
      </c>
      <c r="T1535" t="s">
        <v>291</v>
      </c>
      <c r="U1535" t="s">
        <v>104</v>
      </c>
      <c r="V1535" t="s">
        <v>653</v>
      </c>
      <c r="W1535">
        <v>590</v>
      </c>
      <c r="X1535">
        <v>29.99</v>
      </c>
      <c r="Y1535">
        <v>75</v>
      </c>
      <c r="Z1535">
        <v>429000</v>
      </c>
      <c r="AA1535">
        <v>324500</v>
      </c>
      <c r="AB1535">
        <v>230</v>
      </c>
      <c r="AD1535" t="s">
        <v>238</v>
      </c>
      <c r="AE1535">
        <v>3</v>
      </c>
      <c r="AF1535">
        <v>0</v>
      </c>
      <c r="AI1535">
        <v>25</v>
      </c>
      <c r="AJ1535">
        <v>35</v>
      </c>
      <c r="AK1535">
        <v>60</v>
      </c>
      <c r="AL1535">
        <v>550</v>
      </c>
      <c r="AM1535">
        <v>0</v>
      </c>
      <c r="AN1535">
        <v>0</v>
      </c>
      <c r="AO1535">
        <v>0</v>
      </c>
      <c r="AP1535" t="s">
        <v>69</v>
      </c>
      <c r="AT1535" t="s">
        <v>86</v>
      </c>
      <c r="AU1535" t="s">
        <v>240</v>
      </c>
      <c r="AV1535" t="s">
        <v>4287</v>
      </c>
      <c r="AW1535" t="s">
        <v>80</v>
      </c>
      <c r="AX1535" t="s">
        <v>218</v>
      </c>
      <c r="AY1535" t="s">
        <v>4288</v>
      </c>
      <c r="AZ1535" t="s">
        <v>243</v>
      </c>
      <c r="BA1535" t="s">
        <v>245</v>
      </c>
      <c r="BB1535" t="s">
        <v>264</v>
      </c>
      <c r="BC1535" t="s">
        <v>264</v>
      </c>
      <c r="BD1535" t="s">
        <v>4291</v>
      </c>
      <c r="BE1535" t="s">
        <v>4290</v>
      </c>
      <c r="BF1535" t="s">
        <v>971</v>
      </c>
      <c r="BG1535" t="s">
        <v>150</v>
      </c>
      <c r="BH1535" t="str">
        <f>IF(COUNTIF(工作表1!A:A, $C1535)&gt;0, "預購款", "非預購款")</f>
        <v>非預購款</v>
      </c>
    </row>
    <row r="1536" spans="1:60" x14ac:dyDescent="0.25">
      <c r="A1536" t="s">
        <v>4281</v>
      </c>
      <c r="B1536" t="s">
        <v>226</v>
      </c>
      <c r="C1536" t="s">
        <v>4282</v>
      </c>
      <c r="D1536" t="s">
        <v>4283</v>
      </c>
      <c r="E1536" t="s">
        <v>4284</v>
      </c>
      <c r="F1536" t="s">
        <v>222</v>
      </c>
      <c r="G1536" t="s">
        <v>4285</v>
      </c>
      <c r="H1536" t="s">
        <v>392</v>
      </c>
      <c r="I1536" t="s">
        <v>120</v>
      </c>
      <c r="J1536" t="s">
        <v>121</v>
      </c>
      <c r="K1536" t="s">
        <v>69</v>
      </c>
      <c r="L1536" t="s">
        <v>4286</v>
      </c>
      <c r="M1536" t="s">
        <v>71</v>
      </c>
      <c r="N1536" t="s">
        <v>198</v>
      </c>
      <c r="O1536" t="s">
        <v>3966</v>
      </c>
      <c r="P1536" t="s">
        <v>3967</v>
      </c>
      <c r="R1536" t="s">
        <v>1798</v>
      </c>
      <c r="S1536" t="s">
        <v>223</v>
      </c>
      <c r="T1536" t="s">
        <v>291</v>
      </c>
      <c r="U1536" t="s">
        <v>104</v>
      </c>
      <c r="V1536" t="s">
        <v>653</v>
      </c>
      <c r="W1536">
        <v>590</v>
      </c>
      <c r="X1536">
        <v>29.99</v>
      </c>
      <c r="Y1536">
        <v>75</v>
      </c>
      <c r="Z1536">
        <v>429000</v>
      </c>
      <c r="AA1536">
        <v>324500</v>
      </c>
      <c r="AB1536">
        <v>230</v>
      </c>
      <c r="AD1536" t="s">
        <v>238</v>
      </c>
      <c r="AE1536">
        <v>3</v>
      </c>
      <c r="AF1536">
        <v>0</v>
      </c>
      <c r="AI1536">
        <v>10</v>
      </c>
      <c r="AJ1536">
        <v>10</v>
      </c>
      <c r="AK1536">
        <v>20</v>
      </c>
      <c r="AL1536">
        <v>550</v>
      </c>
      <c r="AM1536">
        <v>0</v>
      </c>
      <c r="AN1536">
        <v>0</v>
      </c>
      <c r="AO1536">
        <v>0</v>
      </c>
      <c r="AP1536" t="s">
        <v>69</v>
      </c>
      <c r="AT1536" t="s">
        <v>86</v>
      </c>
      <c r="AU1536" t="s">
        <v>240</v>
      </c>
      <c r="AV1536" t="s">
        <v>4287</v>
      </c>
      <c r="AW1536" t="s">
        <v>80</v>
      </c>
      <c r="AX1536" t="s">
        <v>218</v>
      </c>
      <c r="AY1536" t="s">
        <v>4288</v>
      </c>
      <c r="AZ1536" t="s">
        <v>243</v>
      </c>
      <c r="BA1536" t="s">
        <v>245</v>
      </c>
      <c r="BB1536" t="s">
        <v>264</v>
      </c>
      <c r="BC1536" t="s">
        <v>264</v>
      </c>
      <c r="BD1536" t="s">
        <v>4292</v>
      </c>
      <c r="BE1536" t="s">
        <v>4290</v>
      </c>
      <c r="BF1536" t="s">
        <v>971</v>
      </c>
      <c r="BG1536" t="s">
        <v>150</v>
      </c>
      <c r="BH1536" t="str">
        <f>IF(COUNTIF(工作表1!A:A, $C1536)&gt;0, "預購款", "非預購款")</f>
        <v>非預購款</v>
      </c>
    </row>
    <row r="1537" spans="1:60" x14ac:dyDescent="0.25">
      <c r="A1537" t="s">
        <v>4281</v>
      </c>
      <c r="B1537" t="s">
        <v>226</v>
      </c>
      <c r="C1537" t="s">
        <v>4282</v>
      </c>
      <c r="D1537" t="s">
        <v>4283</v>
      </c>
      <c r="E1537" t="s">
        <v>4284</v>
      </c>
      <c r="F1537" t="s">
        <v>222</v>
      </c>
      <c r="G1537" t="s">
        <v>4285</v>
      </c>
      <c r="H1537" t="s">
        <v>130</v>
      </c>
      <c r="I1537" t="s">
        <v>120</v>
      </c>
      <c r="J1537" t="s">
        <v>121</v>
      </c>
      <c r="K1537" t="s">
        <v>69</v>
      </c>
      <c r="L1537" t="s">
        <v>4286</v>
      </c>
      <c r="M1537" t="s">
        <v>71</v>
      </c>
      <c r="N1537" t="s">
        <v>198</v>
      </c>
      <c r="O1537" t="s">
        <v>3966</v>
      </c>
      <c r="P1537" t="s">
        <v>3967</v>
      </c>
      <c r="R1537" t="s">
        <v>1798</v>
      </c>
      <c r="S1537" t="s">
        <v>223</v>
      </c>
      <c r="T1537" t="s">
        <v>291</v>
      </c>
      <c r="U1537" t="s">
        <v>104</v>
      </c>
      <c r="V1537" t="s">
        <v>653</v>
      </c>
      <c r="W1537">
        <v>590</v>
      </c>
      <c r="X1537">
        <v>29.99</v>
      </c>
      <c r="Y1537">
        <v>75</v>
      </c>
      <c r="Z1537">
        <v>429000</v>
      </c>
      <c r="AA1537">
        <v>324500</v>
      </c>
      <c r="AB1537">
        <v>230</v>
      </c>
      <c r="AD1537" t="s">
        <v>238</v>
      </c>
      <c r="AE1537">
        <v>3</v>
      </c>
      <c r="AF1537">
        <v>0</v>
      </c>
      <c r="AI1537">
        <v>25</v>
      </c>
      <c r="AJ1537">
        <v>40</v>
      </c>
      <c r="AK1537">
        <v>65</v>
      </c>
      <c r="AL1537">
        <v>550</v>
      </c>
      <c r="AM1537">
        <v>0</v>
      </c>
      <c r="AN1537">
        <v>0</v>
      </c>
      <c r="AO1537">
        <v>0</v>
      </c>
      <c r="AP1537" t="s">
        <v>69</v>
      </c>
      <c r="AT1537" t="s">
        <v>86</v>
      </c>
      <c r="AU1537" t="s">
        <v>240</v>
      </c>
      <c r="AV1537" t="s">
        <v>4287</v>
      </c>
      <c r="AW1537" t="s">
        <v>80</v>
      </c>
      <c r="AX1537" t="s">
        <v>218</v>
      </c>
      <c r="AY1537" t="s">
        <v>4288</v>
      </c>
      <c r="AZ1537" t="s">
        <v>243</v>
      </c>
      <c r="BA1537" t="s">
        <v>245</v>
      </c>
      <c r="BB1537" t="s">
        <v>264</v>
      </c>
      <c r="BC1537" t="s">
        <v>264</v>
      </c>
      <c r="BD1537" t="s">
        <v>4293</v>
      </c>
      <c r="BE1537" t="s">
        <v>4290</v>
      </c>
      <c r="BF1537" t="s">
        <v>971</v>
      </c>
      <c r="BG1537" t="s">
        <v>150</v>
      </c>
      <c r="BH1537" t="str">
        <f>IF(COUNTIF(工作表1!A:A, $C1537)&gt;0, "預購款", "非預購款")</f>
        <v>非預購款</v>
      </c>
    </row>
    <row r="1538" spans="1:60" x14ac:dyDescent="0.25">
      <c r="A1538" t="s">
        <v>4281</v>
      </c>
      <c r="B1538" t="s">
        <v>226</v>
      </c>
      <c r="C1538" t="s">
        <v>4282</v>
      </c>
      <c r="D1538" t="s">
        <v>4283</v>
      </c>
      <c r="E1538" t="s">
        <v>4284</v>
      </c>
      <c r="F1538" t="s">
        <v>222</v>
      </c>
      <c r="G1538" t="s">
        <v>4285</v>
      </c>
      <c r="H1538" t="s">
        <v>3580</v>
      </c>
      <c r="I1538" t="s">
        <v>120</v>
      </c>
      <c r="J1538" t="s">
        <v>121</v>
      </c>
      <c r="K1538" t="s">
        <v>69</v>
      </c>
      <c r="L1538" t="s">
        <v>4286</v>
      </c>
      <c r="M1538" t="s">
        <v>71</v>
      </c>
      <c r="N1538" t="s">
        <v>198</v>
      </c>
      <c r="O1538" t="s">
        <v>3966</v>
      </c>
      <c r="P1538" t="s">
        <v>3967</v>
      </c>
      <c r="R1538" t="s">
        <v>1798</v>
      </c>
      <c r="S1538" t="s">
        <v>223</v>
      </c>
      <c r="T1538" t="s">
        <v>291</v>
      </c>
      <c r="U1538" t="s">
        <v>104</v>
      </c>
      <c r="V1538" t="s">
        <v>653</v>
      </c>
      <c r="W1538">
        <v>590</v>
      </c>
      <c r="X1538">
        <v>29.99</v>
      </c>
      <c r="Y1538">
        <v>75</v>
      </c>
      <c r="Z1538">
        <v>429000</v>
      </c>
      <c r="AA1538">
        <v>324500</v>
      </c>
      <c r="AB1538">
        <v>230</v>
      </c>
      <c r="AD1538" t="s">
        <v>238</v>
      </c>
      <c r="AE1538">
        <v>3</v>
      </c>
      <c r="AF1538">
        <v>0</v>
      </c>
      <c r="AI1538">
        <v>10</v>
      </c>
      <c r="AJ1538">
        <v>15</v>
      </c>
      <c r="AK1538">
        <v>25</v>
      </c>
      <c r="AL1538">
        <v>550</v>
      </c>
      <c r="AM1538">
        <v>0</v>
      </c>
      <c r="AN1538">
        <v>0</v>
      </c>
      <c r="AO1538">
        <v>0</v>
      </c>
      <c r="AP1538" t="s">
        <v>69</v>
      </c>
      <c r="AT1538" t="s">
        <v>86</v>
      </c>
      <c r="AU1538" t="s">
        <v>240</v>
      </c>
      <c r="AV1538" t="s">
        <v>4287</v>
      </c>
      <c r="AW1538" t="s">
        <v>80</v>
      </c>
      <c r="AX1538" t="s">
        <v>218</v>
      </c>
      <c r="AY1538" t="s">
        <v>4288</v>
      </c>
      <c r="AZ1538" t="s">
        <v>243</v>
      </c>
      <c r="BA1538" t="s">
        <v>245</v>
      </c>
      <c r="BB1538" t="s">
        <v>264</v>
      </c>
      <c r="BC1538" t="s">
        <v>264</v>
      </c>
      <c r="BD1538" t="s">
        <v>4294</v>
      </c>
      <c r="BE1538" t="s">
        <v>4290</v>
      </c>
      <c r="BF1538" t="s">
        <v>971</v>
      </c>
      <c r="BG1538" t="s">
        <v>150</v>
      </c>
      <c r="BH1538" t="str">
        <f>IF(COUNTIF(工作表1!A:A, $C1538)&gt;0, "預購款", "非預購款")</f>
        <v>非預購款</v>
      </c>
    </row>
    <row r="1539" spans="1:60" x14ac:dyDescent="0.25">
      <c r="A1539" t="s">
        <v>4281</v>
      </c>
      <c r="B1539" t="s">
        <v>226</v>
      </c>
      <c r="C1539" t="s">
        <v>4282</v>
      </c>
      <c r="D1539" t="s">
        <v>4283</v>
      </c>
      <c r="E1539" t="s">
        <v>4284</v>
      </c>
      <c r="F1539" t="s">
        <v>222</v>
      </c>
      <c r="G1539" t="s">
        <v>4285</v>
      </c>
      <c r="H1539" t="s">
        <v>132</v>
      </c>
      <c r="I1539" t="s">
        <v>120</v>
      </c>
      <c r="J1539" t="s">
        <v>121</v>
      </c>
      <c r="K1539" t="s">
        <v>69</v>
      </c>
      <c r="L1539" t="s">
        <v>4286</v>
      </c>
      <c r="M1539" t="s">
        <v>71</v>
      </c>
      <c r="N1539" t="s">
        <v>198</v>
      </c>
      <c r="O1539" t="s">
        <v>3966</v>
      </c>
      <c r="P1539" t="s">
        <v>3967</v>
      </c>
      <c r="R1539" t="s">
        <v>1798</v>
      </c>
      <c r="S1539" t="s">
        <v>223</v>
      </c>
      <c r="T1539" t="s">
        <v>291</v>
      </c>
      <c r="U1539" t="s">
        <v>104</v>
      </c>
      <c r="V1539" t="s">
        <v>653</v>
      </c>
      <c r="W1539">
        <v>590</v>
      </c>
      <c r="X1539">
        <v>29.99</v>
      </c>
      <c r="Y1539">
        <v>75</v>
      </c>
      <c r="Z1539">
        <v>429000</v>
      </c>
      <c r="AA1539">
        <v>324500</v>
      </c>
      <c r="AB1539">
        <v>230</v>
      </c>
      <c r="AD1539" t="s">
        <v>238</v>
      </c>
      <c r="AE1539">
        <v>3</v>
      </c>
      <c r="AF1539">
        <v>0</v>
      </c>
      <c r="AI1539">
        <v>35</v>
      </c>
      <c r="AJ1539">
        <v>20</v>
      </c>
      <c r="AK1539">
        <v>55</v>
      </c>
      <c r="AL1539">
        <v>550</v>
      </c>
      <c r="AM1539">
        <v>0</v>
      </c>
      <c r="AN1539">
        <v>0</v>
      </c>
      <c r="AO1539">
        <v>0</v>
      </c>
      <c r="AP1539" t="s">
        <v>69</v>
      </c>
      <c r="AT1539" t="s">
        <v>86</v>
      </c>
      <c r="AU1539" t="s">
        <v>240</v>
      </c>
      <c r="AV1539" t="s">
        <v>4287</v>
      </c>
      <c r="AW1539" t="s">
        <v>80</v>
      </c>
      <c r="AX1539" t="s">
        <v>218</v>
      </c>
      <c r="AY1539" t="s">
        <v>4288</v>
      </c>
      <c r="AZ1539" t="s">
        <v>243</v>
      </c>
      <c r="BA1539" t="s">
        <v>245</v>
      </c>
      <c r="BB1539" t="s">
        <v>264</v>
      </c>
      <c r="BC1539" t="s">
        <v>264</v>
      </c>
      <c r="BD1539" t="s">
        <v>4295</v>
      </c>
      <c r="BE1539" t="s">
        <v>4290</v>
      </c>
      <c r="BF1539" t="s">
        <v>971</v>
      </c>
      <c r="BG1539" t="s">
        <v>150</v>
      </c>
      <c r="BH1539" t="str">
        <f>IF(COUNTIF(工作表1!A:A, $C1539)&gt;0, "預購款", "非預購款")</f>
        <v>非預購款</v>
      </c>
    </row>
    <row r="1540" spans="1:60" x14ac:dyDescent="0.25">
      <c r="A1540" t="s">
        <v>4281</v>
      </c>
      <c r="B1540" t="s">
        <v>226</v>
      </c>
      <c r="C1540" t="s">
        <v>4282</v>
      </c>
      <c r="D1540" t="s">
        <v>4283</v>
      </c>
      <c r="E1540" t="s">
        <v>4284</v>
      </c>
      <c r="F1540" t="s">
        <v>222</v>
      </c>
      <c r="G1540" t="s">
        <v>4285</v>
      </c>
      <c r="H1540" t="s">
        <v>379</v>
      </c>
      <c r="I1540" t="s">
        <v>97</v>
      </c>
      <c r="J1540" t="s">
        <v>98</v>
      </c>
      <c r="K1540" t="s">
        <v>80</v>
      </c>
      <c r="L1540" t="s">
        <v>4286</v>
      </c>
      <c r="M1540" t="s">
        <v>71</v>
      </c>
      <c r="N1540" t="s">
        <v>198</v>
      </c>
      <c r="O1540" t="s">
        <v>3966</v>
      </c>
      <c r="P1540" t="s">
        <v>3967</v>
      </c>
      <c r="R1540" t="s">
        <v>1798</v>
      </c>
      <c r="S1540" t="s">
        <v>223</v>
      </c>
      <c r="T1540" t="s">
        <v>291</v>
      </c>
      <c r="U1540" t="s">
        <v>104</v>
      </c>
      <c r="V1540" t="s">
        <v>653</v>
      </c>
      <c r="W1540">
        <v>590</v>
      </c>
      <c r="X1540">
        <v>29.99</v>
      </c>
      <c r="Y1540">
        <v>75</v>
      </c>
      <c r="Z1540">
        <v>429000</v>
      </c>
      <c r="AA1540">
        <v>324500</v>
      </c>
      <c r="AB1540">
        <v>230</v>
      </c>
      <c r="AD1540" t="s">
        <v>238</v>
      </c>
      <c r="AE1540">
        <v>3</v>
      </c>
      <c r="AF1540">
        <v>0</v>
      </c>
      <c r="AI1540">
        <v>0</v>
      </c>
      <c r="AJ1540">
        <v>10</v>
      </c>
      <c r="AK1540">
        <v>10</v>
      </c>
      <c r="AL1540">
        <v>550</v>
      </c>
      <c r="AM1540">
        <v>0</v>
      </c>
      <c r="AN1540">
        <v>0</v>
      </c>
      <c r="AO1540">
        <v>0</v>
      </c>
      <c r="AP1540" t="s">
        <v>69</v>
      </c>
      <c r="AT1540" t="s">
        <v>86</v>
      </c>
      <c r="AU1540" t="s">
        <v>240</v>
      </c>
      <c r="AV1540" t="s">
        <v>4287</v>
      </c>
      <c r="AW1540" t="s">
        <v>80</v>
      </c>
      <c r="AX1540" t="s">
        <v>218</v>
      </c>
      <c r="AY1540" t="s">
        <v>4288</v>
      </c>
      <c r="AZ1540" t="s">
        <v>243</v>
      </c>
      <c r="BA1540" t="s">
        <v>245</v>
      </c>
      <c r="BB1540" t="s">
        <v>264</v>
      </c>
      <c r="BC1540" t="s">
        <v>264</v>
      </c>
      <c r="BD1540" t="s">
        <v>4296</v>
      </c>
      <c r="BE1540" t="s">
        <v>4290</v>
      </c>
      <c r="BF1540" t="s">
        <v>971</v>
      </c>
      <c r="BG1540" t="s">
        <v>150</v>
      </c>
      <c r="BH1540" t="str">
        <f>IF(COUNTIF(工作表1!A:A, $C1540)&gt;0, "預購款", "非預購款")</f>
        <v>非預購款</v>
      </c>
    </row>
    <row r="1541" spans="1:60" x14ac:dyDescent="0.25">
      <c r="A1541" t="s">
        <v>4281</v>
      </c>
      <c r="B1541" t="s">
        <v>226</v>
      </c>
      <c r="C1541" t="s">
        <v>4282</v>
      </c>
      <c r="D1541" t="s">
        <v>4283</v>
      </c>
      <c r="E1541" t="s">
        <v>4284</v>
      </c>
      <c r="F1541" t="s">
        <v>222</v>
      </c>
      <c r="G1541" t="s">
        <v>4285</v>
      </c>
      <c r="H1541" t="s">
        <v>119</v>
      </c>
      <c r="I1541" t="s">
        <v>97</v>
      </c>
      <c r="J1541" t="s">
        <v>98</v>
      </c>
      <c r="K1541" t="s">
        <v>80</v>
      </c>
      <c r="L1541" t="s">
        <v>4286</v>
      </c>
      <c r="M1541" t="s">
        <v>71</v>
      </c>
      <c r="N1541" t="s">
        <v>198</v>
      </c>
      <c r="O1541" t="s">
        <v>3966</v>
      </c>
      <c r="P1541" t="s">
        <v>3967</v>
      </c>
      <c r="R1541" t="s">
        <v>1798</v>
      </c>
      <c r="S1541" t="s">
        <v>223</v>
      </c>
      <c r="T1541" t="s">
        <v>291</v>
      </c>
      <c r="U1541" t="s">
        <v>104</v>
      </c>
      <c r="V1541" t="s">
        <v>653</v>
      </c>
      <c r="W1541">
        <v>590</v>
      </c>
      <c r="X1541">
        <v>29.99</v>
      </c>
      <c r="Y1541">
        <v>75</v>
      </c>
      <c r="Z1541">
        <v>429000</v>
      </c>
      <c r="AA1541">
        <v>324500</v>
      </c>
      <c r="AB1541">
        <v>230</v>
      </c>
      <c r="AD1541" t="s">
        <v>238</v>
      </c>
      <c r="AE1541">
        <v>3</v>
      </c>
      <c r="AF1541">
        <v>0</v>
      </c>
      <c r="AI1541">
        <v>20</v>
      </c>
      <c r="AJ1541">
        <v>50</v>
      </c>
      <c r="AK1541">
        <v>70</v>
      </c>
      <c r="AL1541">
        <v>550</v>
      </c>
      <c r="AM1541">
        <v>0</v>
      </c>
      <c r="AN1541">
        <v>0</v>
      </c>
      <c r="AO1541">
        <v>0</v>
      </c>
      <c r="AP1541" t="s">
        <v>69</v>
      </c>
      <c r="AT1541" t="s">
        <v>86</v>
      </c>
      <c r="AU1541" t="s">
        <v>240</v>
      </c>
      <c r="AV1541" t="s">
        <v>4287</v>
      </c>
      <c r="AW1541" t="s">
        <v>80</v>
      </c>
      <c r="AX1541" t="s">
        <v>218</v>
      </c>
      <c r="AY1541" t="s">
        <v>4288</v>
      </c>
      <c r="AZ1541" t="s">
        <v>243</v>
      </c>
      <c r="BA1541" t="s">
        <v>245</v>
      </c>
      <c r="BB1541" t="s">
        <v>264</v>
      </c>
      <c r="BC1541" t="s">
        <v>264</v>
      </c>
      <c r="BD1541" t="s">
        <v>4297</v>
      </c>
      <c r="BE1541" t="s">
        <v>4290</v>
      </c>
      <c r="BF1541" t="s">
        <v>971</v>
      </c>
      <c r="BG1541" t="s">
        <v>150</v>
      </c>
      <c r="BH1541" t="str">
        <f>IF(COUNTIF(工作表1!A:A, $C1541)&gt;0, "預購款", "非預購款")</f>
        <v>非預購款</v>
      </c>
    </row>
    <row r="1542" spans="1:60" x14ac:dyDescent="0.25">
      <c r="A1542" t="s">
        <v>4281</v>
      </c>
      <c r="B1542" t="s">
        <v>226</v>
      </c>
      <c r="C1542" t="s">
        <v>4282</v>
      </c>
      <c r="D1542" t="s">
        <v>4283</v>
      </c>
      <c r="E1542" t="s">
        <v>4284</v>
      </c>
      <c r="F1542" t="s">
        <v>222</v>
      </c>
      <c r="G1542" t="s">
        <v>4285</v>
      </c>
      <c r="H1542" t="s">
        <v>392</v>
      </c>
      <c r="I1542" t="s">
        <v>97</v>
      </c>
      <c r="J1542" t="s">
        <v>98</v>
      </c>
      <c r="K1542" t="s">
        <v>80</v>
      </c>
      <c r="L1542" t="s">
        <v>4286</v>
      </c>
      <c r="M1542" t="s">
        <v>71</v>
      </c>
      <c r="N1542" t="s">
        <v>198</v>
      </c>
      <c r="O1542" t="s">
        <v>3966</v>
      </c>
      <c r="P1542" t="s">
        <v>3967</v>
      </c>
      <c r="R1542" t="s">
        <v>1798</v>
      </c>
      <c r="S1542" t="s">
        <v>223</v>
      </c>
      <c r="T1542" t="s">
        <v>291</v>
      </c>
      <c r="U1542" t="s">
        <v>104</v>
      </c>
      <c r="V1542" t="s">
        <v>653</v>
      </c>
      <c r="W1542">
        <v>590</v>
      </c>
      <c r="X1542">
        <v>29.99</v>
      </c>
      <c r="Y1542">
        <v>75</v>
      </c>
      <c r="Z1542">
        <v>429000</v>
      </c>
      <c r="AA1542">
        <v>324500</v>
      </c>
      <c r="AB1542">
        <v>230</v>
      </c>
      <c r="AD1542" t="s">
        <v>238</v>
      </c>
      <c r="AE1542">
        <v>3</v>
      </c>
      <c r="AF1542">
        <v>0</v>
      </c>
      <c r="AI1542">
        <v>15</v>
      </c>
      <c r="AJ1542">
        <v>10</v>
      </c>
      <c r="AK1542">
        <v>25</v>
      </c>
      <c r="AL1542">
        <v>550</v>
      </c>
      <c r="AM1542">
        <v>0</v>
      </c>
      <c r="AN1542">
        <v>0</v>
      </c>
      <c r="AO1542">
        <v>0</v>
      </c>
      <c r="AP1542" t="s">
        <v>69</v>
      </c>
      <c r="AT1542" t="s">
        <v>86</v>
      </c>
      <c r="AU1542" t="s">
        <v>240</v>
      </c>
      <c r="AV1542" t="s">
        <v>4287</v>
      </c>
      <c r="AW1542" t="s">
        <v>80</v>
      </c>
      <c r="AX1542" t="s">
        <v>218</v>
      </c>
      <c r="AY1542" t="s">
        <v>4288</v>
      </c>
      <c r="AZ1542" t="s">
        <v>243</v>
      </c>
      <c r="BA1542" t="s">
        <v>245</v>
      </c>
      <c r="BB1542" t="s">
        <v>264</v>
      </c>
      <c r="BC1542" t="s">
        <v>264</v>
      </c>
      <c r="BD1542" t="s">
        <v>4298</v>
      </c>
      <c r="BE1542" t="s">
        <v>4290</v>
      </c>
      <c r="BF1542" t="s">
        <v>971</v>
      </c>
      <c r="BG1542" t="s">
        <v>150</v>
      </c>
      <c r="BH1542" t="str">
        <f>IF(COUNTIF(工作表1!A:A, $C1542)&gt;0, "預購款", "非預購款")</f>
        <v>非預購款</v>
      </c>
    </row>
    <row r="1543" spans="1:60" x14ac:dyDescent="0.25">
      <c r="A1543" t="s">
        <v>4281</v>
      </c>
      <c r="B1543" t="s">
        <v>226</v>
      </c>
      <c r="C1543" t="s">
        <v>4282</v>
      </c>
      <c r="D1543" t="s">
        <v>4283</v>
      </c>
      <c r="E1543" t="s">
        <v>4284</v>
      </c>
      <c r="F1543" t="s">
        <v>222</v>
      </c>
      <c r="G1543" t="s">
        <v>4285</v>
      </c>
      <c r="H1543" t="s">
        <v>130</v>
      </c>
      <c r="I1543" t="s">
        <v>97</v>
      </c>
      <c r="J1543" t="s">
        <v>98</v>
      </c>
      <c r="K1543" t="s">
        <v>80</v>
      </c>
      <c r="L1543" t="s">
        <v>4286</v>
      </c>
      <c r="M1543" t="s">
        <v>71</v>
      </c>
      <c r="N1543" t="s">
        <v>198</v>
      </c>
      <c r="O1543" t="s">
        <v>3966</v>
      </c>
      <c r="P1543" t="s">
        <v>3967</v>
      </c>
      <c r="R1543" t="s">
        <v>1798</v>
      </c>
      <c r="S1543" t="s">
        <v>223</v>
      </c>
      <c r="T1543" t="s">
        <v>291</v>
      </c>
      <c r="U1543" t="s">
        <v>104</v>
      </c>
      <c r="V1543" t="s">
        <v>653</v>
      </c>
      <c r="W1543">
        <v>590</v>
      </c>
      <c r="X1543">
        <v>29.99</v>
      </c>
      <c r="Y1543">
        <v>75</v>
      </c>
      <c r="Z1543">
        <v>429000</v>
      </c>
      <c r="AA1543">
        <v>324500</v>
      </c>
      <c r="AB1543">
        <v>230</v>
      </c>
      <c r="AD1543" t="s">
        <v>238</v>
      </c>
      <c r="AE1543">
        <v>3</v>
      </c>
      <c r="AF1543">
        <v>0</v>
      </c>
      <c r="AI1543">
        <v>0</v>
      </c>
      <c r="AJ1543">
        <v>35</v>
      </c>
      <c r="AK1543">
        <v>35</v>
      </c>
      <c r="AL1543">
        <v>550</v>
      </c>
      <c r="AM1543">
        <v>0</v>
      </c>
      <c r="AN1543">
        <v>0</v>
      </c>
      <c r="AO1543">
        <v>0</v>
      </c>
      <c r="AP1543" t="s">
        <v>69</v>
      </c>
      <c r="AT1543" t="s">
        <v>86</v>
      </c>
      <c r="AU1543" t="s">
        <v>240</v>
      </c>
      <c r="AV1543" t="s">
        <v>4287</v>
      </c>
      <c r="AW1543" t="s">
        <v>80</v>
      </c>
      <c r="AX1543" t="s">
        <v>218</v>
      </c>
      <c r="AY1543" t="s">
        <v>4288</v>
      </c>
      <c r="AZ1543" t="s">
        <v>243</v>
      </c>
      <c r="BA1543" t="s">
        <v>245</v>
      </c>
      <c r="BB1543" t="s">
        <v>264</v>
      </c>
      <c r="BC1543" t="s">
        <v>264</v>
      </c>
      <c r="BD1543" t="s">
        <v>4299</v>
      </c>
      <c r="BE1543" t="s">
        <v>4290</v>
      </c>
      <c r="BF1543" t="s">
        <v>971</v>
      </c>
      <c r="BG1543" t="s">
        <v>150</v>
      </c>
      <c r="BH1543" t="str">
        <f>IF(COUNTIF(工作表1!A:A, $C1543)&gt;0, "預購款", "非預購款")</f>
        <v>非預購款</v>
      </c>
    </row>
    <row r="1544" spans="1:60" x14ac:dyDescent="0.25">
      <c r="A1544" t="s">
        <v>4281</v>
      </c>
      <c r="B1544" t="s">
        <v>226</v>
      </c>
      <c r="C1544" t="s">
        <v>4282</v>
      </c>
      <c r="D1544" t="s">
        <v>4283</v>
      </c>
      <c r="E1544" t="s">
        <v>4284</v>
      </c>
      <c r="F1544" t="s">
        <v>222</v>
      </c>
      <c r="G1544" t="s">
        <v>4285</v>
      </c>
      <c r="H1544" t="s">
        <v>3580</v>
      </c>
      <c r="I1544" t="s">
        <v>97</v>
      </c>
      <c r="J1544" t="s">
        <v>98</v>
      </c>
      <c r="K1544" t="s">
        <v>80</v>
      </c>
      <c r="L1544" t="s">
        <v>4286</v>
      </c>
      <c r="M1544" t="s">
        <v>71</v>
      </c>
      <c r="N1544" t="s">
        <v>198</v>
      </c>
      <c r="O1544" t="s">
        <v>3966</v>
      </c>
      <c r="P1544" t="s">
        <v>3967</v>
      </c>
      <c r="R1544" t="s">
        <v>1798</v>
      </c>
      <c r="S1544" t="s">
        <v>223</v>
      </c>
      <c r="T1544" t="s">
        <v>291</v>
      </c>
      <c r="U1544" t="s">
        <v>104</v>
      </c>
      <c r="V1544" t="s">
        <v>653</v>
      </c>
      <c r="W1544">
        <v>590</v>
      </c>
      <c r="X1544">
        <v>29.99</v>
      </c>
      <c r="Y1544">
        <v>75</v>
      </c>
      <c r="Z1544">
        <v>429000</v>
      </c>
      <c r="AA1544">
        <v>324500</v>
      </c>
      <c r="AB1544">
        <v>230</v>
      </c>
      <c r="AD1544" t="s">
        <v>238</v>
      </c>
      <c r="AE1544">
        <v>3</v>
      </c>
      <c r="AF1544">
        <v>0</v>
      </c>
      <c r="AI1544">
        <v>10</v>
      </c>
      <c r="AJ1544">
        <v>10</v>
      </c>
      <c r="AK1544">
        <v>20</v>
      </c>
      <c r="AL1544">
        <v>550</v>
      </c>
      <c r="AM1544">
        <v>0</v>
      </c>
      <c r="AN1544">
        <v>0</v>
      </c>
      <c r="AO1544">
        <v>0</v>
      </c>
      <c r="AP1544" t="s">
        <v>69</v>
      </c>
      <c r="AT1544" t="s">
        <v>86</v>
      </c>
      <c r="AU1544" t="s">
        <v>240</v>
      </c>
      <c r="AV1544" t="s">
        <v>4287</v>
      </c>
      <c r="AW1544" t="s">
        <v>80</v>
      </c>
      <c r="AX1544" t="s">
        <v>218</v>
      </c>
      <c r="AY1544" t="s">
        <v>4288</v>
      </c>
      <c r="AZ1544" t="s">
        <v>243</v>
      </c>
      <c r="BA1544" t="s">
        <v>245</v>
      </c>
      <c r="BB1544" t="s">
        <v>264</v>
      </c>
      <c r="BC1544" t="s">
        <v>264</v>
      </c>
      <c r="BD1544" t="s">
        <v>4300</v>
      </c>
      <c r="BE1544" t="s">
        <v>4290</v>
      </c>
      <c r="BF1544" t="s">
        <v>971</v>
      </c>
      <c r="BG1544" t="s">
        <v>150</v>
      </c>
      <c r="BH1544" t="str">
        <f>IF(COUNTIF(工作表1!A:A, $C1544)&gt;0, "預購款", "非預購款")</f>
        <v>非預購款</v>
      </c>
    </row>
    <row r="1545" spans="1:60" x14ac:dyDescent="0.25">
      <c r="A1545" t="s">
        <v>4281</v>
      </c>
      <c r="B1545" t="s">
        <v>226</v>
      </c>
      <c r="C1545" t="s">
        <v>4282</v>
      </c>
      <c r="D1545" t="s">
        <v>4283</v>
      </c>
      <c r="E1545" t="s">
        <v>4284</v>
      </c>
      <c r="F1545" t="s">
        <v>222</v>
      </c>
      <c r="G1545" t="s">
        <v>4285</v>
      </c>
      <c r="H1545" t="s">
        <v>132</v>
      </c>
      <c r="I1545" t="s">
        <v>97</v>
      </c>
      <c r="J1545" t="s">
        <v>98</v>
      </c>
      <c r="K1545" t="s">
        <v>80</v>
      </c>
      <c r="L1545" t="s">
        <v>4286</v>
      </c>
      <c r="M1545" t="s">
        <v>71</v>
      </c>
      <c r="N1545" t="s">
        <v>198</v>
      </c>
      <c r="O1545" t="s">
        <v>3966</v>
      </c>
      <c r="P1545" t="s">
        <v>3967</v>
      </c>
      <c r="R1545" t="s">
        <v>1798</v>
      </c>
      <c r="S1545" t="s">
        <v>223</v>
      </c>
      <c r="T1545" t="s">
        <v>291</v>
      </c>
      <c r="U1545" t="s">
        <v>104</v>
      </c>
      <c r="V1545" t="s">
        <v>653</v>
      </c>
      <c r="W1545">
        <v>590</v>
      </c>
      <c r="X1545">
        <v>29.99</v>
      </c>
      <c r="Y1545">
        <v>75</v>
      </c>
      <c r="Z1545">
        <v>429000</v>
      </c>
      <c r="AA1545">
        <v>324500</v>
      </c>
      <c r="AB1545">
        <v>230</v>
      </c>
      <c r="AD1545" t="s">
        <v>238</v>
      </c>
      <c r="AE1545">
        <v>3</v>
      </c>
      <c r="AF1545">
        <v>0</v>
      </c>
      <c r="AI1545">
        <v>0</v>
      </c>
      <c r="AJ1545">
        <v>30</v>
      </c>
      <c r="AK1545">
        <v>30</v>
      </c>
      <c r="AL1545">
        <v>550</v>
      </c>
      <c r="AM1545">
        <v>0</v>
      </c>
      <c r="AN1545">
        <v>0</v>
      </c>
      <c r="AO1545">
        <v>0</v>
      </c>
      <c r="AP1545" t="s">
        <v>69</v>
      </c>
      <c r="AT1545" t="s">
        <v>86</v>
      </c>
      <c r="AU1545" t="s">
        <v>240</v>
      </c>
      <c r="AV1545" t="s">
        <v>4287</v>
      </c>
      <c r="AW1545" t="s">
        <v>80</v>
      </c>
      <c r="AX1545" t="s">
        <v>218</v>
      </c>
      <c r="AY1545" t="s">
        <v>4288</v>
      </c>
      <c r="AZ1545" t="s">
        <v>243</v>
      </c>
      <c r="BA1545" t="s">
        <v>245</v>
      </c>
      <c r="BB1545" t="s">
        <v>264</v>
      </c>
      <c r="BC1545" t="s">
        <v>264</v>
      </c>
      <c r="BD1545" t="s">
        <v>4301</v>
      </c>
      <c r="BE1545" t="s">
        <v>4290</v>
      </c>
      <c r="BF1545" t="s">
        <v>971</v>
      </c>
      <c r="BG1545" t="s">
        <v>150</v>
      </c>
      <c r="BH1545" t="str">
        <f>IF(COUNTIF(工作表1!A:A, $C1545)&gt;0, "預購款", "非預購款")</f>
        <v>非預購款</v>
      </c>
    </row>
    <row r="1546" spans="1:60" x14ac:dyDescent="0.25">
      <c r="A1546" t="s">
        <v>4302</v>
      </c>
      <c r="B1546" t="s">
        <v>226</v>
      </c>
      <c r="C1546" t="s">
        <v>4303</v>
      </c>
      <c r="D1546" t="s">
        <v>4304</v>
      </c>
      <c r="E1546" t="s">
        <v>4305</v>
      </c>
      <c r="F1546" t="s">
        <v>222</v>
      </c>
      <c r="G1546" t="s">
        <v>4306</v>
      </c>
      <c r="H1546" t="s">
        <v>119</v>
      </c>
      <c r="I1546" t="s">
        <v>97</v>
      </c>
      <c r="J1546" t="s">
        <v>98</v>
      </c>
      <c r="K1546" t="s">
        <v>69</v>
      </c>
      <c r="L1546" t="s">
        <v>4307</v>
      </c>
      <c r="M1546" t="s">
        <v>71</v>
      </c>
      <c r="N1546" t="s">
        <v>198</v>
      </c>
      <c r="O1546" t="s">
        <v>3966</v>
      </c>
      <c r="P1546" t="s">
        <v>3967</v>
      </c>
      <c r="R1546" t="s">
        <v>1798</v>
      </c>
      <c r="S1546" t="s">
        <v>223</v>
      </c>
      <c r="T1546" t="s">
        <v>76</v>
      </c>
      <c r="U1546" t="s">
        <v>104</v>
      </c>
      <c r="V1546" t="s">
        <v>1519</v>
      </c>
      <c r="W1546">
        <v>590</v>
      </c>
      <c r="X1546">
        <v>29.99</v>
      </c>
      <c r="Y1546">
        <v>75</v>
      </c>
      <c r="Z1546">
        <v>429000</v>
      </c>
      <c r="AA1546">
        <v>292050</v>
      </c>
      <c r="AB1546">
        <v>230</v>
      </c>
      <c r="AD1546" t="s">
        <v>238</v>
      </c>
      <c r="AE1546">
        <v>2</v>
      </c>
      <c r="AF1546">
        <v>15</v>
      </c>
      <c r="AI1546">
        <v>30</v>
      </c>
      <c r="AJ1546">
        <v>140</v>
      </c>
      <c r="AK1546">
        <v>185</v>
      </c>
      <c r="AL1546">
        <v>495</v>
      </c>
      <c r="AM1546">
        <v>0</v>
      </c>
      <c r="AN1546">
        <v>0</v>
      </c>
      <c r="AO1546">
        <v>0</v>
      </c>
      <c r="AP1546" t="s">
        <v>69</v>
      </c>
      <c r="AR1546" t="s">
        <v>86</v>
      </c>
      <c r="AS1546" t="s">
        <v>86</v>
      </c>
      <c r="AT1546" t="s">
        <v>240</v>
      </c>
      <c r="AU1546" t="s">
        <v>86</v>
      </c>
      <c r="AV1546" t="s">
        <v>4038</v>
      </c>
      <c r="AW1546" t="s">
        <v>80</v>
      </c>
      <c r="AX1546" t="s">
        <v>218</v>
      </c>
      <c r="AY1546" t="s">
        <v>4308</v>
      </c>
      <c r="AZ1546" t="s">
        <v>310</v>
      </c>
      <c r="BA1546" t="s">
        <v>244</v>
      </c>
      <c r="BB1546" t="s">
        <v>244</v>
      </c>
      <c r="BC1546" t="s">
        <v>244</v>
      </c>
      <c r="BD1546" t="s">
        <v>4309</v>
      </c>
      <c r="BE1546" t="s">
        <v>4310</v>
      </c>
      <c r="BF1546" t="s">
        <v>86</v>
      </c>
      <c r="BG1546" t="s">
        <v>150</v>
      </c>
      <c r="BH1546" t="str">
        <f>IF(COUNTIF(工作表1!A:A, $C1546)&gt;0, "預購款", "非預購款")</f>
        <v>非預購款</v>
      </c>
    </row>
    <row r="1547" spans="1:60" x14ac:dyDescent="0.25">
      <c r="A1547" t="s">
        <v>4302</v>
      </c>
      <c r="B1547" t="s">
        <v>226</v>
      </c>
      <c r="C1547" t="s">
        <v>4303</v>
      </c>
      <c r="D1547" t="s">
        <v>4304</v>
      </c>
      <c r="E1547" t="s">
        <v>4305</v>
      </c>
      <c r="F1547" t="s">
        <v>222</v>
      </c>
      <c r="G1547" t="s">
        <v>4306</v>
      </c>
      <c r="H1547" t="s">
        <v>130</v>
      </c>
      <c r="I1547" t="s">
        <v>97</v>
      </c>
      <c r="J1547" t="s">
        <v>98</v>
      </c>
      <c r="K1547" t="s">
        <v>69</v>
      </c>
      <c r="L1547" t="s">
        <v>4307</v>
      </c>
      <c r="M1547" t="s">
        <v>71</v>
      </c>
      <c r="N1547" t="s">
        <v>198</v>
      </c>
      <c r="O1547" t="s">
        <v>3966</v>
      </c>
      <c r="P1547" t="s">
        <v>3967</v>
      </c>
      <c r="R1547" t="s">
        <v>1798</v>
      </c>
      <c r="S1547" t="s">
        <v>223</v>
      </c>
      <c r="T1547" t="s">
        <v>76</v>
      </c>
      <c r="U1547" t="s">
        <v>104</v>
      </c>
      <c r="V1547" t="s">
        <v>1519</v>
      </c>
      <c r="W1547">
        <v>590</v>
      </c>
      <c r="X1547">
        <v>29.99</v>
      </c>
      <c r="Y1547">
        <v>75</v>
      </c>
      <c r="Z1547">
        <v>429000</v>
      </c>
      <c r="AA1547">
        <v>292050</v>
      </c>
      <c r="AB1547">
        <v>230</v>
      </c>
      <c r="AD1547" t="s">
        <v>238</v>
      </c>
      <c r="AE1547">
        <v>2</v>
      </c>
      <c r="AF1547">
        <v>10</v>
      </c>
      <c r="AI1547">
        <v>20</v>
      </c>
      <c r="AJ1547">
        <v>120</v>
      </c>
      <c r="AK1547">
        <v>150</v>
      </c>
      <c r="AL1547">
        <v>495</v>
      </c>
      <c r="AM1547">
        <v>0</v>
      </c>
      <c r="AN1547">
        <v>0</v>
      </c>
      <c r="AO1547">
        <v>0</v>
      </c>
      <c r="AP1547" t="s">
        <v>69</v>
      </c>
      <c r="AR1547" t="s">
        <v>86</v>
      </c>
      <c r="AS1547" t="s">
        <v>86</v>
      </c>
      <c r="AT1547" t="s">
        <v>240</v>
      </c>
      <c r="AU1547" t="s">
        <v>86</v>
      </c>
      <c r="AV1547" t="s">
        <v>4038</v>
      </c>
      <c r="AW1547" t="s">
        <v>80</v>
      </c>
      <c r="AX1547" t="s">
        <v>218</v>
      </c>
      <c r="AY1547" t="s">
        <v>4308</v>
      </c>
      <c r="AZ1547" t="s">
        <v>310</v>
      </c>
      <c r="BA1547" t="s">
        <v>244</v>
      </c>
      <c r="BB1547" t="s">
        <v>244</v>
      </c>
      <c r="BC1547" t="s">
        <v>244</v>
      </c>
      <c r="BD1547" t="s">
        <v>4311</v>
      </c>
      <c r="BE1547" t="s">
        <v>4310</v>
      </c>
      <c r="BF1547" t="s">
        <v>86</v>
      </c>
      <c r="BG1547" t="s">
        <v>150</v>
      </c>
      <c r="BH1547" t="str">
        <f>IF(COUNTIF(工作表1!A:A, $C1547)&gt;0, "預購款", "非預購款")</f>
        <v>非預購款</v>
      </c>
    </row>
    <row r="1548" spans="1:60" x14ac:dyDescent="0.25">
      <c r="A1548" t="s">
        <v>4302</v>
      </c>
      <c r="B1548" t="s">
        <v>226</v>
      </c>
      <c r="C1548" t="s">
        <v>4303</v>
      </c>
      <c r="D1548" t="s">
        <v>4304</v>
      </c>
      <c r="E1548" t="s">
        <v>4305</v>
      </c>
      <c r="F1548" t="s">
        <v>222</v>
      </c>
      <c r="G1548" t="s">
        <v>4306</v>
      </c>
      <c r="H1548" t="s">
        <v>132</v>
      </c>
      <c r="I1548" t="s">
        <v>97</v>
      </c>
      <c r="J1548" t="s">
        <v>98</v>
      </c>
      <c r="K1548" t="s">
        <v>69</v>
      </c>
      <c r="L1548" t="s">
        <v>4307</v>
      </c>
      <c r="M1548" t="s">
        <v>71</v>
      </c>
      <c r="N1548" t="s">
        <v>198</v>
      </c>
      <c r="O1548" t="s">
        <v>3966</v>
      </c>
      <c r="P1548" t="s">
        <v>3967</v>
      </c>
      <c r="R1548" t="s">
        <v>1798</v>
      </c>
      <c r="S1548" t="s">
        <v>223</v>
      </c>
      <c r="T1548" t="s">
        <v>76</v>
      </c>
      <c r="U1548" t="s">
        <v>104</v>
      </c>
      <c r="V1548" t="s">
        <v>1519</v>
      </c>
      <c r="W1548">
        <v>590</v>
      </c>
      <c r="X1548">
        <v>29.99</v>
      </c>
      <c r="Y1548">
        <v>75</v>
      </c>
      <c r="Z1548">
        <v>429000</v>
      </c>
      <c r="AA1548">
        <v>292050</v>
      </c>
      <c r="AB1548">
        <v>230</v>
      </c>
      <c r="AD1548" t="s">
        <v>238</v>
      </c>
      <c r="AE1548">
        <v>2</v>
      </c>
      <c r="AF1548">
        <v>0</v>
      </c>
      <c r="AI1548">
        <v>25</v>
      </c>
      <c r="AJ1548">
        <v>50</v>
      </c>
      <c r="AK1548">
        <v>75</v>
      </c>
      <c r="AL1548">
        <v>495</v>
      </c>
      <c r="AM1548">
        <v>0</v>
      </c>
      <c r="AN1548">
        <v>0</v>
      </c>
      <c r="AO1548">
        <v>0</v>
      </c>
      <c r="AP1548" t="s">
        <v>69</v>
      </c>
      <c r="AR1548" t="s">
        <v>86</v>
      </c>
      <c r="AS1548" t="s">
        <v>86</v>
      </c>
      <c r="AT1548" t="s">
        <v>240</v>
      </c>
      <c r="AU1548" t="s">
        <v>86</v>
      </c>
      <c r="AV1548" t="s">
        <v>4038</v>
      </c>
      <c r="AW1548" t="s">
        <v>80</v>
      </c>
      <c r="AX1548" t="s">
        <v>218</v>
      </c>
      <c r="AY1548" t="s">
        <v>4308</v>
      </c>
      <c r="AZ1548" t="s">
        <v>310</v>
      </c>
      <c r="BA1548" t="s">
        <v>244</v>
      </c>
      <c r="BB1548" t="s">
        <v>244</v>
      </c>
      <c r="BC1548" t="s">
        <v>244</v>
      </c>
      <c r="BD1548" t="s">
        <v>4312</v>
      </c>
      <c r="BE1548" t="s">
        <v>4310</v>
      </c>
      <c r="BF1548" t="s">
        <v>86</v>
      </c>
      <c r="BG1548" t="s">
        <v>150</v>
      </c>
      <c r="BH1548" t="str">
        <f>IF(COUNTIF(工作表1!A:A, $C1548)&gt;0, "預購款", "非預購款")</f>
        <v>非預購款</v>
      </c>
    </row>
    <row r="1549" spans="1:60" x14ac:dyDescent="0.25">
      <c r="A1549" t="s">
        <v>4313</v>
      </c>
      <c r="B1549" t="s">
        <v>226</v>
      </c>
      <c r="C1549" t="s">
        <v>4314</v>
      </c>
      <c r="D1549" t="s">
        <v>4315</v>
      </c>
      <c r="E1549" t="s">
        <v>4316</v>
      </c>
      <c r="F1549" t="s">
        <v>222</v>
      </c>
      <c r="G1549" t="s">
        <v>4317</v>
      </c>
      <c r="H1549" t="s">
        <v>119</v>
      </c>
      <c r="I1549" t="s">
        <v>171</v>
      </c>
      <c r="J1549" t="s">
        <v>172</v>
      </c>
      <c r="K1549" t="s">
        <v>69</v>
      </c>
      <c r="L1549" t="s">
        <v>4318</v>
      </c>
      <c r="M1549" t="s">
        <v>71</v>
      </c>
      <c r="N1549" t="s">
        <v>198</v>
      </c>
      <c r="O1549" t="s">
        <v>199</v>
      </c>
      <c r="P1549" t="s">
        <v>200</v>
      </c>
      <c r="R1549" t="s">
        <v>4192</v>
      </c>
      <c r="S1549" t="s">
        <v>223</v>
      </c>
      <c r="T1549" t="s">
        <v>258</v>
      </c>
      <c r="U1549" t="s">
        <v>383</v>
      </c>
      <c r="V1549" t="s">
        <v>124</v>
      </c>
      <c r="W1549">
        <v>790</v>
      </c>
      <c r="X1549">
        <v>34.99</v>
      </c>
      <c r="Y1549">
        <v>99</v>
      </c>
      <c r="Z1549">
        <v>569000</v>
      </c>
      <c r="AA1549">
        <v>347600</v>
      </c>
      <c r="AB1549">
        <v>350</v>
      </c>
      <c r="AD1549" t="s">
        <v>238</v>
      </c>
      <c r="AE1549">
        <v>1</v>
      </c>
      <c r="AF1549">
        <v>15</v>
      </c>
      <c r="AI1549">
        <v>0</v>
      </c>
      <c r="AJ1549">
        <v>160</v>
      </c>
      <c r="AK1549">
        <v>175</v>
      </c>
      <c r="AL1549">
        <v>440</v>
      </c>
      <c r="AM1549">
        <v>0</v>
      </c>
      <c r="AN1549">
        <v>0</v>
      </c>
      <c r="AO1549">
        <v>0</v>
      </c>
      <c r="AP1549" t="s">
        <v>69</v>
      </c>
      <c r="AR1549" t="s">
        <v>240</v>
      </c>
      <c r="AS1549" t="s">
        <v>240</v>
      </c>
      <c r="AT1549" t="s">
        <v>240</v>
      </c>
      <c r="AU1549" t="s">
        <v>261</v>
      </c>
      <c r="AV1549" t="s">
        <v>4319</v>
      </c>
      <c r="AW1549" t="s">
        <v>69</v>
      </c>
      <c r="AX1549" t="s">
        <v>126</v>
      </c>
      <c r="AY1549" t="s">
        <v>4320</v>
      </c>
      <c r="AZ1549" t="s">
        <v>244</v>
      </c>
      <c r="BA1549" t="s">
        <v>244</v>
      </c>
      <c r="BB1549" t="s">
        <v>245</v>
      </c>
      <c r="BC1549" t="s">
        <v>245</v>
      </c>
      <c r="BD1549" t="s">
        <v>4321</v>
      </c>
      <c r="BE1549" t="s">
        <v>4322</v>
      </c>
      <c r="BF1549" t="s">
        <v>240</v>
      </c>
      <c r="BG1549" t="s">
        <v>110</v>
      </c>
      <c r="BH1549" t="str">
        <f>IF(COUNTIF(工作表1!A:A, $C1549)&gt;0, "預購款", "非預購款")</f>
        <v>非預購款</v>
      </c>
    </row>
    <row r="1550" spans="1:60" x14ac:dyDescent="0.25">
      <c r="A1550" t="s">
        <v>4313</v>
      </c>
      <c r="B1550" t="s">
        <v>226</v>
      </c>
      <c r="C1550" t="s">
        <v>4314</v>
      </c>
      <c r="D1550" t="s">
        <v>4315</v>
      </c>
      <c r="E1550" t="s">
        <v>4316</v>
      </c>
      <c r="F1550" t="s">
        <v>222</v>
      </c>
      <c r="G1550" t="s">
        <v>4317</v>
      </c>
      <c r="H1550" t="s">
        <v>130</v>
      </c>
      <c r="I1550" t="s">
        <v>171</v>
      </c>
      <c r="J1550" t="s">
        <v>172</v>
      </c>
      <c r="K1550" t="s">
        <v>69</v>
      </c>
      <c r="L1550" t="s">
        <v>4318</v>
      </c>
      <c r="M1550" t="s">
        <v>71</v>
      </c>
      <c r="N1550" t="s">
        <v>198</v>
      </c>
      <c r="O1550" t="s">
        <v>199</v>
      </c>
      <c r="P1550" t="s">
        <v>200</v>
      </c>
      <c r="R1550" t="s">
        <v>4192</v>
      </c>
      <c r="S1550" t="s">
        <v>223</v>
      </c>
      <c r="T1550" t="s">
        <v>258</v>
      </c>
      <c r="U1550" t="s">
        <v>383</v>
      </c>
      <c r="V1550" t="s">
        <v>124</v>
      </c>
      <c r="W1550">
        <v>790</v>
      </c>
      <c r="X1550">
        <v>34.99</v>
      </c>
      <c r="Y1550">
        <v>99</v>
      </c>
      <c r="Z1550">
        <v>569000</v>
      </c>
      <c r="AA1550">
        <v>347600</v>
      </c>
      <c r="AB1550">
        <v>350</v>
      </c>
      <c r="AD1550" t="s">
        <v>238</v>
      </c>
      <c r="AE1550">
        <v>1</v>
      </c>
      <c r="AF1550">
        <v>10</v>
      </c>
      <c r="AI1550">
        <v>0</v>
      </c>
      <c r="AJ1550">
        <v>190</v>
      </c>
      <c r="AK1550">
        <v>200</v>
      </c>
      <c r="AL1550">
        <v>440</v>
      </c>
      <c r="AM1550">
        <v>0</v>
      </c>
      <c r="AN1550">
        <v>0</v>
      </c>
      <c r="AO1550">
        <v>0</v>
      </c>
      <c r="AP1550" t="s">
        <v>69</v>
      </c>
      <c r="AR1550" t="s">
        <v>240</v>
      </c>
      <c r="AS1550" t="s">
        <v>240</v>
      </c>
      <c r="AT1550" t="s">
        <v>240</v>
      </c>
      <c r="AU1550" t="s">
        <v>261</v>
      </c>
      <c r="AV1550" t="s">
        <v>4319</v>
      </c>
      <c r="AW1550" t="s">
        <v>69</v>
      </c>
      <c r="AX1550" t="s">
        <v>126</v>
      </c>
      <c r="AY1550" t="s">
        <v>4320</v>
      </c>
      <c r="AZ1550" t="s">
        <v>244</v>
      </c>
      <c r="BA1550" t="s">
        <v>244</v>
      </c>
      <c r="BB1550" t="s">
        <v>245</v>
      </c>
      <c r="BC1550" t="s">
        <v>245</v>
      </c>
      <c r="BD1550" t="s">
        <v>4323</v>
      </c>
      <c r="BE1550" t="s">
        <v>4322</v>
      </c>
      <c r="BF1550" t="s">
        <v>240</v>
      </c>
      <c r="BG1550" t="s">
        <v>110</v>
      </c>
      <c r="BH1550" t="str">
        <f>IF(COUNTIF(工作表1!A:A, $C1550)&gt;0, "預購款", "非預購款")</f>
        <v>非預購款</v>
      </c>
    </row>
    <row r="1551" spans="1:60" x14ac:dyDescent="0.25">
      <c r="A1551" t="s">
        <v>4313</v>
      </c>
      <c r="B1551" t="s">
        <v>226</v>
      </c>
      <c r="C1551" t="s">
        <v>4314</v>
      </c>
      <c r="D1551" t="s">
        <v>4315</v>
      </c>
      <c r="E1551" t="s">
        <v>4316</v>
      </c>
      <c r="F1551" t="s">
        <v>222</v>
      </c>
      <c r="G1551" t="s">
        <v>4317</v>
      </c>
      <c r="H1551" t="s">
        <v>132</v>
      </c>
      <c r="I1551" t="s">
        <v>171</v>
      </c>
      <c r="J1551" t="s">
        <v>172</v>
      </c>
      <c r="K1551" t="s">
        <v>69</v>
      </c>
      <c r="L1551" t="s">
        <v>4318</v>
      </c>
      <c r="M1551" t="s">
        <v>71</v>
      </c>
      <c r="N1551" t="s">
        <v>198</v>
      </c>
      <c r="O1551" t="s">
        <v>199</v>
      </c>
      <c r="P1551" t="s">
        <v>200</v>
      </c>
      <c r="R1551" t="s">
        <v>4192</v>
      </c>
      <c r="S1551" t="s">
        <v>223</v>
      </c>
      <c r="T1551" t="s">
        <v>258</v>
      </c>
      <c r="U1551" t="s">
        <v>383</v>
      </c>
      <c r="V1551" t="s">
        <v>124</v>
      </c>
      <c r="W1551">
        <v>790</v>
      </c>
      <c r="X1551">
        <v>34.99</v>
      </c>
      <c r="Y1551">
        <v>99</v>
      </c>
      <c r="Z1551">
        <v>569000</v>
      </c>
      <c r="AA1551">
        <v>347600</v>
      </c>
      <c r="AB1551">
        <v>350</v>
      </c>
      <c r="AD1551" t="s">
        <v>238</v>
      </c>
      <c r="AE1551">
        <v>1</v>
      </c>
      <c r="AF1551">
        <v>5</v>
      </c>
      <c r="AI1551">
        <v>0</v>
      </c>
      <c r="AJ1551">
        <v>60</v>
      </c>
      <c r="AK1551">
        <v>65</v>
      </c>
      <c r="AL1551">
        <v>440</v>
      </c>
      <c r="AM1551">
        <v>0</v>
      </c>
      <c r="AN1551">
        <v>0</v>
      </c>
      <c r="AO1551">
        <v>0</v>
      </c>
      <c r="AP1551" t="s">
        <v>69</v>
      </c>
      <c r="AR1551" t="s">
        <v>240</v>
      </c>
      <c r="AS1551" t="s">
        <v>240</v>
      </c>
      <c r="AT1551" t="s">
        <v>240</v>
      </c>
      <c r="AU1551" t="s">
        <v>261</v>
      </c>
      <c r="AV1551" t="s">
        <v>4319</v>
      </c>
      <c r="AW1551" t="s">
        <v>69</v>
      </c>
      <c r="AX1551" t="s">
        <v>126</v>
      </c>
      <c r="AY1551" t="s">
        <v>4320</v>
      </c>
      <c r="AZ1551" t="s">
        <v>244</v>
      </c>
      <c r="BA1551" t="s">
        <v>244</v>
      </c>
      <c r="BB1551" t="s">
        <v>245</v>
      </c>
      <c r="BC1551" t="s">
        <v>245</v>
      </c>
      <c r="BD1551" t="s">
        <v>4324</v>
      </c>
      <c r="BE1551" t="s">
        <v>4322</v>
      </c>
      <c r="BF1551" t="s">
        <v>240</v>
      </c>
      <c r="BG1551" t="s">
        <v>110</v>
      </c>
      <c r="BH1551" t="str">
        <f>IF(COUNTIF(工作表1!A:A, $C1551)&gt;0, "預購款", "非預購款")</f>
        <v>非預購款</v>
      </c>
    </row>
    <row r="1552" spans="1:60" x14ac:dyDescent="0.25">
      <c r="A1552" t="s">
        <v>4325</v>
      </c>
      <c r="B1552" t="s">
        <v>226</v>
      </c>
      <c r="C1552" t="s">
        <v>4326</v>
      </c>
      <c r="D1552" t="s">
        <v>4327</v>
      </c>
      <c r="E1552" t="s">
        <v>4328</v>
      </c>
      <c r="F1552" t="s">
        <v>222</v>
      </c>
      <c r="G1552" t="s">
        <v>4329</v>
      </c>
      <c r="H1552" t="s">
        <v>273</v>
      </c>
      <c r="I1552" t="s">
        <v>171</v>
      </c>
      <c r="J1552" t="s">
        <v>172</v>
      </c>
      <c r="K1552" t="s">
        <v>69</v>
      </c>
      <c r="L1552" t="s">
        <v>4318</v>
      </c>
      <c r="M1552" t="s">
        <v>71</v>
      </c>
      <c r="N1552" t="s">
        <v>198</v>
      </c>
      <c r="O1552" t="s">
        <v>199</v>
      </c>
      <c r="P1552" t="s">
        <v>200</v>
      </c>
      <c r="R1552" t="s">
        <v>4192</v>
      </c>
      <c r="S1552" t="s">
        <v>223</v>
      </c>
      <c r="T1552" t="s">
        <v>274</v>
      </c>
      <c r="U1552" t="s">
        <v>383</v>
      </c>
      <c r="V1552" t="s">
        <v>124</v>
      </c>
      <c r="W1552">
        <v>790</v>
      </c>
      <c r="X1552">
        <v>34.99</v>
      </c>
      <c r="Y1552">
        <v>99</v>
      </c>
      <c r="Z1552">
        <v>569000</v>
      </c>
      <c r="AA1552">
        <v>264650</v>
      </c>
      <c r="AB1552">
        <v>500</v>
      </c>
      <c r="AD1552" t="s">
        <v>238</v>
      </c>
      <c r="AE1552">
        <v>2</v>
      </c>
      <c r="AF1552">
        <v>5</v>
      </c>
      <c r="AI1552">
        <v>20</v>
      </c>
      <c r="AJ1552">
        <v>110</v>
      </c>
      <c r="AK1552">
        <v>135</v>
      </c>
      <c r="AL1552">
        <v>335</v>
      </c>
      <c r="AM1552">
        <v>0</v>
      </c>
      <c r="AN1552">
        <v>0</v>
      </c>
      <c r="AO1552">
        <v>0</v>
      </c>
      <c r="AP1552" t="s">
        <v>69</v>
      </c>
      <c r="AS1552" t="s">
        <v>240</v>
      </c>
      <c r="AT1552" t="s">
        <v>240</v>
      </c>
      <c r="AU1552" t="s">
        <v>86</v>
      </c>
      <c r="AV1552" t="s">
        <v>4330</v>
      </c>
      <c r="AW1552" t="s">
        <v>69</v>
      </c>
      <c r="AX1552" t="s">
        <v>126</v>
      </c>
      <c r="AY1552" t="s">
        <v>4331</v>
      </c>
      <c r="AZ1552" t="s">
        <v>244</v>
      </c>
      <c r="BA1552" t="s">
        <v>244</v>
      </c>
      <c r="BB1552" t="s">
        <v>245</v>
      </c>
      <c r="BC1552" t="s">
        <v>245</v>
      </c>
      <c r="BD1552" t="s">
        <v>4332</v>
      </c>
      <c r="BE1552" t="s">
        <v>4333</v>
      </c>
      <c r="BF1552" t="s">
        <v>279</v>
      </c>
      <c r="BG1552" t="s">
        <v>110</v>
      </c>
      <c r="BH1552" t="str">
        <f>IF(COUNTIF(工作表1!A:A, $C1552)&gt;0, "預購款", "非預購款")</f>
        <v>非預購款</v>
      </c>
    </row>
    <row r="1553" spans="1:60" x14ac:dyDescent="0.25">
      <c r="A1553" t="s">
        <v>4325</v>
      </c>
      <c r="B1553" t="s">
        <v>226</v>
      </c>
      <c r="C1553" t="s">
        <v>4326</v>
      </c>
      <c r="D1553" t="s">
        <v>4327</v>
      </c>
      <c r="E1553" t="s">
        <v>4328</v>
      </c>
      <c r="F1553" t="s">
        <v>222</v>
      </c>
      <c r="G1553" t="s">
        <v>4329</v>
      </c>
      <c r="H1553" t="s">
        <v>501</v>
      </c>
      <c r="I1553" t="s">
        <v>171</v>
      </c>
      <c r="J1553" t="s">
        <v>172</v>
      </c>
      <c r="K1553" t="s">
        <v>69</v>
      </c>
      <c r="L1553" t="s">
        <v>4318</v>
      </c>
      <c r="M1553" t="s">
        <v>71</v>
      </c>
      <c r="N1553" t="s">
        <v>198</v>
      </c>
      <c r="O1553" t="s">
        <v>199</v>
      </c>
      <c r="P1553" t="s">
        <v>200</v>
      </c>
      <c r="R1553" t="s">
        <v>4192</v>
      </c>
      <c r="S1553" t="s">
        <v>223</v>
      </c>
      <c r="T1553" t="s">
        <v>274</v>
      </c>
      <c r="U1553" t="s">
        <v>383</v>
      </c>
      <c r="V1553" t="s">
        <v>124</v>
      </c>
      <c r="W1553">
        <v>790</v>
      </c>
      <c r="X1553">
        <v>34.99</v>
      </c>
      <c r="Y1553">
        <v>99</v>
      </c>
      <c r="Z1553">
        <v>569000</v>
      </c>
      <c r="AA1553">
        <v>264650</v>
      </c>
      <c r="AB1553">
        <v>500</v>
      </c>
      <c r="AD1553" t="s">
        <v>238</v>
      </c>
      <c r="AE1553">
        <v>2</v>
      </c>
      <c r="AF1553">
        <v>0</v>
      </c>
      <c r="AI1553">
        <v>15</v>
      </c>
      <c r="AJ1553">
        <v>40</v>
      </c>
      <c r="AK1553">
        <v>55</v>
      </c>
      <c r="AL1553">
        <v>335</v>
      </c>
      <c r="AM1553">
        <v>0</v>
      </c>
      <c r="AN1553">
        <v>0</v>
      </c>
      <c r="AO1553">
        <v>0</v>
      </c>
      <c r="AP1553" t="s">
        <v>69</v>
      </c>
      <c r="AS1553" t="s">
        <v>240</v>
      </c>
      <c r="AT1553" t="s">
        <v>240</v>
      </c>
      <c r="AU1553" t="s">
        <v>86</v>
      </c>
      <c r="AV1553" t="s">
        <v>4330</v>
      </c>
      <c r="AW1553" t="s">
        <v>69</v>
      </c>
      <c r="AX1553" t="s">
        <v>126</v>
      </c>
      <c r="AY1553" t="s">
        <v>4331</v>
      </c>
      <c r="AZ1553" t="s">
        <v>244</v>
      </c>
      <c r="BA1553" t="s">
        <v>244</v>
      </c>
      <c r="BB1553" t="s">
        <v>245</v>
      </c>
      <c r="BC1553" t="s">
        <v>245</v>
      </c>
      <c r="BD1553" t="s">
        <v>4334</v>
      </c>
      <c r="BE1553" t="s">
        <v>4333</v>
      </c>
      <c r="BF1553" t="s">
        <v>279</v>
      </c>
      <c r="BG1553" t="s">
        <v>110</v>
      </c>
      <c r="BH1553" t="str">
        <f>IF(COUNTIF(工作表1!A:A, $C1553)&gt;0, "預購款", "非預購款")</f>
        <v>非預購款</v>
      </c>
    </row>
    <row r="1554" spans="1:60" x14ac:dyDescent="0.25">
      <c r="A1554" t="s">
        <v>4325</v>
      </c>
      <c r="B1554" t="s">
        <v>226</v>
      </c>
      <c r="C1554" t="s">
        <v>4326</v>
      </c>
      <c r="D1554" t="s">
        <v>4327</v>
      </c>
      <c r="E1554" t="s">
        <v>4328</v>
      </c>
      <c r="F1554" t="s">
        <v>222</v>
      </c>
      <c r="G1554" t="s">
        <v>4329</v>
      </c>
      <c r="H1554" t="s">
        <v>280</v>
      </c>
      <c r="I1554" t="s">
        <v>171</v>
      </c>
      <c r="J1554" t="s">
        <v>172</v>
      </c>
      <c r="K1554" t="s">
        <v>69</v>
      </c>
      <c r="L1554" t="s">
        <v>4318</v>
      </c>
      <c r="M1554" t="s">
        <v>71</v>
      </c>
      <c r="N1554" t="s">
        <v>198</v>
      </c>
      <c r="O1554" t="s">
        <v>199</v>
      </c>
      <c r="P1554" t="s">
        <v>200</v>
      </c>
      <c r="R1554" t="s">
        <v>4192</v>
      </c>
      <c r="S1554" t="s">
        <v>223</v>
      </c>
      <c r="T1554" t="s">
        <v>274</v>
      </c>
      <c r="U1554" t="s">
        <v>383</v>
      </c>
      <c r="V1554" t="s">
        <v>124</v>
      </c>
      <c r="W1554">
        <v>790</v>
      </c>
      <c r="X1554">
        <v>34.99</v>
      </c>
      <c r="Y1554">
        <v>99</v>
      </c>
      <c r="Z1554">
        <v>569000</v>
      </c>
      <c r="AA1554">
        <v>264650</v>
      </c>
      <c r="AB1554">
        <v>500</v>
      </c>
      <c r="AD1554" t="s">
        <v>238</v>
      </c>
      <c r="AE1554">
        <v>2</v>
      </c>
      <c r="AF1554">
        <v>0</v>
      </c>
      <c r="AI1554">
        <v>15</v>
      </c>
      <c r="AJ1554">
        <v>50</v>
      </c>
      <c r="AK1554">
        <v>65</v>
      </c>
      <c r="AL1554">
        <v>335</v>
      </c>
      <c r="AM1554">
        <v>0</v>
      </c>
      <c r="AN1554">
        <v>0</v>
      </c>
      <c r="AO1554">
        <v>0</v>
      </c>
      <c r="AP1554" t="s">
        <v>69</v>
      </c>
      <c r="AS1554" t="s">
        <v>240</v>
      </c>
      <c r="AT1554" t="s">
        <v>240</v>
      </c>
      <c r="AU1554" t="s">
        <v>86</v>
      </c>
      <c r="AV1554" t="s">
        <v>4330</v>
      </c>
      <c r="AW1554" t="s">
        <v>69</v>
      </c>
      <c r="AX1554" t="s">
        <v>126</v>
      </c>
      <c r="AY1554" t="s">
        <v>4331</v>
      </c>
      <c r="AZ1554" t="s">
        <v>244</v>
      </c>
      <c r="BA1554" t="s">
        <v>244</v>
      </c>
      <c r="BB1554" t="s">
        <v>245</v>
      </c>
      <c r="BC1554" t="s">
        <v>245</v>
      </c>
      <c r="BD1554" t="s">
        <v>4335</v>
      </c>
      <c r="BE1554" t="s">
        <v>4333</v>
      </c>
      <c r="BF1554" t="s">
        <v>279</v>
      </c>
      <c r="BG1554" t="s">
        <v>110</v>
      </c>
      <c r="BH1554" t="str">
        <f>IF(COUNTIF(工作表1!A:A, $C1554)&gt;0, "預購款", "非預購款")</f>
        <v>非預購款</v>
      </c>
    </row>
    <row r="1555" spans="1:60" x14ac:dyDescent="0.25">
      <c r="A1555" t="s">
        <v>4338</v>
      </c>
      <c r="B1555" t="s">
        <v>226</v>
      </c>
      <c r="C1555" t="s">
        <v>4339</v>
      </c>
      <c r="D1555" t="s">
        <v>4340</v>
      </c>
      <c r="E1555" t="s">
        <v>4341</v>
      </c>
      <c r="F1555" t="s">
        <v>222</v>
      </c>
      <c r="G1555" t="s">
        <v>4342</v>
      </c>
      <c r="H1555" t="s">
        <v>119</v>
      </c>
      <c r="I1555" t="s">
        <v>120</v>
      </c>
      <c r="J1555" t="s">
        <v>121</v>
      </c>
      <c r="K1555" t="s">
        <v>69</v>
      </c>
      <c r="L1555" t="s">
        <v>4343</v>
      </c>
      <c r="M1555" t="s">
        <v>71</v>
      </c>
      <c r="N1555" t="s">
        <v>198</v>
      </c>
      <c r="O1555" t="s">
        <v>199</v>
      </c>
      <c r="P1555" t="s">
        <v>200</v>
      </c>
      <c r="R1555" t="s">
        <v>4192</v>
      </c>
      <c r="S1555" t="s">
        <v>223</v>
      </c>
      <c r="T1555" t="s">
        <v>76</v>
      </c>
      <c r="U1555" t="s">
        <v>383</v>
      </c>
      <c r="V1555" t="s">
        <v>124</v>
      </c>
      <c r="W1555">
        <v>690</v>
      </c>
      <c r="X1555">
        <v>29.99</v>
      </c>
      <c r="Y1555">
        <v>89</v>
      </c>
      <c r="Z1555">
        <v>499000</v>
      </c>
      <c r="AA1555">
        <v>928050</v>
      </c>
      <c r="AB1555">
        <v>258</v>
      </c>
      <c r="AD1555" t="s">
        <v>238</v>
      </c>
      <c r="AE1555">
        <v>2</v>
      </c>
      <c r="AF1555">
        <v>20</v>
      </c>
      <c r="AI1555">
        <v>40</v>
      </c>
      <c r="AJ1555">
        <v>300</v>
      </c>
      <c r="AK1555">
        <v>360</v>
      </c>
      <c r="AL1555">
        <v>1345</v>
      </c>
      <c r="AM1555">
        <v>0</v>
      </c>
      <c r="AN1555">
        <v>0</v>
      </c>
      <c r="AO1555">
        <v>0</v>
      </c>
      <c r="AP1555" t="s">
        <v>69</v>
      </c>
      <c r="AR1555" t="s">
        <v>240</v>
      </c>
      <c r="AS1555" t="s">
        <v>240</v>
      </c>
      <c r="AT1555" t="s">
        <v>240</v>
      </c>
      <c r="AU1555" t="s">
        <v>240</v>
      </c>
      <c r="AV1555" t="s">
        <v>4336</v>
      </c>
      <c r="AW1555" t="s">
        <v>80</v>
      </c>
      <c r="AX1555" t="s">
        <v>1275</v>
      </c>
      <c r="AY1555" t="s">
        <v>4337</v>
      </c>
      <c r="AZ1555" t="s">
        <v>244</v>
      </c>
      <c r="BA1555" t="s">
        <v>244</v>
      </c>
      <c r="BB1555" t="s">
        <v>244</v>
      </c>
      <c r="BC1555" t="s">
        <v>264</v>
      </c>
      <c r="BD1555" t="s">
        <v>4344</v>
      </c>
      <c r="BE1555" t="s">
        <v>4345</v>
      </c>
      <c r="BF1555" t="s">
        <v>86</v>
      </c>
      <c r="BG1555" t="s">
        <v>150</v>
      </c>
      <c r="BH1555" t="str">
        <f>IF(COUNTIF(工作表1!A:A, $C1555)&gt;0, "預購款", "非預購款")</f>
        <v>非預購款</v>
      </c>
    </row>
    <row r="1556" spans="1:60" x14ac:dyDescent="0.25">
      <c r="A1556" t="s">
        <v>4338</v>
      </c>
      <c r="B1556" t="s">
        <v>226</v>
      </c>
      <c r="C1556" t="s">
        <v>4339</v>
      </c>
      <c r="D1556" t="s">
        <v>4340</v>
      </c>
      <c r="E1556" t="s">
        <v>4341</v>
      </c>
      <c r="F1556" t="s">
        <v>222</v>
      </c>
      <c r="G1556" t="s">
        <v>4342</v>
      </c>
      <c r="H1556" t="s">
        <v>130</v>
      </c>
      <c r="I1556" t="s">
        <v>120</v>
      </c>
      <c r="J1556" t="s">
        <v>121</v>
      </c>
      <c r="K1556" t="s">
        <v>69</v>
      </c>
      <c r="L1556" t="s">
        <v>4343</v>
      </c>
      <c r="M1556" t="s">
        <v>71</v>
      </c>
      <c r="N1556" t="s">
        <v>198</v>
      </c>
      <c r="O1556" t="s">
        <v>199</v>
      </c>
      <c r="P1556" t="s">
        <v>200</v>
      </c>
      <c r="R1556" t="s">
        <v>4192</v>
      </c>
      <c r="S1556" t="s">
        <v>223</v>
      </c>
      <c r="T1556" t="s">
        <v>76</v>
      </c>
      <c r="U1556" t="s">
        <v>383</v>
      </c>
      <c r="V1556" t="s">
        <v>124</v>
      </c>
      <c r="W1556">
        <v>690</v>
      </c>
      <c r="X1556">
        <v>29.99</v>
      </c>
      <c r="Y1556">
        <v>89</v>
      </c>
      <c r="Z1556">
        <v>499000</v>
      </c>
      <c r="AA1556">
        <v>928050</v>
      </c>
      <c r="AB1556">
        <v>258</v>
      </c>
      <c r="AD1556" t="s">
        <v>238</v>
      </c>
      <c r="AE1556">
        <v>2</v>
      </c>
      <c r="AF1556">
        <v>15</v>
      </c>
      <c r="AI1556">
        <v>30</v>
      </c>
      <c r="AJ1556">
        <v>340</v>
      </c>
      <c r="AK1556">
        <v>385</v>
      </c>
      <c r="AL1556">
        <v>1345</v>
      </c>
      <c r="AM1556">
        <v>0</v>
      </c>
      <c r="AN1556">
        <v>0</v>
      </c>
      <c r="AO1556">
        <v>0</v>
      </c>
      <c r="AP1556" t="s">
        <v>69</v>
      </c>
      <c r="AR1556" t="s">
        <v>240</v>
      </c>
      <c r="AS1556" t="s">
        <v>240</v>
      </c>
      <c r="AT1556" t="s">
        <v>240</v>
      </c>
      <c r="AU1556" t="s">
        <v>240</v>
      </c>
      <c r="AV1556" t="s">
        <v>4336</v>
      </c>
      <c r="AW1556" t="s">
        <v>80</v>
      </c>
      <c r="AX1556" t="s">
        <v>1275</v>
      </c>
      <c r="AY1556" t="s">
        <v>4337</v>
      </c>
      <c r="AZ1556" t="s">
        <v>244</v>
      </c>
      <c r="BA1556" t="s">
        <v>244</v>
      </c>
      <c r="BB1556" t="s">
        <v>244</v>
      </c>
      <c r="BC1556" t="s">
        <v>264</v>
      </c>
      <c r="BD1556" t="s">
        <v>4346</v>
      </c>
      <c r="BE1556" t="s">
        <v>4345</v>
      </c>
      <c r="BF1556" t="s">
        <v>86</v>
      </c>
      <c r="BG1556" t="s">
        <v>150</v>
      </c>
      <c r="BH1556" t="str">
        <f>IF(COUNTIF(工作表1!A:A, $C1556)&gt;0, "預購款", "非預購款")</f>
        <v>非預購款</v>
      </c>
    </row>
    <row r="1557" spans="1:60" x14ac:dyDescent="0.25">
      <c r="A1557" t="s">
        <v>4338</v>
      </c>
      <c r="B1557" t="s">
        <v>226</v>
      </c>
      <c r="C1557" t="s">
        <v>4339</v>
      </c>
      <c r="D1557" t="s">
        <v>4340</v>
      </c>
      <c r="E1557" t="s">
        <v>4341</v>
      </c>
      <c r="F1557" t="s">
        <v>222</v>
      </c>
      <c r="G1557" t="s">
        <v>4342</v>
      </c>
      <c r="H1557" t="s">
        <v>132</v>
      </c>
      <c r="I1557" t="s">
        <v>120</v>
      </c>
      <c r="J1557" t="s">
        <v>121</v>
      </c>
      <c r="K1557" t="s">
        <v>69</v>
      </c>
      <c r="L1557" t="s">
        <v>4343</v>
      </c>
      <c r="M1557" t="s">
        <v>71</v>
      </c>
      <c r="N1557" t="s">
        <v>198</v>
      </c>
      <c r="O1557" t="s">
        <v>199</v>
      </c>
      <c r="P1557" t="s">
        <v>200</v>
      </c>
      <c r="R1557" t="s">
        <v>4192</v>
      </c>
      <c r="S1557" t="s">
        <v>223</v>
      </c>
      <c r="T1557" t="s">
        <v>76</v>
      </c>
      <c r="U1557" t="s">
        <v>383</v>
      </c>
      <c r="V1557" t="s">
        <v>124</v>
      </c>
      <c r="W1557">
        <v>690</v>
      </c>
      <c r="X1557">
        <v>29.99</v>
      </c>
      <c r="Y1557">
        <v>89</v>
      </c>
      <c r="Z1557">
        <v>499000</v>
      </c>
      <c r="AA1557">
        <v>928050</v>
      </c>
      <c r="AB1557">
        <v>258</v>
      </c>
      <c r="AD1557" t="s">
        <v>238</v>
      </c>
      <c r="AE1557">
        <v>2</v>
      </c>
      <c r="AF1557">
        <v>5</v>
      </c>
      <c r="AI1557">
        <v>30</v>
      </c>
      <c r="AJ1557">
        <v>130</v>
      </c>
      <c r="AK1557">
        <v>165</v>
      </c>
      <c r="AL1557">
        <v>1345</v>
      </c>
      <c r="AM1557">
        <v>0</v>
      </c>
      <c r="AN1557">
        <v>0</v>
      </c>
      <c r="AO1557">
        <v>0</v>
      </c>
      <c r="AP1557" t="s">
        <v>69</v>
      </c>
      <c r="AR1557" t="s">
        <v>240</v>
      </c>
      <c r="AS1557" t="s">
        <v>240</v>
      </c>
      <c r="AT1557" t="s">
        <v>240</v>
      </c>
      <c r="AU1557" t="s">
        <v>240</v>
      </c>
      <c r="AV1557" t="s">
        <v>4336</v>
      </c>
      <c r="AW1557" t="s">
        <v>80</v>
      </c>
      <c r="AX1557" t="s">
        <v>1275</v>
      </c>
      <c r="AY1557" t="s">
        <v>4337</v>
      </c>
      <c r="AZ1557" t="s">
        <v>244</v>
      </c>
      <c r="BA1557" t="s">
        <v>244</v>
      </c>
      <c r="BB1557" t="s">
        <v>244</v>
      </c>
      <c r="BC1557" t="s">
        <v>264</v>
      </c>
      <c r="BD1557" t="s">
        <v>4347</v>
      </c>
      <c r="BE1557" t="s">
        <v>4345</v>
      </c>
      <c r="BF1557" t="s">
        <v>86</v>
      </c>
      <c r="BG1557" t="s">
        <v>150</v>
      </c>
      <c r="BH1557" t="str">
        <f>IF(COUNTIF(工作表1!A:A, $C1557)&gt;0, "預購款", "非預購款")</f>
        <v>非預購款</v>
      </c>
    </row>
    <row r="1558" spans="1:60" x14ac:dyDescent="0.25">
      <c r="A1558" t="s">
        <v>4338</v>
      </c>
      <c r="B1558" t="s">
        <v>226</v>
      </c>
      <c r="C1558" t="s">
        <v>4339</v>
      </c>
      <c r="D1558" t="s">
        <v>4340</v>
      </c>
      <c r="E1558" t="s">
        <v>4341</v>
      </c>
      <c r="F1558" t="s">
        <v>222</v>
      </c>
      <c r="G1558" t="s">
        <v>4342</v>
      </c>
      <c r="H1558" t="s">
        <v>119</v>
      </c>
      <c r="I1558" t="s">
        <v>97</v>
      </c>
      <c r="J1558" t="s">
        <v>98</v>
      </c>
      <c r="K1558" t="s">
        <v>69</v>
      </c>
      <c r="L1558" t="s">
        <v>4343</v>
      </c>
      <c r="M1558" t="s">
        <v>71</v>
      </c>
      <c r="N1558" t="s">
        <v>198</v>
      </c>
      <c r="O1558" t="s">
        <v>199</v>
      </c>
      <c r="P1558" t="s">
        <v>200</v>
      </c>
      <c r="R1558" t="s">
        <v>4192</v>
      </c>
      <c r="S1558" t="s">
        <v>223</v>
      </c>
      <c r="T1558" t="s">
        <v>76</v>
      </c>
      <c r="U1558" t="s">
        <v>383</v>
      </c>
      <c r="V1558" t="s">
        <v>124</v>
      </c>
      <c r="W1558">
        <v>690</v>
      </c>
      <c r="X1558">
        <v>29.99</v>
      </c>
      <c r="Y1558">
        <v>89</v>
      </c>
      <c r="Z1558">
        <v>499000</v>
      </c>
      <c r="AA1558">
        <v>928050</v>
      </c>
      <c r="AB1558">
        <v>258</v>
      </c>
      <c r="AD1558" t="s">
        <v>238</v>
      </c>
      <c r="AE1558">
        <v>2</v>
      </c>
      <c r="AF1558">
        <v>20</v>
      </c>
      <c r="AI1558">
        <v>40</v>
      </c>
      <c r="AJ1558">
        <v>160</v>
      </c>
      <c r="AK1558">
        <v>220</v>
      </c>
      <c r="AL1558">
        <v>1345</v>
      </c>
      <c r="AM1558">
        <v>0</v>
      </c>
      <c r="AN1558">
        <v>0</v>
      </c>
      <c r="AO1558">
        <v>0</v>
      </c>
      <c r="AP1558" t="s">
        <v>69</v>
      </c>
      <c r="AR1558" t="s">
        <v>240</v>
      </c>
      <c r="AS1558" t="s">
        <v>240</v>
      </c>
      <c r="AT1558" t="s">
        <v>240</v>
      </c>
      <c r="AU1558" t="s">
        <v>240</v>
      </c>
      <c r="AV1558" t="s">
        <v>4336</v>
      </c>
      <c r="AW1558" t="s">
        <v>80</v>
      </c>
      <c r="AX1558" t="s">
        <v>1275</v>
      </c>
      <c r="AY1558" t="s">
        <v>4337</v>
      </c>
      <c r="AZ1558" t="s">
        <v>244</v>
      </c>
      <c r="BA1558" t="s">
        <v>244</v>
      </c>
      <c r="BB1558" t="s">
        <v>244</v>
      </c>
      <c r="BC1558" t="s">
        <v>264</v>
      </c>
      <c r="BD1558" t="s">
        <v>4348</v>
      </c>
      <c r="BE1558" t="s">
        <v>4345</v>
      </c>
      <c r="BF1558" t="s">
        <v>86</v>
      </c>
      <c r="BG1558" t="s">
        <v>150</v>
      </c>
      <c r="BH1558" t="str">
        <f>IF(COUNTIF(工作表1!A:A, $C1558)&gt;0, "預購款", "非預購款")</f>
        <v>非預購款</v>
      </c>
    </row>
    <row r="1559" spans="1:60" x14ac:dyDescent="0.25">
      <c r="A1559" t="s">
        <v>4338</v>
      </c>
      <c r="B1559" t="s">
        <v>226</v>
      </c>
      <c r="C1559" t="s">
        <v>4339</v>
      </c>
      <c r="D1559" t="s">
        <v>4340</v>
      </c>
      <c r="E1559" t="s">
        <v>4341</v>
      </c>
      <c r="F1559" t="s">
        <v>222</v>
      </c>
      <c r="G1559" t="s">
        <v>4342</v>
      </c>
      <c r="H1559" t="s">
        <v>130</v>
      </c>
      <c r="I1559" t="s">
        <v>97</v>
      </c>
      <c r="J1559" t="s">
        <v>98</v>
      </c>
      <c r="K1559" t="s">
        <v>69</v>
      </c>
      <c r="L1559" t="s">
        <v>4343</v>
      </c>
      <c r="M1559" t="s">
        <v>71</v>
      </c>
      <c r="N1559" t="s">
        <v>198</v>
      </c>
      <c r="O1559" t="s">
        <v>199</v>
      </c>
      <c r="P1559" t="s">
        <v>200</v>
      </c>
      <c r="R1559" t="s">
        <v>4192</v>
      </c>
      <c r="S1559" t="s">
        <v>223</v>
      </c>
      <c r="T1559" t="s">
        <v>76</v>
      </c>
      <c r="U1559" t="s">
        <v>383</v>
      </c>
      <c r="V1559" t="s">
        <v>124</v>
      </c>
      <c r="W1559">
        <v>690</v>
      </c>
      <c r="X1559">
        <v>29.99</v>
      </c>
      <c r="Y1559">
        <v>89</v>
      </c>
      <c r="Z1559">
        <v>499000</v>
      </c>
      <c r="AA1559">
        <v>928050</v>
      </c>
      <c r="AB1559">
        <v>258</v>
      </c>
      <c r="AD1559" t="s">
        <v>238</v>
      </c>
      <c r="AE1559">
        <v>2</v>
      </c>
      <c r="AF1559">
        <v>15</v>
      </c>
      <c r="AI1559">
        <v>20</v>
      </c>
      <c r="AJ1559">
        <v>120</v>
      </c>
      <c r="AK1559">
        <v>155</v>
      </c>
      <c r="AL1559">
        <v>1345</v>
      </c>
      <c r="AM1559">
        <v>0</v>
      </c>
      <c r="AN1559">
        <v>0</v>
      </c>
      <c r="AO1559">
        <v>0</v>
      </c>
      <c r="AP1559" t="s">
        <v>69</v>
      </c>
      <c r="AR1559" t="s">
        <v>240</v>
      </c>
      <c r="AS1559" t="s">
        <v>240</v>
      </c>
      <c r="AT1559" t="s">
        <v>240</v>
      </c>
      <c r="AU1559" t="s">
        <v>240</v>
      </c>
      <c r="AV1559" t="s">
        <v>4336</v>
      </c>
      <c r="AW1559" t="s">
        <v>80</v>
      </c>
      <c r="AX1559" t="s">
        <v>1275</v>
      </c>
      <c r="AY1559" t="s">
        <v>4337</v>
      </c>
      <c r="AZ1559" t="s">
        <v>244</v>
      </c>
      <c r="BA1559" t="s">
        <v>244</v>
      </c>
      <c r="BB1559" t="s">
        <v>244</v>
      </c>
      <c r="BC1559" t="s">
        <v>264</v>
      </c>
      <c r="BD1559" t="s">
        <v>4349</v>
      </c>
      <c r="BE1559" t="s">
        <v>4345</v>
      </c>
      <c r="BF1559" t="s">
        <v>86</v>
      </c>
      <c r="BG1559" t="s">
        <v>150</v>
      </c>
      <c r="BH1559" t="str">
        <f>IF(COUNTIF(工作表1!A:A, $C1559)&gt;0, "預購款", "非預購款")</f>
        <v>非預購款</v>
      </c>
    </row>
    <row r="1560" spans="1:60" x14ac:dyDescent="0.25">
      <c r="A1560" t="s">
        <v>4338</v>
      </c>
      <c r="B1560" t="s">
        <v>226</v>
      </c>
      <c r="C1560" t="s">
        <v>4339</v>
      </c>
      <c r="D1560" t="s">
        <v>4340</v>
      </c>
      <c r="E1560" t="s">
        <v>4341</v>
      </c>
      <c r="F1560" t="s">
        <v>222</v>
      </c>
      <c r="G1560" t="s">
        <v>4342</v>
      </c>
      <c r="H1560" t="s">
        <v>132</v>
      </c>
      <c r="I1560" t="s">
        <v>97</v>
      </c>
      <c r="J1560" t="s">
        <v>98</v>
      </c>
      <c r="K1560" t="s">
        <v>69</v>
      </c>
      <c r="L1560" t="s">
        <v>4343</v>
      </c>
      <c r="M1560" t="s">
        <v>71</v>
      </c>
      <c r="N1560" t="s">
        <v>198</v>
      </c>
      <c r="O1560" t="s">
        <v>199</v>
      </c>
      <c r="P1560" t="s">
        <v>200</v>
      </c>
      <c r="R1560" t="s">
        <v>4192</v>
      </c>
      <c r="S1560" t="s">
        <v>223</v>
      </c>
      <c r="T1560" t="s">
        <v>76</v>
      </c>
      <c r="U1560" t="s">
        <v>383</v>
      </c>
      <c r="V1560" t="s">
        <v>124</v>
      </c>
      <c r="W1560">
        <v>690</v>
      </c>
      <c r="X1560">
        <v>29.99</v>
      </c>
      <c r="Y1560">
        <v>89</v>
      </c>
      <c r="Z1560">
        <v>499000</v>
      </c>
      <c r="AA1560">
        <v>928050</v>
      </c>
      <c r="AB1560">
        <v>258</v>
      </c>
      <c r="AD1560" t="s">
        <v>238</v>
      </c>
      <c r="AE1560">
        <v>2</v>
      </c>
      <c r="AF1560">
        <v>0</v>
      </c>
      <c r="AI1560">
        <v>20</v>
      </c>
      <c r="AJ1560">
        <v>40</v>
      </c>
      <c r="AK1560">
        <v>60</v>
      </c>
      <c r="AL1560">
        <v>1345</v>
      </c>
      <c r="AM1560">
        <v>0</v>
      </c>
      <c r="AN1560">
        <v>0</v>
      </c>
      <c r="AO1560">
        <v>0</v>
      </c>
      <c r="AP1560" t="s">
        <v>69</v>
      </c>
      <c r="AR1560" t="s">
        <v>240</v>
      </c>
      <c r="AS1560" t="s">
        <v>240</v>
      </c>
      <c r="AT1560" t="s">
        <v>240</v>
      </c>
      <c r="AU1560" t="s">
        <v>240</v>
      </c>
      <c r="AV1560" t="s">
        <v>4336</v>
      </c>
      <c r="AW1560" t="s">
        <v>80</v>
      </c>
      <c r="AX1560" t="s">
        <v>1275</v>
      </c>
      <c r="AY1560" t="s">
        <v>4337</v>
      </c>
      <c r="AZ1560" t="s">
        <v>244</v>
      </c>
      <c r="BA1560" t="s">
        <v>244</v>
      </c>
      <c r="BB1560" t="s">
        <v>244</v>
      </c>
      <c r="BC1560" t="s">
        <v>264</v>
      </c>
      <c r="BD1560" t="s">
        <v>4350</v>
      </c>
      <c r="BE1560" t="s">
        <v>4345</v>
      </c>
      <c r="BF1560" t="s">
        <v>86</v>
      </c>
      <c r="BG1560" t="s">
        <v>150</v>
      </c>
      <c r="BH1560" t="str">
        <f>IF(COUNTIF(工作表1!A:A, $C1560)&gt;0, "預購款", "非預購款")</f>
        <v>非預購款</v>
      </c>
    </row>
    <row r="1561" spans="1:60" x14ac:dyDescent="0.25">
      <c r="A1561" t="s">
        <v>4351</v>
      </c>
      <c r="B1561" t="s">
        <v>226</v>
      </c>
      <c r="C1561" t="s">
        <v>4352</v>
      </c>
      <c r="D1561" t="s">
        <v>4353</v>
      </c>
      <c r="E1561" t="s">
        <v>4354</v>
      </c>
      <c r="F1561" t="s">
        <v>222</v>
      </c>
      <c r="G1561" t="s">
        <v>4355</v>
      </c>
      <c r="H1561" t="s">
        <v>119</v>
      </c>
      <c r="I1561" t="s">
        <v>120</v>
      </c>
      <c r="J1561" t="s">
        <v>121</v>
      </c>
      <c r="K1561" t="s">
        <v>69</v>
      </c>
      <c r="L1561" t="s">
        <v>4356</v>
      </c>
      <c r="M1561" t="s">
        <v>71</v>
      </c>
      <c r="N1561" t="s">
        <v>198</v>
      </c>
      <c r="O1561" t="s">
        <v>199</v>
      </c>
      <c r="P1561" t="s">
        <v>200</v>
      </c>
      <c r="R1561" t="s">
        <v>4192</v>
      </c>
      <c r="S1561" t="s">
        <v>223</v>
      </c>
      <c r="T1561" t="s">
        <v>291</v>
      </c>
      <c r="U1561" t="s">
        <v>146</v>
      </c>
      <c r="V1561" t="s">
        <v>144</v>
      </c>
      <c r="W1561">
        <v>790</v>
      </c>
      <c r="X1561">
        <v>34.99</v>
      </c>
      <c r="Y1561">
        <v>99</v>
      </c>
      <c r="Z1561">
        <v>569000</v>
      </c>
      <c r="AA1561">
        <v>142200</v>
      </c>
      <c r="AB1561">
        <v>320</v>
      </c>
      <c r="AD1561" t="s">
        <v>238</v>
      </c>
      <c r="AE1561">
        <v>1</v>
      </c>
      <c r="AF1561">
        <v>0</v>
      </c>
      <c r="AI1561">
        <v>20</v>
      </c>
      <c r="AJ1561">
        <v>80</v>
      </c>
      <c r="AK1561">
        <v>100</v>
      </c>
      <c r="AL1561">
        <v>180</v>
      </c>
      <c r="AM1561">
        <v>0</v>
      </c>
      <c r="AN1561">
        <v>0</v>
      </c>
      <c r="AO1561">
        <v>0</v>
      </c>
      <c r="AP1561" t="s">
        <v>69</v>
      </c>
      <c r="AT1561" t="s">
        <v>86</v>
      </c>
      <c r="AU1561" t="s">
        <v>240</v>
      </c>
      <c r="AV1561" t="s">
        <v>81</v>
      </c>
      <c r="AW1561" t="s">
        <v>69</v>
      </c>
      <c r="AX1561" t="s">
        <v>126</v>
      </c>
      <c r="AY1561" t="s">
        <v>4357</v>
      </c>
      <c r="AZ1561" t="s">
        <v>243</v>
      </c>
      <c r="BA1561" t="s">
        <v>243</v>
      </c>
      <c r="BB1561" t="s">
        <v>244</v>
      </c>
      <c r="BC1561" t="s">
        <v>244</v>
      </c>
      <c r="BD1561" t="s">
        <v>4358</v>
      </c>
      <c r="BE1561" t="s">
        <v>4359</v>
      </c>
      <c r="BF1561" t="s">
        <v>291</v>
      </c>
      <c r="BG1561" t="s">
        <v>150</v>
      </c>
      <c r="BH1561" t="str">
        <f>IF(COUNTIF(工作表1!A:A, $C1561)&gt;0, "預購款", "非預購款")</f>
        <v>非預購款</v>
      </c>
    </row>
    <row r="1562" spans="1:60" x14ac:dyDescent="0.25">
      <c r="A1562" t="s">
        <v>4351</v>
      </c>
      <c r="B1562" t="s">
        <v>226</v>
      </c>
      <c r="C1562" t="s">
        <v>4352</v>
      </c>
      <c r="D1562" t="s">
        <v>4353</v>
      </c>
      <c r="E1562" t="s">
        <v>4354</v>
      </c>
      <c r="F1562" t="s">
        <v>222</v>
      </c>
      <c r="G1562" t="s">
        <v>4355</v>
      </c>
      <c r="H1562" t="s">
        <v>130</v>
      </c>
      <c r="I1562" t="s">
        <v>120</v>
      </c>
      <c r="J1562" t="s">
        <v>121</v>
      </c>
      <c r="K1562" t="s">
        <v>69</v>
      </c>
      <c r="L1562" t="s">
        <v>4356</v>
      </c>
      <c r="M1562" t="s">
        <v>71</v>
      </c>
      <c r="N1562" t="s">
        <v>198</v>
      </c>
      <c r="O1562" t="s">
        <v>199</v>
      </c>
      <c r="P1562" t="s">
        <v>200</v>
      </c>
      <c r="R1562" t="s">
        <v>4192</v>
      </c>
      <c r="S1562" t="s">
        <v>223</v>
      </c>
      <c r="T1562" t="s">
        <v>291</v>
      </c>
      <c r="U1562" t="s">
        <v>146</v>
      </c>
      <c r="V1562" t="s">
        <v>144</v>
      </c>
      <c r="W1562">
        <v>790</v>
      </c>
      <c r="X1562">
        <v>34.99</v>
      </c>
      <c r="Y1562">
        <v>99</v>
      </c>
      <c r="Z1562">
        <v>569000</v>
      </c>
      <c r="AA1562">
        <v>142200</v>
      </c>
      <c r="AB1562">
        <v>320</v>
      </c>
      <c r="AD1562" t="s">
        <v>238</v>
      </c>
      <c r="AE1562">
        <v>1</v>
      </c>
      <c r="AF1562">
        <v>0</v>
      </c>
      <c r="AI1562">
        <v>20</v>
      </c>
      <c r="AJ1562">
        <v>30</v>
      </c>
      <c r="AK1562">
        <v>50</v>
      </c>
      <c r="AL1562">
        <v>180</v>
      </c>
      <c r="AM1562">
        <v>0</v>
      </c>
      <c r="AN1562">
        <v>0</v>
      </c>
      <c r="AO1562">
        <v>0</v>
      </c>
      <c r="AP1562" t="s">
        <v>69</v>
      </c>
      <c r="AT1562" t="s">
        <v>86</v>
      </c>
      <c r="AU1562" t="s">
        <v>240</v>
      </c>
      <c r="AV1562" t="s">
        <v>81</v>
      </c>
      <c r="AW1562" t="s">
        <v>69</v>
      </c>
      <c r="AX1562" t="s">
        <v>126</v>
      </c>
      <c r="AY1562" t="s">
        <v>4357</v>
      </c>
      <c r="AZ1562" t="s">
        <v>243</v>
      </c>
      <c r="BA1562" t="s">
        <v>243</v>
      </c>
      <c r="BB1562" t="s">
        <v>244</v>
      </c>
      <c r="BC1562" t="s">
        <v>244</v>
      </c>
      <c r="BD1562" t="s">
        <v>4360</v>
      </c>
      <c r="BE1562" t="s">
        <v>4359</v>
      </c>
      <c r="BF1562" t="s">
        <v>291</v>
      </c>
      <c r="BG1562" t="s">
        <v>150</v>
      </c>
      <c r="BH1562" t="str">
        <f>IF(COUNTIF(工作表1!A:A, $C1562)&gt;0, "預購款", "非預購款")</f>
        <v>非預購款</v>
      </c>
    </row>
    <row r="1563" spans="1:60" x14ac:dyDescent="0.25">
      <c r="A1563" t="s">
        <v>4351</v>
      </c>
      <c r="B1563" t="s">
        <v>226</v>
      </c>
      <c r="C1563" t="s">
        <v>4352</v>
      </c>
      <c r="D1563" t="s">
        <v>4353</v>
      </c>
      <c r="E1563" t="s">
        <v>4354</v>
      </c>
      <c r="F1563" t="s">
        <v>222</v>
      </c>
      <c r="G1563" t="s">
        <v>4355</v>
      </c>
      <c r="H1563" t="s">
        <v>132</v>
      </c>
      <c r="I1563" t="s">
        <v>120</v>
      </c>
      <c r="J1563" t="s">
        <v>121</v>
      </c>
      <c r="K1563" t="s">
        <v>69</v>
      </c>
      <c r="L1563" t="s">
        <v>4356</v>
      </c>
      <c r="M1563" t="s">
        <v>71</v>
      </c>
      <c r="N1563" t="s">
        <v>198</v>
      </c>
      <c r="O1563" t="s">
        <v>199</v>
      </c>
      <c r="P1563" t="s">
        <v>200</v>
      </c>
      <c r="R1563" t="s">
        <v>4192</v>
      </c>
      <c r="S1563" t="s">
        <v>223</v>
      </c>
      <c r="T1563" t="s">
        <v>291</v>
      </c>
      <c r="U1563" t="s">
        <v>146</v>
      </c>
      <c r="V1563" t="s">
        <v>144</v>
      </c>
      <c r="W1563">
        <v>790</v>
      </c>
      <c r="X1563">
        <v>34.99</v>
      </c>
      <c r="Y1563">
        <v>99</v>
      </c>
      <c r="Z1563">
        <v>569000</v>
      </c>
      <c r="AA1563">
        <v>142200</v>
      </c>
      <c r="AB1563">
        <v>320</v>
      </c>
      <c r="AD1563" t="s">
        <v>238</v>
      </c>
      <c r="AE1563">
        <v>1</v>
      </c>
      <c r="AF1563">
        <v>0</v>
      </c>
      <c r="AI1563">
        <v>10</v>
      </c>
      <c r="AJ1563">
        <v>20</v>
      </c>
      <c r="AK1563">
        <v>30</v>
      </c>
      <c r="AL1563">
        <v>180</v>
      </c>
      <c r="AM1563">
        <v>0</v>
      </c>
      <c r="AN1563">
        <v>0</v>
      </c>
      <c r="AO1563">
        <v>0</v>
      </c>
      <c r="AP1563" t="s">
        <v>69</v>
      </c>
      <c r="AT1563" t="s">
        <v>86</v>
      </c>
      <c r="AU1563" t="s">
        <v>240</v>
      </c>
      <c r="AV1563" t="s">
        <v>81</v>
      </c>
      <c r="AW1563" t="s">
        <v>69</v>
      </c>
      <c r="AX1563" t="s">
        <v>126</v>
      </c>
      <c r="AY1563" t="s">
        <v>4357</v>
      </c>
      <c r="AZ1563" t="s">
        <v>243</v>
      </c>
      <c r="BA1563" t="s">
        <v>243</v>
      </c>
      <c r="BB1563" t="s">
        <v>244</v>
      </c>
      <c r="BC1563" t="s">
        <v>244</v>
      </c>
      <c r="BD1563" t="s">
        <v>4361</v>
      </c>
      <c r="BE1563" t="s">
        <v>4359</v>
      </c>
      <c r="BF1563" t="s">
        <v>291</v>
      </c>
      <c r="BG1563" t="s">
        <v>150</v>
      </c>
      <c r="BH1563" t="str">
        <f>IF(COUNTIF(工作表1!A:A, $C1563)&gt;0, "預購款", "非預購款")</f>
        <v>非預購款</v>
      </c>
    </row>
    <row r="1564" spans="1:60" x14ac:dyDescent="0.25">
      <c r="A1564" t="s">
        <v>647</v>
      </c>
      <c r="B1564" t="s">
        <v>283</v>
      </c>
      <c r="C1564" t="s">
        <v>648</v>
      </c>
      <c r="D1564" t="s">
        <v>649</v>
      </c>
      <c r="E1564" t="s">
        <v>650</v>
      </c>
      <c r="F1564" t="s">
        <v>222</v>
      </c>
      <c r="G1564" t="s">
        <v>651</v>
      </c>
      <c r="H1564" t="s">
        <v>119</v>
      </c>
      <c r="I1564" t="s">
        <v>97</v>
      </c>
      <c r="J1564" t="s">
        <v>98</v>
      </c>
      <c r="K1564" t="s">
        <v>69</v>
      </c>
      <c r="L1564" t="s">
        <v>652</v>
      </c>
      <c r="M1564" t="s">
        <v>71</v>
      </c>
      <c r="N1564" t="s">
        <v>100</v>
      </c>
      <c r="O1564" t="s">
        <v>524</v>
      </c>
      <c r="P1564" t="s">
        <v>525</v>
      </c>
      <c r="R1564" t="s">
        <v>526</v>
      </c>
      <c r="S1564" t="s">
        <v>223</v>
      </c>
      <c r="T1564" t="s">
        <v>258</v>
      </c>
      <c r="U1564" t="s">
        <v>104</v>
      </c>
      <c r="V1564" t="s">
        <v>653</v>
      </c>
      <c r="W1564">
        <v>690</v>
      </c>
      <c r="X1564">
        <v>29.99</v>
      </c>
      <c r="Y1564">
        <v>89</v>
      </c>
      <c r="Z1564">
        <v>499000</v>
      </c>
      <c r="AA1564">
        <v>179400</v>
      </c>
      <c r="AB1564">
        <v>170</v>
      </c>
      <c r="AD1564" t="s">
        <v>238</v>
      </c>
      <c r="AE1564">
        <v>1</v>
      </c>
      <c r="AF1564">
        <v>0</v>
      </c>
      <c r="AI1564">
        <v>20</v>
      </c>
      <c r="AJ1564">
        <v>100</v>
      </c>
      <c r="AK1564">
        <v>120</v>
      </c>
      <c r="AL1564">
        <v>260</v>
      </c>
      <c r="AM1564">
        <v>0</v>
      </c>
      <c r="AN1564">
        <v>0</v>
      </c>
      <c r="AO1564">
        <v>0</v>
      </c>
      <c r="AP1564" t="s">
        <v>69</v>
      </c>
      <c r="AT1564" t="s">
        <v>240</v>
      </c>
      <c r="AU1564" t="s">
        <v>240</v>
      </c>
      <c r="AV1564" t="s">
        <v>654</v>
      </c>
      <c r="AW1564" t="s">
        <v>69</v>
      </c>
      <c r="AX1564" t="s">
        <v>655</v>
      </c>
      <c r="AY1564" t="s">
        <v>656</v>
      </c>
      <c r="AZ1564" t="s">
        <v>245</v>
      </c>
      <c r="BA1564" t="s">
        <v>244</v>
      </c>
      <c r="BB1564" t="s">
        <v>244</v>
      </c>
      <c r="BC1564" t="s">
        <v>264</v>
      </c>
      <c r="BD1564" t="s">
        <v>659</v>
      </c>
      <c r="BE1564" t="s">
        <v>4362</v>
      </c>
      <c r="BF1564" t="s">
        <v>658</v>
      </c>
      <c r="BG1564" t="s">
        <v>150</v>
      </c>
      <c r="BH1564" t="str">
        <f>IF(COUNTIF(工作表1!A:A, $C1564)&gt;0, "預購款", "非預購款")</f>
        <v>非預購款</v>
      </c>
    </row>
    <row r="1565" spans="1:60" x14ac:dyDescent="0.25">
      <c r="A1565" t="s">
        <v>647</v>
      </c>
      <c r="B1565" t="s">
        <v>283</v>
      </c>
      <c r="C1565" t="s">
        <v>648</v>
      </c>
      <c r="D1565" t="s">
        <v>649</v>
      </c>
      <c r="E1565" t="s">
        <v>650</v>
      </c>
      <c r="F1565" t="s">
        <v>222</v>
      </c>
      <c r="G1565" t="s">
        <v>651</v>
      </c>
      <c r="H1565" t="s">
        <v>130</v>
      </c>
      <c r="I1565" t="s">
        <v>97</v>
      </c>
      <c r="J1565" t="s">
        <v>98</v>
      </c>
      <c r="K1565" t="s">
        <v>69</v>
      </c>
      <c r="L1565" t="s">
        <v>652</v>
      </c>
      <c r="M1565" t="s">
        <v>71</v>
      </c>
      <c r="N1565" t="s">
        <v>100</v>
      </c>
      <c r="O1565" t="s">
        <v>524</v>
      </c>
      <c r="P1565" t="s">
        <v>525</v>
      </c>
      <c r="R1565" t="s">
        <v>526</v>
      </c>
      <c r="S1565" t="s">
        <v>223</v>
      </c>
      <c r="T1565" t="s">
        <v>258</v>
      </c>
      <c r="U1565" t="s">
        <v>104</v>
      </c>
      <c r="V1565" t="s">
        <v>653</v>
      </c>
      <c r="W1565">
        <v>690</v>
      </c>
      <c r="X1565">
        <v>29.99</v>
      </c>
      <c r="Y1565">
        <v>89</v>
      </c>
      <c r="Z1565">
        <v>499000</v>
      </c>
      <c r="AA1565">
        <v>179400</v>
      </c>
      <c r="AB1565">
        <v>170</v>
      </c>
      <c r="AD1565" t="s">
        <v>238</v>
      </c>
      <c r="AE1565">
        <v>1</v>
      </c>
      <c r="AF1565">
        <v>0</v>
      </c>
      <c r="AI1565">
        <v>20</v>
      </c>
      <c r="AJ1565">
        <v>60</v>
      </c>
      <c r="AK1565">
        <v>80</v>
      </c>
      <c r="AL1565">
        <v>260</v>
      </c>
      <c r="AM1565">
        <v>0</v>
      </c>
      <c r="AN1565">
        <v>0</v>
      </c>
      <c r="AO1565">
        <v>0</v>
      </c>
      <c r="AP1565" t="s">
        <v>69</v>
      </c>
      <c r="AT1565" t="s">
        <v>240</v>
      </c>
      <c r="AU1565" t="s">
        <v>240</v>
      </c>
      <c r="AV1565" t="s">
        <v>654</v>
      </c>
      <c r="AW1565" t="s">
        <v>69</v>
      </c>
      <c r="AX1565" t="s">
        <v>655</v>
      </c>
      <c r="AY1565" t="s">
        <v>656</v>
      </c>
      <c r="AZ1565" t="s">
        <v>245</v>
      </c>
      <c r="BA1565" t="s">
        <v>244</v>
      </c>
      <c r="BB1565" t="s">
        <v>244</v>
      </c>
      <c r="BC1565" t="s">
        <v>264</v>
      </c>
      <c r="BD1565" t="s">
        <v>660</v>
      </c>
      <c r="BE1565" t="s">
        <v>4362</v>
      </c>
      <c r="BF1565" t="s">
        <v>658</v>
      </c>
      <c r="BG1565" t="s">
        <v>150</v>
      </c>
      <c r="BH1565" t="str">
        <f>IF(COUNTIF(工作表1!A:A, $C1565)&gt;0, "預購款", "非預購款")</f>
        <v>非預購款</v>
      </c>
    </row>
    <row r="1566" spans="1:60" x14ac:dyDescent="0.25">
      <c r="A1566" t="s">
        <v>647</v>
      </c>
      <c r="B1566" t="s">
        <v>283</v>
      </c>
      <c r="C1566" t="s">
        <v>648</v>
      </c>
      <c r="D1566" t="s">
        <v>649</v>
      </c>
      <c r="E1566" t="s">
        <v>650</v>
      </c>
      <c r="F1566" t="s">
        <v>222</v>
      </c>
      <c r="G1566" t="s">
        <v>651</v>
      </c>
      <c r="H1566" t="s">
        <v>132</v>
      </c>
      <c r="I1566" t="s">
        <v>97</v>
      </c>
      <c r="J1566" t="s">
        <v>98</v>
      </c>
      <c r="K1566" t="s">
        <v>69</v>
      </c>
      <c r="L1566" t="s">
        <v>652</v>
      </c>
      <c r="M1566" t="s">
        <v>71</v>
      </c>
      <c r="N1566" t="s">
        <v>100</v>
      </c>
      <c r="O1566" t="s">
        <v>524</v>
      </c>
      <c r="P1566" t="s">
        <v>525</v>
      </c>
      <c r="R1566" t="s">
        <v>526</v>
      </c>
      <c r="S1566" t="s">
        <v>223</v>
      </c>
      <c r="T1566" t="s">
        <v>258</v>
      </c>
      <c r="U1566" t="s">
        <v>104</v>
      </c>
      <c r="V1566" t="s">
        <v>653</v>
      </c>
      <c r="W1566">
        <v>690</v>
      </c>
      <c r="X1566">
        <v>29.99</v>
      </c>
      <c r="Y1566">
        <v>89</v>
      </c>
      <c r="Z1566">
        <v>499000</v>
      </c>
      <c r="AA1566">
        <v>179400</v>
      </c>
      <c r="AB1566">
        <v>170</v>
      </c>
      <c r="AD1566" t="s">
        <v>238</v>
      </c>
      <c r="AE1566">
        <v>1</v>
      </c>
      <c r="AF1566">
        <v>0</v>
      </c>
      <c r="AI1566">
        <v>20</v>
      </c>
      <c r="AJ1566">
        <v>40</v>
      </c>
      <c r="AK1566">
        <v>60</v>
      </c>
      <c r="AL1566">
        <v>260</v>
      </c>
      <c r="AM1566">
        <v>0</v>
      </c>
      <c r="AN1566">
        <v>0</v>
      </c>
      <c r="AO1566">
        <v>0</v>
      </c>
      <c r="AP1566" t="s">
        <v>69</v>
      </c>
      <c r="AT1566" t="s">
        <v>240</v>
      </c>
      <c r="AU1566" t="s">
        <v>240</v>
      </c>
      <c r="AV1566" t="s">
        <v>654</v>
      </c>
      <c r="AW1566" t="s">
        <v>69</v>
      </c>
      <c r="AX1566" t="s">
        <v>655</v>
      </c>
      <c r="AY1566" t="s">
        <v>656</v>
      </c>
      <c r="AZ1566" t="s">
        <v>245</v>
      </c>
      <c r="BA1566" t="s">
        <v>244</v>
      </c>
      <c r="BB1566" t="s">
        <v>244</v>
      </c>
      <c r="BC1566" t="s">
        <v>264</v>
      </c>
      <c r="BD1566" t="s">
        <v>661</v>
      </c>
      <c r="BE1566" t="s">
        <v>4362</v>
      </c>
      <c r="BF1566" t="s">
        <v>658</v>
      </c>
      <c r="BG1566" t="s">
        <v>150</v>
      </c>
      <c r="BH1566" t="str">
        <f>IF(COUNTIF(工作表1!A:A, $C1566)&gt;0, "預購款", "非預購款")</f>
        <v>非預購款</v>
      </c>
    </row>
    <row r="1567" spans="1:60" x14ac:dyDescent="0.25">
      <c r="A1567" t="s">
        <v>1236</v>
      </c>
      <c r="B1567" t="s">
        <v>283</v>
      </c>
      <c r="C1567" t="s">
        <v>1237</v>
      </c>
      <c r="D1567" t="s">
        <v>1238</v>
      </c>
      <c r="E1567" t="s">
        <v>1239</v>
      </c>
      <c r="F1567" t="s">
        <v>222</v>
      </c>
      <c r="G1567" t="s">
        <v>1240</v>
      </c>
      <c r="H1567" t="s">
        <v>119</v>
      </c>
      <c r="I1567" t="s">
        <v>97</v>
      </c>
      <c r="J1567" t="s">
        <v>98</v>
      </c>
      <c r="K1567" t="s">
        <v>69</v>
      </c>
      <c r="L1567" t="s">
        <v>1241</v>
      </c>
      <c r="M1567" t="s">
        <v>71</v>
      </c>
      <c r="N1567" t="s">
        <v>100</v>
      </c>
      <c r="O1567" t="s">
        <v>1136</v>
      </c>
      <c r="P1567" t="s">
        <v>1137</v>
      </c>
      <c r="R1567" t="s">
        <v>1138</v>
      </c>
      <c r="S1567" t="s">
        <v>223</v>
      </c>
      <c r="T1567" t="s">
        <v>76</v>
      </c>
      <c r="U1567" t="s">
        <v>104</v>
      </c>
      <c r="V1567" t="s">
        <v>653</v>
      </c>
      <c r="W1567">
        <v>490</v>
      </c>
      <c r="X1567">
        <v>22.99</v>
      </c>
      <c r="Y1567">
        <v>60</v>
      </c>
      <c r="Z1567">
        <v>355000</v>
      </c>
      <c r="AA1567">
        <v>171500</v>
      </c>
      <c r="AB1567">
        <v>178</v>
      </c>
      <c r="AD1567" t="s">
        <v>238</v>
      </c>
      <c r="AE1567">
        <v>1</v>
      </c>
      <c r="AF1567">
        <v>0</v>
      </c>
      <c r="AI1567">
        <v>0</v>
      </c>
      <c r="AJ1567">
        <v>230</v>
      </c>
      <c r="AK1567">
        <v>230</v>
      </c>
      <c r="AL1567">
        <v>350</v>
      </c>
      <c r="AM1567">
        <v>0</v>
      </c>
      <c r="AN1567">
        <v>0</v>
      </c>
      <c r="AO1567">
        <v>0</v>
      </c>
      <c r="AP1567" t="s">
        <v>69</v>
      </c>
      <c r="AR1567" t="s">
        <v>261</v>
      </c>
      <c r="AS1567" t="s">
        <v>261</v>
      </c>
      <c r="AT1567" t="s">
        <v>261</v>
      </c>
      <c r="AU1567" t="s">
        <v>261</v>
      </c>
      <c r="AV1567" t="s">
        <v>1033</v>
      </c>
      <c r="AW1567" t="s">
        <v>69</v>
      </c>
      <c r="AX1567" t="s">
        <v>218</v>
      </c>
      <c r="AY1567" t="s">
        <v>1242</v>
      </c>
      <c r="AZ1567" t="s">
        <v>243</v>
      </c>
      <c r="BA1567" t="s">
        <v>244</v>
      </c>
      <c r="BB1567" t="s">
        <v>244</v>
      </c>
      <c r="BC1567" t="s">
        <v>244</v>
      </c>
      <c r="BD1567" t="s">
        <v>1243</v>
      </c>
      <c r="BE1567" t="s">
        <v>4363</v>
      </c>
      <c r="BF1567" t="s">
        <v>786</v>
      </c>
      <c r="BG1567" t="s">
        <v>110</v>
      </c>
      <c r="BH1567" t="str">
        <f>IF(COUNTIF(工作表1!A:A, $C1567)&gt;0, "預購款", "非預購款")</f>
        <v>非預購款</v>
      </c>
    </row>
    <row r="1568" spans="1:60" x14ac:dyDescent="0.25">
      <c r="A1568" t="s">
        <v>1236</v>
      </c>
      <c r="B1568" t="s">
        <v>283</v>
      </c>
      <c r="C1568" t="s">
        <v>1237</v>
      </c>
      <c r="D1568" t="s">
        <v>1238</v>
      </c>
      <c r="E1568" t="s">
        <v>1239</v>
      </c>
      <c r="F1568" t="s">
        <v>222</v>
      </c>
      <c r="G1568" t="s">
        <v>1240</v>
      </c>
      <c r="H1568" t="s">
        <v>130</v>
      </c>
      <c r="I1568" t="s">
        <v>97</v>
      </c>
      <c r="J1568" t="s">
        <v>98</v>
      </c>
      <c r="K1568" t="s">
        <v>69</v>
      </c>
      <c r="L1568" t="s">
        <v>1241</v>
      </c>
      <c r="M1568" t="s">
        <v>71</v>
      </c>
      <c r="N1568" t="s">
        <v>100</v>
      </c>
      <c r="O1568" t="s">
        <v>1136</v>
      </c>
      <c r="P1568" t="s">
        <v>1137</v>
      </c>
      <c r="R1568" t="s">
        <v>1138</v>
      </c>
      <c r="S1568" t="s">
        <v>223</v>
      </c>
      <c r="T1568" t="s">
        <v>76</v>
      </c>
      <c r="U1568" t="s">
        <v>104</v>
      </c>
      <c r="V1568" t="s">
        <v>653</v>
      </c>
      <c r="W1568">
        <v>490</v>
      </c>
      <c r="X1568">
        <v>22.99</v>
      </c>
      <c r="Y1568">
        <v>60</v>
      </c>
      <c r="Z1568">
        <v>355000</v>
      </c>
      <c r="AA1568">
        <v>171500</v>
      </c>
      <c r="AB1568">
        <v>178</v>
      </c>
      <c r="AD1568" t="s">
        <v>238</v>
      </c>
      <c r="AE1568">
        <v>1</v>
      </c>
      <c r="AF1568">
        <v>0</v>
      </c>
      <c r="AI1568">
        <v>0</v>
      </c>
      <c r="AJ1568">
        <v>80</v>
      </c>
      <c r="AK1568">
        <v>80</v>
      </c>
      <c r="AL1568">
        <v>350</v>
      </c>
      <c r="AM1568">
        <v>0</v>
      </c>
      <c r="AN1568">
        <v>0</v>
      </c>
      <c r="AO1568">
        <v>0</v>
      </c>
      <c r="AP1568" t="s">
        <v>69</v>
      </c>
      <c r="AR1568" t="s">
        <v>261</v>
      </c>
      <c r="AS1568" t="s">
        <v>261</v>
      </c>
      <c r="AT1568" t="s">
        <v>261</v>
      </c>
      <c r="AU1568" t="s">
        <v>261</v>
      </c>
      <c r="AV1568" t="s">
        <v>1033</v>
      </c>
      <c r="AW1568" t="s">
        <v>69</v>
      </c>
      <c r="AX1568" t="s">
        <v>218</v>
      </c>
      <c r="AY1568" t="s">
        <v>1242</v>
      </c>
      <c r="AZ1568" t="s">
        <v>243</v>
      </c>
      <c r="BA1568" t="s">
        <v>244</v>
      </c>
      <c r="BB1568" t="s">
        <v>244</v>
      </c>
      <c r="BC1568" t="s">
        <v>244</v>
      </c>
      <c r="BD1568" t="s">
        <v>1245</v>
      </c>
      <c r="BE1568" t="s">
        <v>4363</v>
      </c>
      <c r="BF1568" t="s">
        <v>786</v>
      </c>
      <c r="BG1568" t="s">
        <v>110</v>
      </c>
      <c r="BH1568" t="str">
        <f>IF(COUNTIF(工作表1!A:A, $C1568)&gt;0, "預購款", "非預購款")</f>
        <v>非預購款</v>
      </c>
    </row>
    <row r="1569" spans="1:60" x14ac:dyDescent="0.25">
      <c r="A1569" t="s">
        <v>1236</v>
      </c>
      <c r="B1569" t="s">
        <v>283</v>
      </c>
      <c r="C1569" t="s">
        <v>1237</v>
      </c>
      <c r="D1569" t="s">
        <v>1238</v>
      </c>
      <c r="E1569" t="s">
        <v>1239</v>
      </c>
      <c r="F1569" t="s">
        <v>222</v>
      </c>
      <c r="G1569" t="s">
        <v>1240</v>
      </c>
      <c r="H1569" t="s">
        <v>132</v>
      </c>
      <c r="I1569" t="s">
        <v>97</v>
      </c>
      <c r="J1569" t="s">
        <v>98</v>
      </c>
      <c r="K1569" t="s">
        <v>69</v>
      </c>
      <c r="L1569" t="s">
        <v>1241</v>
      </c>
      <c r="M1569" t="s">
        <v>71</v>
      </c>
      <c r="N1569" t="s">
        <v>100</v>
      </c>
      <c r="O1569" t="s">
        <v>1136</v>
      </c>
      <c r="P1569" t="s">
        <v>1137</v>
      </c>
      <c r="R1569" t="s">
        <v>1138</v>
      </c>
      <c r="S1569" t="s">
        <v>223</v>
      </c>
      <c r="T1569" t="s">
        <v>76</v>
      </c>
      <c r="U1569" t="s">
        <v>104</v>
      </c>
      <c r="V1569" t="s">
        <v>653</v>
      </c>
      <c r="W1569">
        <v>490</v>
      </c>
      <c r="X1569">
        <v>22.99</v>
      </c>
      <c r="Y1569">
        <v>60</v>
      </c>
      <c r="Z1569">
        <v>355000</v>
      </c>
      <c r="AA1569">
        <v>171500</v>
      </c>
      <c r="AB1569">
        <v>178</v>
      </c>
      <c r="AD1569" t="s">
        <v>238</v>
      </c>
      <c r="AE1569">
        <v>1</v>
      </c>
      <c r="AF1569">
        <v>0</v>
      </c>
      <c r="AI1569">
        <v>0</v>
      </c>
      <c r="AJ1569">
        <v>40</v>
      </c>
      <c r="AK1569">
        <v>40</v>
      </c>
      <c r="AL1569">
        <v>350</v>
      </c>
      <c r="AM1569">
        <v>0</v>
      </c>
      <c r="AN1569">
        <v>0</v>
      </c>
      <c r="AO1569">
        <v>0</v>
      </c>
      <c r="AP1569" t="s">
        <v>69</v>
      </c>
      <c r="AR1569" t="s">
        <v>261</v>
      </c>
      <c r="AS1569" t="s">
        <v>261</v>
      </c>
      <c r="AT1569" t="s">
        <v>261</v>
      </c>
      <c r="AU1569" t="s">
        <v>261</v>
      </c>
      <c r="AV1569" t="s">
        <v>1033</v>
      </c>
      <c r="AW1569" t="s">
        <v>69</v>
      </c>
      <c r="AX1569" t="s">
        <v>218</v>
      </c>
      <c r="AY1569" t="s">
        <v>1242</v>
      </c>
      <c r="AZ1569" t="s">
        <v>243</v>
      </c>
      <c r="BA1569" t="s">
        <v>244</v>
      </c>
      <c r="BB1569" t="s">
        <v>244</v>
      </c>
      <c r="BC1569" t="s">
        <v>244</v>
      </c>
      <c r="BD1569" t="s">
        <v>1246</v>
      </c>
      <c r="BE1569" t="s">
        <v>4363</v>
      </c>
      <c r="BF1569" t="s">
        <v>786</v>
      </c>
      <c r="BG1569" t="s">
        <v>110</v>
      </c>
      <c r="BH1569" t="str">
        <f>IF(COUNTIF(工作表1!A:A, $C1569)&gt;0, "預購款", "非預購款")</f>
        <v>非預購款</v>
      </c>
    </row>
    <row r="1570" spans="1:60" x14ac:dyDescent="0.25">
      <c r="A1570" t="s">
        <v>4364</v>
      </c>
      <c r="B1570" t="s">
        <v>283</v>
      </c>
      <c r="C1570" t="s">
        <v>4365</v>
      </c>
      <c r="D1570" t="s">
        <v>4366</v>
      </c>
      <c r="E1570" t="s">
        <v>4367</v>
      </c>
      <c r="F1570" t="s">
        <v>222</v>
      </c>
      <c r="G1570" t="s">
        <v>4368</v>
      </c>
      <c r="H1570" t="s">
        <v>119</v>
      </c>
      <c r="I1570" t="s">
        <v>97</v>
      </c>
      <c r="J1570" t="s">
        <v>98</v>
      </c>
      <c r="K1570" t="s">
        <v>69</v>
      </c>
      <c r="L1570" t="s">
        <v>4369</v>
      </c>
      <c r="M1570" t="s">
        <v>71</v>
      </c>
      <c r="N1570" t="s">
        <v>198</v>
      </c>
      <c r="O1570" t="s">
        <v>199</v>
      </c>
      <c r="P1570" t="s">
        <v>200</v>
      </c>
      <c r="R1570" t="s">
        <v>4192</v>
      </c>
      <c r="S1570" t="s">
        <v>223</v>
      </c>
      <c r="T1570" t="s">
        <v>76</v>
      </c>
      <c r="U1570" t="s">
        <v>104</v>
      </c>
      <c r="V1570" t="s">
        <v>1220</v>
      </c>
      <c r="W1570">
        <v>790</v>
      </c>
      <c r="X1570">
        <v>34.99</v>
      </c>
      <c r="Y1570">
        <v>99</v>
      </c>
      <c r="Z1570">
        <v>569000</v>
      </c>
      <c r="AA1570">
        <v>576700</v>
      </c>
      <c r="AB1570">
        <v>220</v>
      </c>
      <c r="AD1570" t="s">
        <v>238</v>
      </c>
      <c r="AE1570">
        <v>1</v>
      </c>
      <c r="AF1570">
        <v>10</v>
      </c>
      <c r="AI1570">
        <v>25</v>
      </c>
      <c r="AJ1570">
        <v>380</v>
      </c>
      <c r="AK1570">
        <v>415</v>
      </c>
      <c r="AL1570">
        <v>730</v>
      </c>
      <c r="AM1570">
        <v>0</v>
      </c>
      <c r="AN1570">
        <v>0</v>
      </c>
      <c r="AO1570">
        <v>0</v>
      </c>
      <c r="AP1570" t="s">
        <v>69</v>
      </c>
      <c r="AR1570" t="s">
        <v>86</v>
      </c>
      <c r="AT1570" t="s">
        <v>86</v>
      </c>
      <c r="AU1570" t="s">
        <v>261</v>
      </c>
      <c r="AV1570" t="s">
        <v>3566</v>
      </c>
      <c r="AW1570" t="s">
        <v>69</v>
      </c>
      <c r="AX1570" t="s">
        <v>218</v>
      </c>
      <c r="AY1570" t="s">
        <v>4370</v>
      </c>
      <c r="AZ1570" t="s">
        <v>264</v>
      </c>
      <c r="BA1570" t="s">
        <v>244</v>
      </c>
      <c r="BB1570" t="s">
        <v>244</v>
      </c>
      <c r="BC1570" t="s">
        <v>244</v>
      </c>
      <c r="BD1570" t="s">
        <v>4371</v>
      </c>
      <c r="BE1570" t="s">
        <v>4372</v>
      </c>
      <c r="BF1570" t="s">
        <v>86</v>
      </c>
      <c r="BG1570" t="s">
        <v>110</v>
      </c>
      <c r="BH1570" t="str">
        <f>IF(COUNTIF(工作表1!A:A, $C1570)&gt;0, "預購款", "非預購款")</f>
        <v>非預購款</v>
      </c>
    </row>
    <row r="1571" spans="1:60" x14ac:dyDescent="0.25">
      <c r="A1571" t="s">
        <v>4364</v>
      </c>
      <c r="B1571" t="s">
        <v>283</v>
      </c>
      <c r="C1571" t="s">
        <v>4365</v>
      </c>
      <c r="D1571" t="s">
        <v>4366</v>
      </c>
      <c r="E1571" t="s">
        <v>4367</v>
      </c>
      <c r="F1571" t="s">
        <v>222</v>
      </c>
      <c r="G1571" t="s">
        <v>4368</v>
      </c>
      <c r="H1571" t="s">
        <v>130</v>
      </c>
      <c r="I1571" t="s">
        <v>97</v>
      </c>
      <c r="J1571" t="s">
        <v>98</v>
      </c>
      <c r="K1571" t="s">
        <v>69</v>
      </c>
      <c r="L1571" t="s">
        <v>4369</v>
      </c>
      <c r="M1571" t="s">
        <v>71</v>
      </c>
      <c r="N1571" t="s">
        <v>198</v>
      </c>
      <c r="O1571" t="s">
        <v>199</v>
      </c>
      <c r="P1571" t="s">
        <v>200</v>
      </c>
      <c r="R1571" t="s">
        <v>4192</v>
      </c>
      <c r="S1571" t="s">
        <v>223</v>
      </c>
      <c r="T1571" t="s">
        <v>76</v>
      </c>
      <c r="U1571" t="s">
        <v>104</v>
      </c>
      <c r="V1571" t="s">
        <v>1220</v>
      </c>
      <c r="W1571">
        <v>790</v>
      </c>
      <c r="X1571">
        <v>34.99</v>
      </c>
      <c r="Y1571">
        <v>99</v>
      </c>
      <c r="Z1571">
        <v>569000</v>
      </c>
      <c r="AA1571">
        <v>576700</v>
      </c>
      <c r="AB1571">
        <v>220</v>
      </c>
      <c r="AD1571" t="s">
        <v>238</v>
      </c>
      <c r="AE1571">
        <v>1</v>
      </c>
      <c r="AF1571">
        <v>5</v>
      </c>
      <c r="AI1571">
        <v>10</v>
      </c>
      <c r="AJ1571">
        <v>190</v>
      </c>
      <c r="AK1571">
        <v>205</v>
      </c>
      <c r="AL1571">
        <v>730</v>
      </c>
      <c r="AM1571">
        <v>0</v>
      </c>
      <c r="AN1571">
        <v>0</v>
      </c>
      <c r="AO1571">
        <v>0</v>
      </c>
      <c r="AP1571" t="s">
        <v>69</v>
      </c>
      <c r="AR1571" t="s">
        <v>86</v>
      </c>
      <c r="AT1571" t="s">
        <v>86</v>
      </c>
      <c r="AU1571" t="s">
        <v>261</v>
      </c>
      <c r="AV1571" t="s">
        <v>3566</v>
      </c>
      <c r="AW1571" t="s">
        <v>69</v>
      </c>
      <c r="AX1571" t="s">
        <v>218</v>
      </c>
      <c r="AY1571" t="s">
        <v>4370</v>
      </c>
      <c r="AZ1571" t="s">
        <v>264</v>
      </c>
      <c r="BA1571" t="s">
        <v>244</v>
      </c>
      <c r="BB1571" t="s">
        <v>244</v>
      </c>
      <c r="BC1571" t="s">
        <v>244</v>
      </c>
      <c r="BD1571" t="s">
        <v>4373</v>
      </c>
      <c r="BE1571" t="s">
        <v>4372</v>
      </c>
      <c r="BF1571" t="s">
        <v>86</v>
      </c>
      <c r="BG1571" t="s">
        <v>110</v>
      </c>
      <c r="BH1571" t="str">
        <f>IF(COUNTIF(工作表1!A:A, $C1571)&gt;0, "預購款", "非預購款")</f>
        <v>非預購款</v>
      </c>
    </row>
    <row r="1572" spans="1:60" x14ac:dyDescent="0.25">
      <c r="A1572" t="s">
        <v>4364</v>
      </c>
      <c r="B1572" t="s">
        <v>283</v>
      </c>
      <c r="C1572" t="s">
        <v>4365</v>
      </c>
      <c r="D1572" t="s">
        <v>4366</v>
      </c>
      <c r="E1572" t="s">
        <v>4367</v>
      </c>
      <c r="F1572" t="s">
        <v>222</v>
      </c>
      <c r="G1572" t="s">
        <v>4368</v>
      </c>
      <c r="H1572" t="s">
        <v>132</v>
      </c>
      <c r="I1572" t="s">
        <v>97</v>
      </c>
      <c r="J1572" t="s">
        <v>98</v>
      </c>
      <c r="K1572" t="s">
        <v>69</v>
      </c>
      <c r="L1572" t="s">
        <v>4369</v>
      </c>
      <c r="M1572" t="s">
        <v>71</v>
      </c>
      <c r="N1572" t="s">
        <v>198</v>
      </c>
      <c r="O1572" t="s">
        <v>199</v>
      </c>
      <c r="P1572" t="s">
        <v>200</v>
      </c>
      <c r="R1572" t="s">
        <v>4192</v>
      </c>
      <c r="S1572" t="s">
        <v>223</v>
      </c>
      <c r="T1572" t="s">
        <v>76</v>
      </c>
      <c r="U1572" t="s">
        <v>104</v>
      </c>
      <c r="V1572" t="s">
        <v>1220</v>
      </c>
      <c r="W1572">
        <v>790</v>
      </c>
      <c r="X1572">
        <v>34.99</v>
      </c>
      <c r="Y1572">
        <v>99</v>
      </c>
      <c r="Z1572">
        <v>569000</v>
      </c>
      <c r="AA1572">
        <v>576700</v>
      </c>
      <c r="AB1572">
        <v>220</v>
      </c>
      <c r="AD1572" t="s">
        <v>238</v>
      </c>
      <c r="AE1572">
        <v>1</v>
      </c>
      <c r="AF1572">
        <v>0</v>
      </c>
      <c r="AI1572">
        <v>10</v>
      </c>
      <c r="AJ1572">
        <v>100</v>
      </c>
      <c r="AK1572">
        <v>110</v>
      </c>
      <c r="AL1572">
        <v>730</v>
      </c>
      <c r="AM1572">
        <v>0</v>
      </c>
      <c r="AN1572">
        <v>0</v>
      </c>
      <c r="AO1572">
        <v>0</v>
      </c>
      <c r="AP1572" t="s">
        <v>69</v>
      </c>
      <c r="AR1572" t="s">
        <v>86</v>
      </c>
      <c r="AT1572" t="s">
        <v>86</v>
      </c>
      <c r="AU1572" t="s">
        <v>261</v>
      </c>
      <c r="AV1572" t="s">
        <v>3566</v>
      </c>
      <c r="AW1572" t="s">
        <v>69</v>
      </c>
      <c r="AX1572" t="s">
        <v>218</v>
      </c>
      <c r="AY1572" t="s">
        <v>4370</v>
      </c>
      <c r="AZ1572" t="s">
        <v>264</v>
      </c>
      <c r="BA1572" t="s">
        <v>244</v>
      </c>
      <c r="BB1572" t="s">
        <v>244</v>
      </c>
      <c r="BC1572" t="s">
        <v>244</v>
      </c>
      <c r="BD1572" t="s">
        <v>4374</v>
      </c>
      <c r="BE1572" t="s">
        <v>4372</v>
      </c>
      <c r="BF1572" t="s">
        <v>86</v>
      </c>
      <c r="BG1572" t="s">
        <v>110</v>
      </c>
      <c r="BH1572" t="str">
        <f>IF(COUNTIF(工作表1!A:A, $C1572)&gt;0, "預購款", "非預購款")</f>
        <v>非預購款</v>
      </c>
    </row>
    <row r="1573" spans="1:60" x14ac:dyDescent="0.25">
      <c r="A1573" t="s">
        <v>2031</v>
      </c>
      <c r="B1573" t="s">
        <v>301</v>
      </c>
      <c r="C1573" t="s">
        <v>2032</v>
      </c>
      <c r="D1573" t="s">
        <v>2033</v>
      </c>
      <c r="E1573" t="s">
        <v>2034</v>
      </c>
      <c r="F1573" t="s">
        <v>222</v>
      </c>
      <c r="G1573" t="s">
        <v>2035</v>
      </c>
      <c r="H1573" t="s">
        <v>66</v>
      </c>
      <c r="I1573" t="s">
        <v>97</v>
      </c>
      <c r="J1573" t="s">
        <v>98</v>
      </c>
      <c r="K1573" t="s">
        <v>80</v>
      </c>
      <c r="L1573" t="s">
        <v>2036</v>
      </c>
      <c r="M1573" t="s">
        <v>71</v>
      </c>
      <c r="N1573" t="s">
        <v>100</v>
      </c>
      <c r="O1573" t="s">
        <v>1391</v>
      </c>
      <c r="P1573" t="s">
        <v>1392</v>
      </c>
      <c r="R1573" t="s">
        <v>1393</v>
      </c>
      <c r="S1573" t="s">
        <v>223</v>
      </c>
      <c r="T1573" t="s">
        <v>291</v>
      </c>
      <c r="U1573" t="s">
        <v>150</v>
      </c>
      <c r="V1573" t="s">
        <v>307</v>
      </c>
      <c r="W1573">
        <v>790</v>
      </c>
      <c r="X1573">
        <v>34.99</v>
      </c>
      <c r="Y1573">
        <v>99</v>
      </c>
      <c r="Z1573">
        <v>569000</v>
      </c>
      <c r="AA1573">
        <v>79000</v>
      </c>
      <c r="AB1573">
        <v>260</v>
      </c>
      <c r="AD1573" t="s">
        <v>238</v>
      </c>
      <c r="AE1573">
        <v>1</v>
      </c>
      <c r="AF1573">
        <v>0</v>
      </c>
      <c r="AI1573">
        <v>0</v>
      </c>
      <c r="AJ1573">
        <v>100</v>
      </c>
      <c r="AK1573">
        <v>100</v>
      </c>
      <c r="AL1573">
        <v>100</v>
      </c>
      <c r="AM1573">
        <v>0</v>
      </c>
      <c r="AN1573">
        <v>0</v>
      </c>
      <c r="AO1573">
        <v>0</v>
      </c>
      <c r="AP1573" t="s">
        <v>69</v>
      </c>
      <c r="AT1573" t="s">
        <v>86</v>
      </c>
      <c r="AU1573" t="s">
        <v>86</v>
      </c>
      <c r="AV1573" t="s">
        <v>876</v>
      </c>
      <c r="AW1573" t="s">
        <v>69</v>
      </c>
      <c r="AX1573" t="s">
        <v>126</v>
      </c>
      <c r="AY1573" t="s">
        <v>2037</v>
      </c>
      <c r="AZ1573" t="s">
        <v>310</v>
      </c>
      <c r="BA1573" t="s">
        <v>310</v>
      </c>
      <c r="BB1573" t="s">
        <v>244</v>
      </c>
      <c r="BC1573" t="s">
        <v>264</v>
      </c>
      <c r="BD1573" t="s">
        <v>2038</v>
      </c>
      <c r="BE1573" t="s">
        <v>4375</v>
      </c>
      <c r="BF1573" t="s">
        <v>291</v>
      </c>
      <c r="BG1573" t="s">
        <v>87</v>
      </c>
      <c r="BH1573" t="str">
        <f>IF(COUNTIF(工作表1!A:A, $C1573)&gt;0, "預購款", "非預購款")</f>
        <v>非預購款</v>
      </c>
    </row>
    <row r="1574" spans="1:60" x14ac:dyDescent="0.25">
      <c r="A1574" t="s">
        <v>4120</v>
      </c>
      <c r="B1574" t="s">
        <v>301</v>
      </c>
      <c r="C1574" t="s">
        <v>4121</v>
      </c>
      <c r="D1574" t="s">
        <v>4122</v>
      </c>
      <c r="E1574" t="s">
        <v>4123</v>
      </c>
      <c r="F1574" t="s">
        <v>222</v>
      </c>
      <c r="G1574" t="s">
        <v>4124</v>
      </c>
      <c r="H1574" t="s">
        <v>119</v>
      </c>
      <c r="I1574" t="s">
        <v>97</v>
      </c>
      <c r="J1574" t="s">
        <v>98</v>
      </c>
      <c r="K1574" t="s">
        <v>69</v>
      </c>
      <c r="L1574" t="s">
        <v>4125</v>
      </c>
      <c r="M1574" t="s">
        <v>71</v>
      </c>
      <c r="N1574" t="s">
        <v>198</v>
      </c>
      <c r="O1574" t="s">
        <v>3966</v>
      </c>
      <c r="P1574" t="s">
        <v>3967</v>
      </c>
      <c r="R1574" t="s">
        <v>1798</v>
      </c>
      <c r="S1574" t="s">
        <v>223</v>
      </c>
      <c r="T1574" t="s">
        <v>76</v>
      </c>
      <c r="U1574" t="s">
        <v>150</v>
      </c>
      <c r="V1574" t="s">
        <v>3530</v>
      </c>
      <c r="W1574">
        <v>790</v>
      </c>
      <c r="X1574">
        <v>34.99</v>
      </c>
      <c r="Y1574">
        <v>99</v>
      </c>
      <c r="Z1574">
        <v>569000</v>
      </c>
      <c r="AA1574">
        <v>181700</v>
      </c>
      <c r="AB1574">
        <v>213</v>
      </c>
      <c r="AD1574" t="s">
        <v>238</v>
      </c>
      <c r="AE1574">
        <v>1</v>
      </c>
      <c r="AF1574">
        <v>0</v>
      </c>
      <c r="AI1574">
        <v>40</v>
      </c>
      <c r="AJ1574">
        <v>120</v>
      </c>
      <c r="AK1574">
        <v>160</v>
      </c>
      <c r="AL1574">
        <v>230</v>
      </c>
      <c r="AM1574">
        <v>0</v>
      </c>
      <c r="AN1574">
        <v>0</v>
      </c>
      <c r="AO1574">
        <v>0</v>
      </c>
      <c r="AP1574" t="s">
        <v>69</v>
      </c>
      <c r="AR1574" t="s">
        <v>86</v>
      </c>
      <c r="AS1574" t="s">
        <v>86</v>
      </c>
      <c r="AT1574" t="s">
        <v>86</v>
      </c>
      <c r="AU1574" t="s">
        <v>86</v>
      </c>
      <c r="AV1574" t="s">
        <v>4126</v>
      </c>
      <c r="AW1574" t="s">
        <v>69</v>
      </c>
      <c r="AX1574" t="s">
        <v>218</v>
      </c>
      <c r="AY1574" t="s">
        <v>4127</v>
      </c>
      <c r="AZ1574" t="s">
        <v>245</v>
      </c>
      <c r="BA1574" t="s">
        <v>244</v>
      </c>
      <c r="BB1574" t="s">
        <v>244</v>
      </c>
      <c r="BC1574" t="s">
        <v>245</v>
      </c>
      <c r="BD1574" t="s">
        <v>4376</v>
      </c>
      <c r="BE1574" t="s">
        <v>4377</v>
      </c>
      <c r="BF1574" t="s">
        <v>786</v>
      </c>
      <c r="BG1574" t="s">
        <v>87</v>
      </c>
      <c r="BH1574" t="str">
        <f>IF(COUNTIF(工作表1!A:A, $C1574)&gt;0, "預購款", "非預購款")</f>
        <v>非預購款</v>
      </c>
    </row>
    <row r="1575" spans="1:60" x14ac:dyDescent="0.25">
      <c r="A1575" t="s">
        <v>4120</v>
      </c>
      <c r="B1575" t="s">
        <v>301</v>
      </c>
      <c r="C1575" t="s">
        <v>4121</v>
      </c>
      <c r="D1575" t="s">
        <v>4122</v>
      </c>
      <c r="E1575" t="s">
        <v>4123</v>
      </c>
      <c r="F1575" t="s">
        <v>222</v>
      </c>
      <c r="G1575" t="s">
        <v>4124</v>
      </c>
      <c r="H1575" t="s">
        <v>130</v>
      </c>
      <c r="I1575" t="s">
        <v>97</v>
      </c>
      <c r="J1575" t="s">
        <v>98</v>
      </c>
      <c r="K1575" t="s">
        <v>69</v>
      </c>
      <c r="L1575" t="s">
        <v>4125</v>
      </c>
      <c r="M1575" t="s">
        <v>71</v>
      </c>
      <c r="N1575" t="s">
        <v>198</v>
      </c>
      <c r="O1575" t="s">
        <v>3966</v>
      </c>
      <c r="P1575" t="s">
        <v>3967</v>
      </c>
      <c r="R1575" t="s">
        <v>1798</v>
      </c>
      <c r="S1575" t="s">
        <v>223</v>
      </c>
      <c r="T1575" t="s">
        <v>76</v>
      </c>
      <c r="U1575" t="s">
        <v>150</v>
      </c>
      <c r="V1575" t="s">
        <v>3530</v>
      </c>
      <c r="W1575">
        <v>790</v>
      </c>
      <c r="X1575">
        <v>34.99</v>
      </c>
      <c r="Y1575">
        <v>99</v>
      </c>
      <c r="Z1575">
        <v>569000</v>
      </c>
      <c r="AA1575">
        <v>181700</v>
      </c>
      <c r="AB1575">
        <v>213</v>
      </c>
      <c r="AD1575" t="s">
        <v>238</v>
      </c>
      <c r="AE1575">
        <v>1</v>
      </c>
      <c r="AF1575">
        <v>0</v>
      </c>
      <c r="AI1575">
        <v>10</v>
      </c>
      <c r="AJ1575">
        <v>60</v>
      </c>
      <c r="AK1575">
        <v>70</v>
      </c>
      <c r="AL1575">
        <v>230</v>
      </c>
      <c r="AM1575">
        <v>0</v>
      </c>
      <c r="AN1575">
        <v>0</v>
      </c>
      <c r="AO1575">
        <v>0</v>
      </c>
      <c r="AP1575" t="s">
        <v>69</v>
      </c>
      <c r="AR1575" t="s">
        <v>86</v>
      </c>
      <c r="AS1575" t="s">
        <v>86</v>
      </c>
      <c r="AT1575" t="s">
        <v>86</v>
      </c>
      <c r="AU1575" t="s">
        <v>86</v>
      </c>
      <c r="AV1575" t="s">
        <v>4126</v>
      </c>
      <c r="AW1575" t="s">
        <v>69</v>
      </c>
      <c r="AX1575" t="s">
        <v>218</v>
      </c>
      <c r="AY1575" t="s">
        <v>4127</v>
      </c>
      <c r="AZ1575" t="s">
        <v>245</v>
      </c>
      <c r="BA1575" t="s">
        <v>244</v>
      </c>
      <c r="BB1575" t="s">
        <v>244</v>
      </c>
      <c r="BC1575" t="s">
        <v>245</v>
      </c>
      <c r="BD1575" t="s">
        <v>4378</v>
      </c>
      <c r="BE1575" t="s">
        <v>4377</v>
      </c>
      <c r="BF1575" t="s">
        <v>786</v>
      </c>
      <c r="BG1575" t="s">
        <v>87</v>
      </c>
      <c r="BH1575" t="str">
        <f>IF(COUNTIF(工作表1!A:A, $C1575)&gt;0, "預購款", "非預購款")</f>
        <v>非預購款</v>
      </c>
    </row>
    <row r="1576" spans="1:60" x14ac:dyDescent="0.25">
      <c r="A1576" t="s">
        <v>4379</v>
      </c>
      <c r="B1576" t="s">
        <v>4380</v>
      </c>
      <c r="C1576" t="s">
        <v>4381</v>
      </c>
      <c r="D1576" t="s">
        <v>4382</v>
      </c>
      <c r="E1576" t="s">
        <v>4383</v>
      </c>
      <c r="F1576" t="s">
        <v>222</v>
      </c>
      <c r="G1576" t="s">
        <v>4228</v>
      </c>
      <c r="H1576" t="s">
        <v>566</v>
      </c>
      <c r="I1576" t="s">
        <v>97</v>
      </c>
      <c r="J1576" t="s">
        <v>98</v>
      </c>
      <c r="K1576" t="s">
        <v>69</v>
      </c>
      <c r="M1576" t="s">
        <v>71</v>
      </c>
      <c r="N1576" t="s">
        <v>198</v>
      </c>
      <c r="O1576" t="s">
        <v>1307</v>
      </c>
      <c r="P1576" t="s">
        <v>1308</v>
      </c>
      <c r="S1576" t="s">
        <v>190</v>
      </c>
      <c r="T1576" t="s">
        <v>4229</v>
      </c>
      <c r="U1576" t="s">
        <v>527</v>
      </c>
      <c r="V1576" t="s">
        <v>4384</v>
      </c>
      <c r="W1576">
        <v>300</v>
      </c>
      <c r="X1576">
        <v>12.99</v>
      </c>
      <c r="Y1576">
        <v>39</v>
      </c>
      <c r="Z1576">
        <v>239000</v>
      </c>
      <c r="AA1576">
        <v>45000</v>
      </c>
      <c r="AB1576">
        <v>0</v>
      </c>
      <c r="AD1576" t="s">
        <v>238</v>
      </c>
      <c r="AE1576">
        <v>3</v>
      </c>
      <c r="AF1576">
        <v>0</v>
      </c>
      <c r="AI1576">
        <v>0</v>
      </c>
      <c r="AJ1576">
        <v>30</v>
      </c>
      <c r="AK1576">
        <v>30</v>
      </c>
      <c r="AL1576">
        <v>150</v>
      </c>
      <c r="AM1576">
        <v>0</v>
      </c>
      <c r="AN1576">
        <v>0</v>
      </c>
      <c r="AO1576">
        <v>0</v>
      </c>
      <c r="AP1576" t="s">
        <v>69</v>
      </c>
      <c r="AT1576" t="s">
        <v>261</v>
      </c>
      <c r="AV1576" t="s">
        <v>4385</v>
      </c>
      <c r="AW1576" t="s">
        <v>69</v>
      </c>
      <c r="AY1576" t="s">
        <v>4260</v>
      </c>
      <c r="BD1576" t="s">
        <v>4386</v>
      </c>
      <c r="BE1576" t="s">
        <v>4387</v>
      </c>
      <c r="BH1576" t="str">
        <f>IF(COUNTIF(工作表1!A:A, $C1576)&gt;0, "預購款", "非預購款")</f>
        <v>非預購款</v>
      </c>
    </row>
    <row r="1577" spans="1:60" x14ac:dyDescent="0.25">
      <c r="A1577" t="s">
        <v>4379</v>
      </c>
      <c r="B1577" t="s">
        <v>4380</v>
      </c>
      <c r="C1577" t="s">
        <v>4381</v>
      </c>
      <c r="D1577" t="s">
        <v>4382</v>
      </c>
      <c r="E1577" t="s">
        <v>4383</v>
      </c>
      <c r="F1577" t="s">
        <v>222</v>
      </c>
      <c r="G1577" t="s">
        <v>4228</v>
      </c>
      <c r="H1577" t="s">
        <v>566</v>
      </c>
      <c r="I1577" t="s">
        <v>422</v>
      </c>
      <c r="J1577" t="s">
        <v>423</v>
      </c>
      <c r="K1577" t="s">
        <v>69</v>
      </c>
      <c r="M1577" t="s">
        <v>71</v>
      </c>
      <c r="N1577" t="s">
        <v>198</v>
      </c>
      <c r="O1577" t="s">
        <v>1307</v>
      </c>
      <c r="P1577" t="s">
        <v>1308</v>
      </c>
      <c r="S1577" t="s">
        <v>190</v>
      </c>
      <c r="T1577" t="s">
        <v>4229</v>
      </c>
      <c r="U1577" t="s">
        <v>527</v>
      </c>
      <c r="V1577" t="s">
        <v>4384</v>
      </c>
      <c r="W1577">
        <v>300</v>
      </c>
      <c r="X1577">
        <v>12.99</v>
      </c>
      <c r="Y1577">
        <v>39</v>
      </c>
      <c r="Z1577">
        <v>239000</v>
      </c>
      <c r="AA1577">
        <v>45000</v>
      </c>
      <c r="AB1577">
        <v>0</v>
      </c>
      <c r="AD1577" t="s">
        <v>238</v>
      </c>
      <c r="AE1577">
        <v>3</v>
      </c>
      <c r="AF1577">
        <v>0</v>
      </c>
      <c r="AI1577">
        <v>0</v>
      </c>
      <c r="AJ1577">
        <v>60</v>
      </c>
      <c r="AK1577">
        <v>60</v>
      </c>
      <c r="AL1577">
        <v>150</v>
      </c>
      <c r="AM1577">
        <v>0</v>
      </c>
      <c r="AN1577">
        <v>0</v>
      </c>
      <c r="AO1577">
        <v>0</v>
      </c>
      <c r="AP1577" t="s">
        <v>69</v>
      </c>
      <c r="AT1577" t="s">
        <v>261</v>
      </c>
      <c r="AV1577" t="s">
        <v>4385</v>
      </c>
      <c r="AW1577" t="s">
        <v>69</v>
      </c>
      <c r="AY1577" t="s">
        <v>4260</v>
      </c>
      <c r="BD1577" t="s">
        <v>4388</v>
      </c>
      <c r="BE1577" t="s">
        <v>4387</v>
      </c>
      <c r="BH1577" t="str">
        <f>IF(COUNTIF(工作表1!A:A, $C1577)&gt;0, "預購款", "非預購款")</f>
        <v>非預購款</v>
      </c>
    </row>
    <row r="1578" spans="1:60" x14ac:dyDescent="0.25">
      <c r="A1578" t="s">
        <v>4379</v>
      </c>
      <c r="B1578" t="s">
        <v>4380</v>
      </c>
      <c r="C1578" t="s">
        <v>4381</v>
      </c>
      <c r="D1578" t="s">
        <v>4382</v>
      </c>
      <c r="E1578" t="s">
        <v>4383</v>
      </c>
      <c r="F1578" t="s">
        <v>222</v>
      </c>
      <c r="G1578" t="s">
        <v>4228</v>
      </c>
      <c r="H1578" t="s">
        <v>566</v>
      </c>
      <c r="I1578" t="s">
        <v>1348</v>
      </c>
      <c r="J1578" t="s">
        <v>1349</v>
      </c>
      <c r="K1578" t="s">
        <v>69</v>
      </c>
      <c r="M1578" t="s">
        <v>71</v>
      </c>
      <c r="N1578" t="s">
        <v>198</v>
      </c>
      <c r="O1578" t="s">
        <v>1307</v>
      </c>
      <c r="P1578" t="s">
        <v>1308</v>
      </c>
      <c r="S1578" t="s">
        <v>190</v>
      </c>
      <c r="T1578" t="s">
        <v>4229</v>
      </c>
      <c r="U1578" t="s">
        <v>527</v>
      </c>
      <c r="V1578" t="s">
        <v>4384</v>
      </c>
      <c r="W1578">
        <v>300</v>
      </c>
      <c r="X1578">
        <v>12.99</v>
      </c>
      <c r="Y1578">
        <v>39</v>
      </c>
      <c r="Z1578">
        <v>239000</v>
      </c>
      <c r="AA1578">
        <v>45000</v>
      </c>
      <c r="AB1578">
        <v>0</v>
      </c>
      <c r="AD1578" t="s">
        <v>238</v>
      </c>
      <c r="AE1578">
        <v>3</v>
      </c>
      <c r="AF1578">
        <v>0</v>
      </c>
      <c r="AI1578">
        <v>0</v>
      </c>
      <c r="AJ1578">
        <v>60</v>
      </c>
      <c r="AK1578">
        <v>60</v>
      </c>
      <c r="AL1578">
        <v>150</v>
      </c>
      <c r="AM1578">
        <v>0</v>
      </c>
      <c r="AN1578">
        <v>0</v>
      </c>
      <c r="AO1578">
        <v>0</v>
      </c>
      <c r="AP1578" t="s">
        <v>69</v>
      </c>
      <c r="AT1578" t="s">
        <v>261</v>
      </c>
      <c r="AV1578" t="s">
        <v>4385</v>
      </c>
      <c r="AW1578" t="s">
        <v>69</v>
      </c>
      <c r="AY1578" t="s">
        <v>4260</v>
      </c>
      <c r="BD1578" t="s">
        <v>4389</v>
      </c>
      <c r="BE1578" t="s">
        <v>4387</v>
      </c>
      <c r="BH1578" t="str">
        <f>IF(COUNTIF(工作表1!A:A, $C1578)&gt;0, "預購款", "非預購款")</f>
        <v>非預購款</v>
      </c>
    </row>
    <row r="1579" spans="1:60" x14ac:dyDescent="0.25">
      <c r="A1579" t="s">
        <v>4390</v>
      </c>
      <c r="B1579" t="s">
        <v>315</v>
      </c>
      <c r="C1579" t="s">
        <v>4391</v>
      </c>
      <c r="D1579" t="s">
        <v>4392</v>
      </c>
      <c r="E1579" t="s">
        <v>4393</v>
      </c>
      <c r="F1579" t="s">
        <v>222</v>
      </c>
      <c r="G1579" t="s">
        <v>4394</v>
      </c>
      <c r="H1579" t="s">
        <v>119</v>
      </c>
      <c r="I1579" t="s">
        <v>97</v>
      </c>
      <c r="J1579" t="s">
        <v>98</v>
      </c>
      <c r="K1579" t="s">
        <v>69</v>
      </c>
      <c r="L1579" t="s">
        <v>4395</v>
      </c>
      <c r="M1579" t="s">
        <v>71</v>
      </c>
      <c r="N1579" t="s">
        <v>198</v>
      </c>
      <c r="O1579" t="s">
        <v>199</v>
      </c>
      <c r="P1579" t="s">
        <v>200</v>
      </c>
      <c r="R1579" t="s">
        <v>4192</v>
      </c>
      <c r="S1579" t="s">
        <v>223</v>
      </c>
      <c r="T1579" t="s">
        <v>291</v>
      </c>
      <c r="U1579" t="s">
        <v>104</v>
      </c>
      <c r="V1579" t="s">
        <v>3862</v>
      </c>
      <c r="W1579">
        <v>690</v>
      </c>
      <c r="X1579">
        <v>29.99</v>
      </c>
      <c r="Y1579">
        <v>89</v>
      </c>
      <c r="Z1579">
        <v>499000</v>
      </c>
      <c r="AA1579">
        <v>200100</v>
      </c>
      <c r="AB1579">
        <v>174</v>
      </c>
      <c r="AD1579" t="s">
        <v>238</v>
      </c>
      <c r="AE1579">
        <v>1</v>
      </c>
      <c r="AF1579">
        <v>0</v>
      </c>
      <c r="AI1579">
        <v>20</v>
      </c>
      <c r="AJ1579">
        <v>110</v>
      </c>
      <c r="AK1579">
        <v>130</v>
      </c>
      <c r="AL1579">
        <v>290</v>
      </c>
      <c r="AM1579">
        <v>0</v>
      </c>
      <c r="AN1579">
        <v>0</v>
      </c>
      <c r="AO1579">
        <v>0</v>
      </c>
      <c r="AP1579" t="s">
        <v>69</v>
      </c>
      <c r="AT1579" t="s">
        <v>86</v>
      </c>
      <c r="AU1579" t="s">
        <v>86</v>
      </c>
      <c r="AV1579" t="s">
        <v>4204</v>
      </c>
      <c r="AW1579" t="s">
        <v>69</v>
      </c>
      <c r="AX1579" t="s">
        <v>218</v>
      </c>
      <c r="AY1579" t="s">
        <v>4396</v>
      </c>
      <c r="AZ1579" t="s">
        <v>245</v>
      </c>
      <c r="BA1579" t="s">
        <v>245</v>
      </c>
      <c r="BB1579" t="s">
        <v>244</v>
      </c>
      <c r="BC1579" t="s">
        <v>244</v>
      </c>
      <c r="BD1579" t="s">
        <v>4397</v>
      </c>
      <c r="BE1579" t="s">
        <v>4398</v>
      </c>
      <c r="BF1579" t="s">
        <v>971</v>
      </c>
      <c r="BG1579" t="s">
        <v>150</v>
      </c>
      <c r="BH1579" t="str">
        <f>IF(COUNTIF(工作表1!A:A, $C1579)&gt;0, "預購款", "非預購款")</f>
        <v>非預購款</v>
      </c>
    </row>
    <row r="1580" spans="1:60" x14ac:dyDescent="0.25">
      <c r="A1580" t="s">
        <v>4390</v>
      </c>
      <c r="B1580" t="s">
        <v>315</v>
      </c>
      <c r="C1580" t="s">
        <v>4391</v>
      </c>
      <c r="D1580" t="s">
        <v>4392</v>
      </c>
      <c r="E1580" t="s">
        <v>4393</v>
      </c>
      <c r="F1580" t="s">
        <v>222</v>
      </c>
      <c r="G1580" t="s">
        <v>4394</v>
      </c>
      <c r="H1580" t="s">
        <v>130</v>
      </c>
      <c r="I1580" t="s">
        <v>97</v>
      </c>
      <c r="J1580" t="s">
        <v>98</v>
      </c>
      <c r="K1580" t="s">
        <v>69</v>
      </c>
      <c r="L1580" t="s">
        <v>4395</v>
      </c>
      <c r="M1580" t="s">
        <v>71</v>
      </c>
      <c r="N1580" t="s">
        <v>198</v>
      </c>
      <c r="O1580" t="s">
        <v>199</v>
      </c>
      <c r="P1580" t="s">
        <v>200</v>
      </c>
      <c r="R1580" t="s">
        <v>4192</v>
      </c>
      <c r="S1580" t="s">
        <v>223</v>
      </c>
      <c r="T1580" t="s">
        <v>291</v>
      </c>
      <c r="U1580" t="s">
        <v>104</v>
      </c>
      <c r="V1580" t="s">
        <v>3862</v>
      </c>
      <c r="W1580">
        <v>690</v>
      </c>
      <c r="X1580">
        <v>29.99</v>
      </c>
      <c r="Y1580">
        <v>89</v>
      </c>
      <c r="Z1580">
        <v>499000</v>
      </c>
      <c r="AA1580">
        <v>200100</v>
      </c>
      <c r="AB1580">
        <v>174</v>
      </c>
      <c r="AD1580" t="s">
        <v>238</v>
      </c>
      <c r="AE1580">
        <v>1</v>
      </c>
      <c r="AF1580">
        <v>0</v>
      </c>
      <c r="AI1580">
        <v>20</v>
      </c>
      <c r="AJ1580">
        <v>90</v>
      </c>
      <c r="AK1580">
        <v>110</v>
      </c>
      <c r="AL1580">
        <v>290</v>
      </c>
      <c r="AM1580">
        <v>0</v>
      </c>
      <c r="AN1580">
        <v>0</v>
      </c>
      <c r="AO1580">
        <v>0</v>
      </c>
      <c r="AP1580" t="s">
        <v>69</v>
      </c>
      <c r="AT1580" t="s">
        <v>86</v>
      </c>
      <c r="AU1580" t="s">
        <v>86</v>
      </c>
      <c r="AV1580" t="s">
        <v>4204</v>
      </c>
      <c r="AW1580" t="s">
        <v>69</v>
      </c>
      <c r="AX1580" t="s">
        <v>218</v>
      </c>
      <c r="AY1580" t="s">
        <v>4396</v>
      </c>
      <c r="AZ1580" t="s">
        <v>245</v>
      </c>
      <c r="BA1580" t="s">
        <v>245</v>
      </c>
      <c r="BB1580" t="s">
        <v>244</v>
      </c>
      <c r="BC1580" t="s">
        <v>244</v>
      </c>
      <c r="BD1580" t="s">
        <v>4399</v>
      </c>
      <c r="BE1580" t="s">
        <v>4398</v>
      </c>
      <c r="BF1580" t="s">
        <v>971</v>
      </c>
      <c r="BG1580" t="s">
        <v>150</v>
      </c>
      <c r="BH1580" t="str">
        <f>IF(COUNTIF(工作表1!A:A, $C1580)&gt;0, "預購款", "非預購款")</f>
        <v>非預購款</v>
      </c>
    </row>
    <row r="1581" spans="1:60" x14ac:dyDescent="0.25">
      <c r="A1581" t="s">
        <v>4390</v>
      </c>
      <c r="B1581" t="s">
        <v>315</v>
      </c>
      <c r="C1581" t="s">
        <v>4391</v>
      </c>
      <c r="D1581" t="s">
        <v>4392</v>
      </c>
      <c r="E1581" t="s">
        <v>4393</v>
      </c>
      <c r="F1581" t="s">
        <v>222</v>
      </c>
      <c r="G1581" t="s">
        <v>4394</v>
      </c>
      <c r="H1581" t="s">
        <v>132</v>
      </c>
      <c r="I1581" t="s">
        <v>97</v>
      </c>
      <c r="J1581" t="s">
        <v>98</v>
      </c>
      <c r="K1581" t="s">
        <v>69</v>
      </c>
      <c r="L1581" t="s">
        <v>4395</v>
      </c>
      <c r="M1581" t="s">
        <v>71</v>
      </c>
      <c r="N1581" t="s">
        <v>198</v>
      </c>
      <c r="O1581" t="s">
        <v>199</v>
      </c>
      <c r="P1581" t="s">
        <v>200</v>
      </c>
      <c r="R1581" t="s">
        <v>4192</v>
      </c>
      <c r="S1581" t="s">
        <v>223</v>
      </c>
      <c r="T1581" t="s">
        <v>291</v>
      </c>
      <c r="U1581" t="s">
        <v>104</v>
      </c>
      <c r="V1581" t="s">
        <v>3862</v>
      </c>
      <c r="W1581">
        <v>690</v>
      </c>
      <c r="X1581">
        <v>29.99</v>
      </c>
      <c r="Y1581">
        <v>89</v>
      </c>
      <c r="Z1581">
        <v>499000</v>
      </c>
      <c r="AA1581">
        <v>200100</v>
      </c>
      <c r="AB1581">
        <v>174</v>
      </c>
      <c r="AD1581" t="s">
        <v>238</v>
      </c>
      <c r="AE1581">
        <v>1</v>
      </c>
      <c r="AF1581">
        <v>0</v>
      </c>
      <c r="AI1581">
        <v>10</v>
      </c>
      <c r="AJ1581">
        <v>40</v>
      </c>
      <c r="AK1581">
        <v>50</v>
      </c>
      <c r="AL1581">
        <v>290</v>
      </c>
      <c r="AM1581">
        <v>0</v>
      </c>
      <c r="AN1581">
        <v>0</v>
      </c>
      <c r="AO1581">
        <v>0</v>
      </c>
      <c r="AP1581" t="s">
        <v>69</v>
      </c>
      <c r="AT1581" t="s">
        <v>86</v>
      </c>
      <c r="AU1581" t="s">
        <v>86</v>
      </c>
      <c r="AV1581" t="s">
        <v>4204</v>
      </c>
      <c r="AW1581" t="s">
        <v>69</v>
      </c>
      <c r="AX1581" t="s">
        <v>218</v>
      </c>
      <c r="AY1581" t="s">
        <v>4396</v>
      </c>
      <c r="AZ1581" t="s">
        <v>245</v>
      </c>
      <c r="BA1581" t="s">
        <v>245</v>
      </c>
      <c r="BB1581" t="s">
        <v>244</v>
      </c>
      <c r="BC1581" t="s">
        <v>244</v>
      </c>
      <c r="BD1581" t="s">
        <v>4400</v>
      </c>
      <c r="BE1581" t="s">
        <v>4398</v>
      </c>
      <c r="BF1581" t="s">
        <v>971</v>
      </c>
      <c r="BG1581" t="s">
        <v>150</v>
      </c>
      <c r="BH1581" t="str">
        <f>IF(COUNTIF(工作表1!A:A, $C1581)&gt;0, "預購款", "非預購款")</f>
        <v>非預購款</v>
      </c>
    </row>
    <row r="1582" spans="1:60" x14ac:dyDescent="0.25">
      <c r="A1582" t="s">
        <v>4401</v>
      </c>
      <c r="B1582" t="s">
        <v>4380</v>
      </c>
      <c r="C1582" t="s">
        <v>4402</v>
      </c>
      <c r="D1582" t="s">
        <v>4403</v>
      </c>
      <c r="E1582" t="s">
        <v>4404</v>
      </c>
      <c r="F1582" t="s">
        <v>222</v>
      </c>
      <c r="G1582" t="s">
        <v>4248</v>
      </c>
      <c r="H1582" t="s">
        <v>566</v>
      </c>
      <c r="I1582" t="s">
        <v>97</v>
      </c>
      <c r="J1582" t="s">
        <v>98</v>
      </c>
      <c r="K1582" t="s">
        <v>69</v>
      </c>
      <c r="M1582" t="s">
        <v>71</v>
      </c>
      <c r="N1582" t="s">
        <v>198</v>
      </c>
      <c r="O1582" t="s">
        <v>1307</v>
      </c>
      <c r="P1582" t="s">
        <v>1308</v>
      </c>
      <c r="S1582" t="s">
        <v>190</v>
      </c>
      <c r="T1582" t="s">
        <v>4229</v>
      </c>
      <c r="U1582" t="s">
        <v>527</v>
      </c>
      <c r="V1582" t="s">
        <v>554</v>
      </c>
      <c r="W1582">
        <v>400</v>
      </c>
      <c r="X1582">
        <v>0</v>
      </c>
      <c r="Y1582">
        <v>0</v>
      </c>
      <c r="Z1582">
        <v>0</v>
      </c>
      <c r="AA1582">
        <v>54000</v>
      </c>
      <c r="AB1582">
        <v>0</v>
      </c>
      <c r="AD1582" t="s">
        <v>238</v>
      </c>
      <c r="AE1582">
        <v>3</v>
      </c>
      <c r="AF1582">
        <v>0</v>
      </c>
      <c r="AI1582">
        <v>0</v>
      </c>
      <c r="AJ1582">
        <v>40</v>
      </c>
      <c r="AK1582">
        <v>40</v>
      </c>
      <c r="AL1582">
        <v>135</v>
      </c>
      <c r="AM1582">
        <v>0</v>
      </c>
      <c r="AN1582">
        <v>0</v>
      </c>
      <c r="AO1582">
        <v>0</v>
      </c>
      <c r="AP1582" t="s">
        <v>69</v>
      </c>
      <c r="AT1582" t="s">
        <v>261</v>
      </c>
      <c r="AV1582" t="s">
        <v>4405</v>
      </c>
      <c r="AW1582" t="s">
        <v>69</v>
      </c>
      <c r="AY1582" t="s">
        <v>4260</v>
      </c>
      <c r="BD1582" t="s">
        <v>4406</v>
      </c>
      <c r="BE1582" t="s">
        <v>4407</v>
      </c>
      <c r="BH1582" t="str">
        <f>IF(COUNTIF(工作表1!A:A, $C1582)&gt;0, "預購款", "非預購款")</f>
        <v>非預購款</v>
      </c>
    </row>
    <row r="1583" spans="1:60" x14ac:dyDescent="0.25">
      <c r="A1583" t="s">
        <v>4401</v>
      </c>
      <c r="B1583" t="s">
        <v>4380</v>
      </c>
      <c r="C1583" t="s">
        <v>4402</v>
      </c>
      <c r="D1583" t="s">
        <v>4403</v>
      </c>
      <c r="E1583" t="s">
        <v>4404</v>
      </c>
      <c r="F1583" t="s">
        <v>222</v>
      </c>
      <c r="G1583" t="s">
        <v>4248</v>
      </c>
      <c r="H1583" t="s">
        <v>566</v>
      </c>
      <c r="I1583" t="s">
        <v>422</v>
      </c>
      <c r="J1583" t="s">
        <v>423</v>
      </c>
      <c r="K1583" t="s">
        <v>69</v>
      </c>
      <c r="M1583" t="s">
        <v>71</v>
      </c>
      <c r="N1583" t="s">
        <v>198</v>
      </c>
      <c r="O1583" t="s">
        <v>1307</v>
      </c>
      <c r="P1583" t="s">
        <v>1308</v>
      </c>
      <c r="S1583" t="s">
        <v>190</v>
      </c>
      <c r="T1583" t="s">
        <v>4229</v>
      </c>
      <c r="U1583" t="s">
        <v>527</v>
      </c>
      <c r="V1583" t="s">
        <v>554</v>
      </c>
      <c r="W1583">
        <v>400</v>
      </c>
      <c r="X1583">
        <v>0</v>
      </c>
      <c r="Y1583">
        <v>0</v>
      </c>
      <c r="Z1583">
        <v>0</v>
      </c>
      <c r="AA1583">
        <v>54000</v>
      </c>
      <c r="AB1583">
        <v>0</v>
      </c>
      <c r="AD1583" t="s">
        <v>238</v>
      </c>
      <c r="AE1583">
        <v>3</v>
      </c>
      <c r="AF1583">
        <v>0</v>
      </c>
      <c r="AI1583">
        <v>0</v>
      </c>
      <c r="AJ1583">
        <v>55</v>
      </c>
      <c r="AK1583">
        <v>55</v>
      </c>
      <c r="AL1583">
        <v>135</v>
      </c>
      <c r="AM1583">
        <v>0</v>
      </c>
      <c r="AN1583">
        <v>0</v>
      </c>
      <c r="AO1583">
        <v>0</v>
      </c>
      <c r="AP1583" t="s">
        <v>69</v>
      </c>
      <c r="AT1583" t="s">
        <v>261</v>
      </c>
      <c r="AV1583" t="s">
        <v>4405</v>
      </c>
      <c r="AW1583" t="s">
        <v>69</v>
      </c>
      <c r="AY1583" t="s">
        <v>4260</v>
      </c>
      <c r="BD1583" t="s">
        <v>4408</v>
      </c>
      <c r="BE1583" t="s">
        <v>4407</v>
      </c>
      <c r="BH1583" t="str">
        <f>IF(COUNTIF(工作表1!A:A, $C1583)&gt;0, "預購款", "非預購款")</f>
        <v>非預購款</v>
      </c>
    </row>
    <row r="1584" spans="1:60" x14ac:dyDescent="0.25">
      <c r="A1584" t="s">
        <v>4401</v>
      </c>
      <c r="B1584" t="s">
        <v>4380</v>
      </c>
      <c r="C1584" t="s">
        <v>4402</v>
      </c>
      <c r="D1584" t="s">
        <v>4403</v>
      </c>
      <c r="E1584" t="s">
        <v>4404</v>
      </c>
      <c r="F1584" t="s">
        <v>222</v>
      </c>
      <c r="G1584" t="s">
        <v>4248</v>
      </c>
      <c r="H1584" t="s">
        <v>566</v>
      </c>
      <c r="I1584" t="s">
        <v>1348</v>
      </c>
      <c r="J1584" t="s">
        <v>1349</v>
      </c>
      <c r="K1584" t="s">
        <v>69</v>
      </c>
      <c r="M1584" t="s">
        <v>71</v>
      </c>
      <c r="N1584" t="s">
        <v>198</v>
      </c>
      <c r="O1584" t="s">
        <v>1307</v>
      </c>
      <c r="P1584" t="s">
        <v>1308</v>
      </c>
      <c r="S1584" t="s">
        <v>190</v>
      </c>
      <c r="T1584" t="s">
        <v>4229</v>
      </c>
      <c r="U1584" t="s">
        <v>527</v>
      </c>
      <c r="V1584" t="s">
        <v>554</v>
      </c>
      <c r="W1584">
        <v>400</v>
      </c>
      <c r="X1584">
        <v>0</v>
      </c>
      <c r="Y1584">
        <v>0</v>
      </c>
      <c r="Z1584">
        <v>0</v>
      </c>
      <c r="AA1584">
        <v>54000</v>
      </c>
      <c r="AB1584">
        <v>0</v>
      </c>
      <c r="AD1584" t="s">
        <v>238</v>
      </c>
      <c r="AE1584">
        <v>3</v>
      </c>
      <c r="AF1584">
        <v>0</v>
      </c>
      <c r="AI1584">
        <v>0</v>
      </c>
      <c r="AJ1584">
        <v>40</v>
      </c>
      <c r="AK1584">
        <v>40</v>
      </c>
      <c r="AL1584">
        <v>135</v>
      </c>
      <c r="AM1584">
        <v>0</v>
      </c>
      <c r="AN1584">
        <v>0</v>
      </c>
      <c r="AO1584">
        <v>0</v>
      </c>
      <c r="AP1584" t="s">
        <v>69</v>
      </c>
      <c r="AT1584" t="s">
        <v>261</v>
      </c>
      <c r="AV1584" t="s">
        <v>4405</v>
      </c>
      <c r="AW1584" t="s">
        <v>69</v>
      </c>
      <c r="AY1584" t="s">
        <v>4260</v>
      </c>
      <c r="BD1584" t="s">
        <v>4409</v>
      </c>
      <c r="BE1584" t="s">
        <v>4407</v>
      </c>
      <c r="BH1584" t="str">
        <f>IF(COUNTIF(工作表1!A:A, $C1584)&gt;0, "預購款", "非預購款")</f>
        <v>非預購款</v>
      </c>
    </row>
    <row r="1585" spans="1:60" x14ac:dyDescent="0.25">
      <c r="A1585" t="s">
        <v>4410</v>
      </c>
      <c r="B1585" t="s">
        <v>315</v>
      </c>
      <c r="C1585" t="s">
        <v>4411</v>
      </c>
      <c r="D1585" t="s">
        <v>4412</v>
      </c>
      <c r="E1585" t="s">
        <v>4413</v>
      </c>
      <c r="F1585" t="s">
        <v>222</v>
      </c>
      <c r="G1585" t="s">
        <v>4414</v>
      </c>
      <c r="H1585" t="s">
        <v>119</v>
      </c>
      <c r="I1585" t="s">
        <v>67</v>
      </c>
      <c r="J1585" t="s">
        <v>68</v>
      </c>
      <c r="K1585" t="s">
        <v>69</v>
      </c>
      <c r="L1585" t="s">
        <v>4415</v>
      </c>
      <c r="M1585" t="s">
        <v>71</v>
      </c>
      <c r="N1585" t="s">
        <v>198</v>
      </c>
      <c r="O1585" t="s">
        <v>199</v>
      </c>
      <c r="P1585" t="s">
        <v>200</v>
      </c>
      <c r="R1585" t="s">
        <v>4192</v>
      </c>
      <c r="S1585" t="s">
        <v>223</v>
      </c>
      <c r="T1585" t="s">
        <v>291</v>
      </c>
      <c r="U1585" t="s">
        <v>104</v>
      </c>
      <c r="V1585" t="s">
        <v>1220</v>
      </c>
      <c r="W1585">
        <v>790</v>
      </c>
      <c r="X1585">
        <v>34.99</v>
      </c>
      <c r="Y1585">
        <v>99</v>
      </c>
      <c r="Z1585">
        <v>569000</v>
      </c>
      <c r="AA1585">
        <v>134300</v>
      </c>
      <c r="AB1585">
        <v>282</v>
      </c>
      <c r="AD1585" t="s">
        <v>238</v>
      </c>
      <c r="AE1585">
        <v>1</v>
      </c>
      <c r="AF1585">
        <v>0</v>
      </c>
      <c r="AI1585">
        <v>0</v>
      </c>
      <c r="AJ1585">
        <v>60</v>
      </c>
      <c r="AK1585">
        <v>60</v>
      </c>
      <c r="AL1585">
        <v>170</v>
      </c>
      <c r="AM1585">
        <v>0</v>
      </c>
      <c r="AN1585">
        <v>0</v>
      </c>
      <c r="AO1585">
        <v>0</v>
      </c>
      <c r="AP1585" t="s">
        <v>69</v>
      </c>
      <c r="AT1585" t="s">
        <v>240</v>
      </c>
      <c r="AU1585" t="s">
        <v>240</v>
      </c>
      <c r="AV1585" t="s">
        <v>4416</v>
      </c>
      <c r="AW1585" t="s">
        <v>69</v>
      </c>
      <c r="AX1585" t="s">
        <v>218</v>
      </c>
      <c r="AY1585" t="s">
        <v>4417</v>
      </c>
      <c r="AZ1585" t="s">
        <v>244</v>
      </c>
      <c r="BA1585" t="s">
        <v>244</v>
      </c>
      <c r="BB1585" t="s">
        <v>244</v>
      </c>
      <c r="BC1585" t="s">
        <v>264</v>
      </c>
      <c r="BD1585" t="s">
        <v>4418</v>
      </c>
      <c r="BE1585" t="s">
        <v>4419</v>
      </c>
      <c r="BF1585" t="s">
        <v>291</v>
      </c>
      <c r="BG1585" t="s">
        <v>110</v>
      </c>
      <c r="BH1585" t="str">
        <f>IF(COUNTIF(工作表1!A:A, $C1585)&gt;0, "預購款", "非預購款")</f>
        <v>非預購款</v>
      </c>
    </row>
    <row r="1586" spans="1:60" x14ac:dyDescent="0.25">
      <c r="A1586" t="s">
        <v>4410</v>
      </c>
      <c r="B1586" t="s">
        <v>315</v>
      </c>
      <c r="C1586" t="s">
        <v>4411</v>
      </c>
      <c r="D1586" t="s">
        <v>4412</v>
      </c>
      <c r="E1586" t="s">
        <v>4413</v>
      </c>
      <c r="F1586" t="s">
        <v>222</v>
      </c>
      <c r="G1586" t="s">
        <v>4414</v>
      </c>
      <c r="H1586" t="s">
        <v>130</v>
      </c>
      <c r="I1586" t="s">
        <v>67</v>
      </c>
      <c r="J1586" t="s">
        <v>68</v>
      </c>
      <c r="K1586" t="s">
        <v>69</v>
      </c>
      <c r="L1586" t="s">
        <v>4415</v>
      </c>
      <c r="M1586" t="s">
        <v>71</v>
      </c>
      <c r="N1586" t="s">
        <v>198</v>
      </c>
      <c r="O1586" t="s">
        <v>199</v>
      </c>
      <c r="P1586" t="s">
        <v>200</v>
      </c>
      <c r="R1586" t="s">
        <v>4192</v>
      </c>
      <c r="S1586" t="s">
        <v>223</v>
      </c>
      <c r="T1586" t="s">
        <v>291</v>
      </c>
      <c r="U1586" t="s">
        <v>104</v>
      </c>
      <c r="V1586" t="s">
        <v>1220</v>
      </c>
      <c r="W1586">
        <v>790</v>
      </c>
      <c r="X1586">
        <v>34.99</v>
      </c>
      <c r="Y1586">
        <v>99</v>
      </c>
      <c r="Z1586">
        <v>569000</v>
      </c>
      <c r="AA1586">
        <v>134300</v>
      </c>
      <c r="AB1586">
        <v>282</v>
      </c>
      <c r="AD1586" t="s">
        <v>238</v>
      </c>
      <c r="AE1586">
        <v>1</v>
      </c>
      <c r="AF1586">
        <v>0</v>
      </c>
      <c r="AI1586">
        <v>0</v>
      </c>
      <c r="AJ1586">
        <v>80</v>
      </c>
      <c r="AK1586">
        <v>80</v>
      </c>
      <c r="AL1586">
        <v>170</v>
      </c>
      <c r="AM1586">
        <v>0</v>
      </c>
      <c r="AN1586">
        <v>0</v>
      </c>
      <c r="AO1586">
        <v>0</v>
      </c>
      <c r="AP1586" t="s">
        <v>69</v>
      </c>
      <c r="AT1586" t="s">
        <v>240</v>
      </c>
      <c r="AU1586" t="s">
        <v>240</v>
      </c>
      <c r="AV1586" t="s">
        <v>4416</v>
      </c>
      <c r="AW1586" t="s">
        <v>69</v>
      </c>
      <c r="AX1586" t="s">
        <v>218</v>
      </c>
      <c r="AY1586" t="s">
        <v>4417</v>
      </c>
      <c r="AZ1586" t="s">
        <v>244</v>
      </c>
      <c r="BA1586" t="s">
        <v>244</v>
      </c>
      <c r="BB1586" t="s">
        <v>244</v>
      </c>
      <c r="BC1586" t="s">
        <v>264</v>
      </c>
      <c r="BD1586" t="s">
        <v>4420</v>
      </c>
      <c r="BE1586" t="s">
        <v>4419</v>
      </c>
      <c r="BF1586" t="s">
        <v>291</v>
      </c>
      <c r="BG1586" t="s">
        <v>110</v>
      </c>
      <c r="BH1586" t="str">
        <f>IF(COUNTIF(工作表1!A:A, $C1586)&gt;0, "預購款", "非預購款")</f>
        <v>非預購款</v>
      </c>
    </row>
    <row r="1587" spans="1:60" x14ac:dyDescent="0.25">
      <c r="A1587" t="s">
        <v>4410</v>
      </c>
      <c r="B1587" t="s">
        <v>315</v>
      </c>
      <c r="C1587" t="s">
        <v>4411</v>
      </c>
      <c r="D1587" t="s">
        <v>4412</v>
      </c>
      <c r="E1587" t="s">
        <v>4413</v>
      </c>
      <c r="F1587" t="s">
        <v>222</v>
      </c>
      <c r="G1587" t="s">
        <v>4414</v>
      </c>
      <c r="H1587" t="s">
        <v>132</v>
      </c>
      <c r="I1587" t="s">
        <v>67</v>
      </c>
      <c r="J1587" t="s">
        <v>68</v>
      </c>
      <c r="K1587" t="s">
        <v>69</v>
      </c>
      <c r="L1587" t="s">
        <v>4415</v>
      </c>
      <c r="M1587" t="s">
        <v>71</v>
      </c>
      <c r="N1587" t="s">
        <v>198</v>
      </c>
      <c r="O1587" t="s">
        <v>199</v>
      </c>
      <c r="P1587" t="s">
        <v>200</v>
      </c>
      <c r="R1587" t="s">
        <v>4192</v>
      </c>
      <c r="S1587" t="s">
        <v>223</v>
      </c>
      <c r="T1587" t="s">
        <v>291</v>
      </c>
      <c r="U1587" t="s">
        <v>104</v>
      </c>
      <c r="V1587" t="s">
        <v>1220</v>
      </c>
      <c r="W1587">
        <v>790</v>
      </c>
      <c r="X1587">
        <v>34.99</v>
      </c>
      <c r="Y1587">
        <v>99</v>
      </c>
      <c r="Z1587">
        <v>569000</v>
      </c>
      <c r="AA1587">
        <v>134300</v>
      </c>
      <c r="AB1587">
        <v>282</v>
      </c>
      <c r="AD1587" t="s">
        <v>238</v>
      </c>
      <c r="AE1587">
        <v>1</v>
      </c>
      <c r="AF1587">
        <v>0</v>
      </c>
      <c r="AI1587">
        <v>0</v>
      </c>
      <c r="AJ1587">
        <v>30</v>
      </c>
      <c r="AK1587">
        <v>30</v>
      </c>
      <c r="AL1587">
        <v>170</v>
      </c>
      <c r="AM1587">
        <v>0</v>
      </c>
      <c r="AN1587">
        <v>0</v>
      </c>
      <c r="AO1587">
        <v>0</v>
      </c>
      <c r="AP1587" t="s">
        <v>69</v>
      </c>
      <c r="AT1587" t="s">
        <v>240</v>
      </c>
      <c r="AU1587" t="s">
        <v>240</v>
      </c>
      <c r="AV1587" t="s">
        <v>4416</v>
      </c>
      <c r="AW1587" t="s">
        <v>69</v>
      </c>
      <c r="AX1587" t="s">
        <v>218</v>
      </c>
      <c r="AY1587" t="s">
        <v>4417</v>
      </c>
      <c r="AZ1587" t="s">
        <v>244</v>
      </c>
      <c r="BA1587" t="s">
        <v>244</v>
      </c>
      <c r="BB1587" t="s">
        <v>244</v>
      </c>
      <c r="BC1587" t="s">
        <v>264</v>
      </c>
      <c r="BD1587" t="s">
        <v>4421</v>
      </c>
      <c r="BE1587" t="s">
        <v>4419</v>
      </c>
      <c r="BF1587" t="s">
        <v>291</v>
      </c>
      <c r="BG1587" t="s">
        <v>110</v>
      </c>
      <c r="BH1587" t="str">
        <f>IF(COUNTIF(工作表1!A:A, $C1587)&gt;0, "預購款", "非預購款")</f>
        <v>非預購款</v>
      </c>
    </row>
    <row r="1588" spans="1:60" x14ac:dyDescent="0.25">
      <c r="A1588" t="s">
        <v>4422</v>
      </c>
      <c r="B1588" t="s">
        <v>315</v>
      </c>
      <c r="C1588" t="s">
        <v>4423</v>
      </c>
      <c r="D1588" t="s">
        <v>4424</v>
      </c>
      <c r="E1588" t="s">
        <v>4425</v>
      </c>
      <c r="F1588" t="s">
        <v>222</v>
      </c>
      <c r="G1588" t="s">
        <v>4426</v>
      </c>
      <c r="H1588" t="s">
        <v>119</v>
      </c>
      <c r="I1588" t="s">
        <v>97</v>
      </c>
      <c r="J1588" t="s">
        <v>98</v>
      </c>
      <c r="K1588" t="s">
        <v>69</v>
      </c>
      <c r="L1588" t="s">
        <v>4427</v>
      </c>
      <c r="M1588" t="s">
        <v>71</v>
      </c>
      <c r="N1588" t="s">
        <v>198</v>
      </c>
      <c r="O1588" t="s">
        <v>199</v>
      </c>
      <c r="P1588" t="s">
        <v>200</v>
      </c>
      <c r="R1588" t="s">
        <v>4192</v>
      </c>
      <c r="S1588" t="s">
        <v>223</v>
      </c>
      <c r="T1588" t="s">
        <v>291</v>
      </c>
      <c r="U1588" t="s">
        <v>383</v>
      </c>
      <c r="V1588" t="s">
        <v>384</v>
      </c>
      <c r="W1588">
        <v>990</v>
      </c>
      <c r="X1588">
        <v>39.99</v>
      </c>
      <c r="Y1588">
        <v>129</v>
      </c>
      <c r="Z1588">
        <v>709000</v>
      </c>
      <c r="AA1588">
        <v>455400</v>
      </c>
      <c r="AB1588">
        <v>560</v>
      </c>
      <c r="AD1588" t="s">
        <v>238</v>
      </c>
      <c r="AE1588">
        <v>2</v>
      </c>
      <c r="AF1588">
        <v>0</v>
      </c>
      <c r="AI1588">
        <v>30</v>
      </c>
      <c r="AJ1588">
        <v>60</v>
      </c>
      <c r="AK1588">
        <v>90</v>
      </c>
      <c r="AL1588">
        <v>460</v>
      </c>
      <c r="AM1588">
        <v>0</v>
      </c>
      <c r="AN1588">
        <v>0</v>
      </c>
      <c r="AO1588">
        <v>0</v>
      </c>
      <c r="AP1588" t="s">
        <v>69</v>
      </c>
      <c r="AT1588" t="s">
        <v>240</v>
      </c>
      <c r="AU1588" t="s">
        <v>86</v>
      </c>
      <c r="AV1588" t="s">
        <v>4428</v>
      </c>
      <c r="AW1588" t="s">
        <v>69</v>
      </c>
      <c r="AX1588" t="s">
        <v>126</v>
      </c>
      <c r="AY1588" t="s">
        <v>4417</v>
      </c>
      <c r="AZ1588" t="s">
        <v>244</v>
      </c>
      <c r="BA1588" t="s">
        <v>245</v>
      </c>
      <c r="BB1588" t="s">
        <v>244</v>
      </c>
      <c r="BC1588" t="s">
        <v>264</v>
      </c>
      <c r="BD1588" t="s">
        <v>4429</v>
      </c>
      <c r="BE1588" t="s">
        <v>4430</v>
      </c>
      <c r="BF1588" t="s">
        <v>291</v>
      </c>
      <c r="BG1588" t="s">
        <v>110</v>
      </c>
      <c r="BH1588" t="str">
        <f>IF(COUNTIF(工作表1!A:A, $C1588)&gt;0, "預購款", "非預購款")</f>
        <v>非預購款</v>
      </c>
    </row>
    <row r="1589" spans="1:60" x14ac:dyDescent="0.25">
      <c r="A1589" t="s">
        <v>4422</v>
      </c>
      <c r="B1589" t="s">
        <v>315</v>
      </c>
      <c r="C1589" t="s">
        <v>4423</v>
      </c>
      <c r="D1589" t="s">
        <v>4424</v>
      </c>
      <c r="E1589" t="s">
        <v>4425</v>
      </c>
      <c r="F1589" t="s">
        <v>222</v>
      </c>
      <c r="G1589" t="s">
        <v>4426</v>
      </c>
      <c r="H1589" t="s">
        <v>130</v>
      </c>
      <c r="I1589" t="s">
        <v>97</v>
      </c>
      <c r="J1589" t="s">
        <v>98</v>
      </c>
      <c r="K1589" t="s">
        <v>69</v>
      </c>
      <c r="L1589" t="s">
        <v>4427</v>
      </c>
      <c r="M1589" t="s">
        <v>71</v>
      </c>
      <c r="N1589" t="s">
        <v>198</v>
      </c>
      <c r="O1589" t="s">
        <v>199</v>
      </c>
      <c r="P1589" t="s">
        <v>200</v>
      </c>
      <c r="R1589" t="s">
        <v>4192</v>
      </c>
      <c r="S1589" t="s">
        <v>223</v>
      </c>
      <c r="T1589" t="s">
        <v>291</v>
      </c>
      <c r="U1589" t="s">
        <v>383</v>
      </c>
      <c r="V1589" t="s">
        <v>384</v>
      </c>
      <c r="W1589">
        <v>990</v>
      </c>
      <c r="X1589">
        <v>39.99</v>
      </c>
      <c r="Y1589">
        <v>129</v>
      </c>
      <c r="Z1589">
        <v>709000</v>
      </c>
      <c r="AA1589">
        <v>455400</v>
      </c>
      <c r="AB1589">
        <v>560</v>
      </c>
      <c r="AD1589" t="s">
        <v>238</v>
      </c>
      <c r="AE1589">
        <v>2</v>
      </c>
      <c r="AF1589">
        <v>0</v>
      </c>
      <c r="AI1589">
        <v>15</v>
      </c>
      <c r="AJ1589">
        <v>40</v>
      </c>
      <c r="AK1589">
        <v>55</v>
      </c>
      <c r="AL1589">
        <v>460</v>
      </c>
      <c r="AM1589">
        <v>0</v>
      </c>
      <c r="AN1589">
        <v>0</v>
      </c>
      <c r="AO1589">
        <v>0</v>
      </c>
      <c r="AP1589" t="s">
        <v>69</v>
      </c>
      <c r="AT1589" t="s">
        <v>240</v>
      </c>
      <c r="AU1589" t="s">
        <v>86</v>
      </c>
      <c r="AV1589" t="s">
        <v>4428</v>
      </c>
      <c r="AW1589" t="s">
        <v>69</v>
      </c>
      <c r="AX1589" t="s">
        <v>126</v>
      </c>
      <c r="AY1589" t="s">
        <v>4417</v>
      </c>
      <c r="AZ1589" t="s">
        <v>244</v>
      </c>
      <c r="BA1589" t="s">
        <v>245</v>
      </c>
      <c r="BB1589" t="s">
        <v>244</v>
      </c>
      <c r="BC1589" t="s">
        <v>264</v>
      </c>
      <c r="BD1589" t="s">
        <v>4431</v>
      </c>
      <c r="BE1589" t="s">
        <v>4430</v>
      </c>
      <c r="BF1589" t="s">
        <v>291</v>
      </c>
      <c r="BG1589" t="s">
        <v>110</v>
      </c>
      <c r="BH1589" t="str">
        <f>IF(COUNTIF(工作表1!A:A, $C1589)&gt;0, "預購款", "非預購款")</f>
        <v>非預購款</v>
      </c>
    </row>
    <row r="1590" spans="1:60" x14ac:dyDescent="0.25">
      <c r="A1590" t="s">
        <v>4422</v>
      </c>
      <c r="B1590" t="s">
        <v>315</v>
      </c>
      <c r="C1590" t="s">
        <v>4423</v>
      </c>
      <c r="D1590" t="s">
        <v>4424</v>
      </c>
      <c r="E1590" t="s">
        <v>4425</v>
      </c>
      <c r="F1590" t="s">
        <v>222</v>
      </c>
      <c r="G1590" t="s">
        <v>4426</v>
      </c>
      <c r="H1590" t="s">
        <v>132</v>
      </c>
      <c r="I1590" t="s">
        <v>97</v>
      </c>
      <c r="J1590" t="s">
        <v>98</v>
      </c>
      <c r="K1590" t="s">
        <v>69</v>
      </c>
      <c r="L1590" t="s">
        <v>4427</v>
      </c>
      <c r="M1590" t="s">
        <v>71</v>
      </c>
      <c r="N1590" t="s">
        <v>198</v>
      </c>
      <c r="O1590" t="s">
        <v>199</v>
      </c>
      <c r="P1590" t="s">
        <v>200</v>
      </c>
      <c r="R1590" t="s">
        <v>4192</v>
      </c>
      <c r="S1590" t="s">
        <v>223</v>
      </c>
      <c r="T1590" t="s">
        <v>291</v>
      </c>
      <c r="U1590" t="s">
        <v>383</v>
      </c>
      <c r="V1590" t="s">
        <v>384</v>
      </c>
      <c r="W1590">
        <v>990</v>
      </c>
      <c r="X1590">
        <v>39.99</v>
      </c>
      <c r="Y1590">
        <v>129</v>
      </c>
      <c r="Z1590">
        <v>709000</v>
      </c>
      <c r="AA1590">
        <v>455400</v>
      </c>
      <c r="AB1590">
        <v>560</v>
      </c>
      <c r="AD1590" t="s">
        <v>238</v>
      </c>
      <c r="AE1590">
        <v>2</v>
      </c>
      <c r="AF1590">
        <v>0</v>
      </c>
      <c r="AI1590">
        <v>15</v>
      </c>
      <c r="AJ1590">
        <v>10</v>
      </c>
      <c r="AK1590">
        <v>25</v>
      </c>
      <c r="AL1590">
        <v>460</v>
      </c>
      <c r="AM1590">
        <v>0</v>
      </c>
      <c r="AN1590">
        <v>0</v>
      </c>
      <c r="AO1590">
        <v>0</v>
      </c>
      <c r="AP1590" t="s">
        <v>69</v>
      </c>
      <c r="AT1590" t="s">
        <v>240</v>
      </c>
      <c r="AU1590" t="s">
        <v>86</v>
      </c>
      <c r="AV1590" t="s">
        <v>4428</v>
      </c>
      <c r="AW1590" t="s">
        <v>69</v>
      </c>
      <c r="AX1590" t="s">
        <v>126</v>
      </c>
      <c r="AY1590" t="s">
        <v>4417</v>
      </c>
      <c r="AZ1590" t="s">
        <v>244</v>
      </c>
      <c r="BA1590" t="s">
        <v>245</v>
      </c>
      <c r="BB1590" t="s">
        <v>244</v>
      </c>
      <c r="BC1590" t="s">
        <v>264</v>
      </c>
      <c r="BD1590" t="s">
        <v>4432</v>
      </c>
      <c r="BE1590" t="s">
        <v>4430</v>
      </c>
      <c r="BF1590" t="s">
        <v>291</v>
      </c>
      <c r="BG1590" t="s">
        <v>110</v>
      </c>
      <c r="BH1590" t="str">
        <f>IF(COUNTIF(工作表1!A:A, $C1590)&gt;0, "預購款", "非預購款")</f>
        <v>非預購款</v>
      </c>
    </row>
    <row r="1591" spans="1:60" x14ac:dyDescent="0.25">
      <c r="A1591" t="s">
        <v>4422</v>
      </c>
      <c r="B1591" t="s">
        <v>315</v>
      </c>
      <c r="C1591" t="s">
        <v>4423</v>
      </c>
      <c r="D1591" t="s">
        <v>4424</v>
      </c>
      <c r="E1591" t="s">
        <v>4425</v>
      </c>
      <c r="F1591" t="s">
        <v>222</v>
      </c>
      <c r="G1591" t="s">
        <v>4426</v>
      </c>
      <c r="H1591" t="s">
        <v>119</v>
      </c>
      <c r="I1591" t="s">
        <v>67</v>
      </c>
      <c r="J1591" t="s">
        <v>68</v>
      </c>
      <c r="K1591" t="s">
        <v>69</v>
      </c>
      <c r="L1591" t="s">
        <v>4427</v>
      </c>
      <c r="M1591" t="s">
        <v>71</v>
      </c>
      <c r="N1591" t="s">
        <v>198</v>
      </c>
      <c r="O1591" t="s">
        <v>199</v>
      </c>
      <c r="P1591" t="s">
        <v>200</v>
      </c>
      <c r="R1591" t="s">
        <v>4192</v>
      </c>
      <c r="S1591" t="s">
        <v>223</v>
      </c>
      <c r="T1591" t="s">
        <v>291</v>
      </c>
      <c r="U1591" t="s">
        <v>383</v>
      </c>
      <c r="V1591" t="s">
        <v>384</v>
      </c>
      <c r="W1591">
        <v>990</v>
      </c>
      <c r="X1591">
        <v>39.99</v>
      </c>
      <c r="Y1591">
        <v>129</v>
      </c>
      <c r="Z1591">
        <v>709000</v>
      </c>
      <c r="AA1591">
        <v>455400</v>
      </c>
      <c r="AB1591">
        <v>560</v>
      </c>
      <c r="AD1591" t="s">
        <v>238</v>
      </c>
      <c r="AE1591">
        <v>2</v>
      </c>
      <c r="AF1591">
        <v>0</v>
      </c>
      <c r="AI1591">
        <v>10</v>
      </c>
      <c r="AJ1591">
        <v>120</v>
      </c>
      <c r="AK1591">
        <v>130</v>
      </c>
      <c r="AL1591">
        <v>460</v>
      </c>
      <c r="AM1591">
        <v>0</v>
      </c>
      <c r="AN1591">
        <v>0</v>
      </c>
      <c r="AO1591">
        <v>0</v>
      </c>
      <c r="AP1591" t="s">
        <v>69</v>
      </c>
      <c r="AT1591" t="s">
        <v>240</v>
      </c>
      <c r="AU1591" t="s">
        <v>86</v>
      </c>
      <c r="AV1591" t="s">
        <v>4428</v>
      </c>
      <c r="AW1591" t="s">
        <v>69</v>
      </c>
      <c r="AX1591" t="s">
        <v>126</v>
      </c>
      <c r="AY1591" t="s">
        <v>4417</v>
      </c>
      <c r="AZ1591" t="s">
        <v>244</v>
      </c>
      <c r="BA1591" t="s">
        <v>245</v>
      </c>
      <c r="BB1591" t="s">
        <v>244</v>
      </c>
      <c r="BC1591" t="s">
        <v>264</v>
      </c>
      <c r="BD1591" t="s">
        <v>4433</v>
      </c>
      <c r="BE1591" t="s">
        <v>4430</v>
      </c>
      <c r="BF1591" t="s">
        <v>291</v>
      </c>
      <c r="BG1591" t="s">
        <v>110</v>
      </c>
      <c r="BH1591" t="str">
        <f>IF(COUNTIF(工作表1!A:A, $C1591)&gt;0, "預購款", "非預購款")</f>
        <v>非預購款</v>
      </c>
    </row>
    <row r="1592" spans="1:60" x14ac:dyDescent="0.25">
      <c r="A1592" t="s">
        <v>4422</v>
      </c>
      <c r="B1592" t="s">
        <v>315</v>
      </c>
      <c r="C1592" t="s">
        <v>4423</v>
      </c>
      <c r="D1592" t="s">
        <v>4424</v>
      </c>
      <c r="E1592" t="s">
        <v>4425</v>
      </c>
      <c r="F1592" t="s">
        <v>222</v>
      </c>
      <c r="G1592" t="s">
        <v>4426</v>
      </c>
      <c r="H1592" t="s">
        <v>130</v>
      </c>
      <c r="I1592" t="s">
        <v>67</v>
      </c>
      <c r="J1592" t="s">
        <v>68</v>
      </c>
      <c r="K1592" t="s">
        <v>69</v>
      </c>
      <c r="L1592" t="s">
        <v>4427</v>
      </c>
      <c r="M1592" t="s">
        <v>71</v>
      </c>
      <c r="N1592" t="s">
        <v>198</v>
      </c>
      <c r="O1592" t="s">
        <v>199</v>
      </c>
      <c r="P1592" t="s">
        <v>200</v>
      </c>
      <c r="R1592" t="s">
        <v>4192</v>
      </c>
      <c r="S1592" t="s">
        <v>223</v>
      </c>
      <c r="T1592" t="s">
        <v>291</v>
      </c>
      <c r="U1592" t="s">
        <v>383</v>
      </c>
      <c r="V1592" t="s">
        <v>384</v>
      </c>
      <c r="W1592">
        <v>990</v>
      </c>
      <c r="X1592">
        <v>39.99</v>
      </c>
      <c r="Y1592">
        <v>129</v>
      </c>
      <c r="Z1592">
        <v>709000</v>
      </c>
      <c r="AA1592">
        <v>455400</v>
      </c>
      <c r="AB1592">
        <v>560</v>
      </c>
      <c r="AD1592" t="s">
        <v>238</v>
      </c>
      <c r="AE1592">
        <v>2</v>
      </c>
      <c r="AF1592">
        <v>0</v>
      </c>
      <c r="AI1592">
        <v>10</v>
      </c>
      <c r="AJ1592">
        <v>100</v>
      </c>
      <c r="AK1592">
        <v>110</v>
      </c>
      <c r="AL1592">
        <v>460</v>
      </c>
      <c r="AM1592">
        <v>0</v>
      </c>
      <c r="AN1592">
        <v>0</v>
      </c>
      <c r="AO1592">
        <v>0</v>
      </c>
      <c r="AP1592" t="s">
        <v>69</v>
      </c>
      <c r="AT1592" t="s">
        <v>240</v>
      </c>
      <c r="AU1592" t="s">
        <v>86</v>
      </c>
      <c r="AV1592" t="s">
        <v>4428</v>
      </c>
      <c r="AW1592" t="s">
        <v>69</v>
      </c>
      <c r="AX1592" t="s">
        <v>126</v>
      </c>
      <c r="AY1592" t="s">
        <v>4417</v>
      </c>
      <c r="AZ1592" t="s">
        <v>244</v>
      </c>
      <c r="BA1592" t="s">
        <v>245</v>
      </c>
      <c r="BB1592" t="s">
        <v>244</v>
      </c>
      <c r="BC1592" t="s">
        <v>264</v>
      </c>
      <c r="BD1592" t="s">
        <v>4434</v>
      </c>
      <c r="BE1592" t="s">
        <v>4430</v>
      </c>
      <c r="BF1592" t="s">
        <v>291</v>
      </c>
      <c r="BG1592" t="s">
        <v>110</v>
      </c>
      <c r="BH1592" t="str">
        <f>IF(COUNTIF(工作表1!A:A, $C1592)&gt;0, "預購款", "非預購款")</f>
        <v>非預購款</v>
      </c>
    </row>
    <row r="1593" spans="1:60" x14ac:dyDescent="0.25">
      <c r="A1593" t="s">
        <v>4422</v>
      </c>
      <c r="B1593" t="s">
        <v>315</v>
      </c>
      <c r="C1593" t="s">
        <v>4423</v>
      </c>
      <c r="D1593" t="s">
        <v>4424</v>
      </c>
      <c r="E1593" t="s">
        <v>4425</v>
      </c>
      <c r="F1593" t="s">
        <v>222</v>
      </c>
      <c r="G1593" t="s">
        <v>4426</v>
      </c>
      <c r="H1593" t="s">
        <v>132</v>
      </c>
      <c r="I1593" t="s">
        <v>67</v>
      </c>
      <c r="J1593" t="s">
        <v>68</v>
      </c>
      <c r="K1593" t="s">
        <v>69</v>
      </c>
      <c r="L1593" t="s">
        <v>4427</v>
      </c>
      <c r="M1593" t="s">
        <v>71</v>
      </c>
      <c r="N1593" t="s">
        <v>198</v>
      </c>
      <c r="O1593" t="s">
        <v>199</v>
      </c>
      <c r="P1593" t="s">
        <v>200</v>
      </c>
      <c r="R1593" t="s">
        <v>4192</v>
      </c>
      <c r="S1593" t="s">
        <v>223</v>
      </c>
      <c r="T1593" t="s">
        <v>291</v>
      </c>
      <c r="U1593" t="s">
        <v>383</v>
      </c>
      <c r="V1593" t="s">
        <v>384</v>
      </c>
      <c r="W1593">
        <v>990</v>
      </c>
      <c r="X1593">
        <v>39.99</v>
      </c>
      <c r="Y1593">
        <v>129</v>
      </c>
      <c r="Z1593">
        <v>709000</v>
      </c>
      <c r="AA1593">
        <v>455400</v>
      </c>
      <c r="AB1593">
        <v>560</v>
      </c>
      <c r="AD1593" t="s">
        <v>238</v>
      </c>
      <c r="AE1593">
        <v>2</v>
      </c>
      <c r="AF1593">
        <v>0</v>
      </c>
      <c r="AI1593">
        <v>10</v>
      </c>
      <c r="AJ1593">
        <v>40</v>
      </c>
      <c r="AK1593">
        <v>50</v>
      </c>
      <c r="AL1593">
        <v>460</v>
      </c>
      <c r="AM1593">
        <v>0</v>
      </c>
      <c r="AN1593">
        <v>0</v>
      </c>
      <c r="AO1593">
        <v>0</v>
      </c>
      <c r="AP1593" t="s">
        <v>69</v>
      </c>
      <c r="AT1593" t="s">
        <v>240</v>
      </c>
      <c r="AU1593" t="s">
        <v>86</v>
      </c>
      <c r="AV1593" t="s">
        <v>4428</v>
      </c>
      <c r="AW1593" t="s">
        <v>69</v>
      </c>
      <c r="AX1593" t="s">
        <v>126</v>
      </c>
      <c r="AY1593" t="s">
        <v>4417</v>
      </c>
      <c r="AZ1593" t="s">
        <v>244</v>
      </c>
      <c r="BA1593" t="s">
        <v>245</v>
      </c>
      <c r="BB1593" t="s">
        <v>244</v>
      </c>
      <c r="BC1593" t="s">
        <v>264</v>
      </c>
      <c r="BD1593" t="s">
        <v>4435</v>
      </c>
      <c r="BE1593" t="s">
        <v>4430</v>
      </c>
      <c r="BF1593" t="s">
        <v>291</v>
      </c>
      <c r="BG1593" t="s">
        <v>110</v>
      </c>
      <c r="BH1593" t="str">
        <f>IF(COUNTIF(工作表1!A:A, $C1593)&gt;0, "預購款", "非預購款")</f>
        <v>非預購款</v>
      </c>
    </row>
    <row r="1594" spans="1:60" x14ac:dyDescent="0.25">
      <c r="A1594" t="s">
        <v>4436</v>
      </c>
      <c r="B1594" t="s">
        <v>4380</v>
      </c>
      <c r="C1594" t="s">
        <v>4437</v>
      </c>
      <c r="D1594" t="s">
        <v>4438</v>
      </c>
      <c r="E1594" t="s">
        <v>4439</v>
      </c>
      <c r="F1594" t="s">
        <v>222</v>
      </c>
      <c r="G1594" t="s">
        <v>4258</v>
      </c>
      <c r="H1594" t="s">
        <v>566</v>
      </c>
      <c r="I1594" t="s">
        <v>97</v>
      </c>
      <c r="J1594" t="s">
        <v>98</v>
      </c>
      <c r="K1594" t="s">
        <v>69</v>
      </c>
      <c r="M1594" t="s">
        <v>71</v>
      </c>
      <c r="N1594" t="s">
        <v>198</v>
      </c>
      <c r="O1594" t="s">
        <v>1307</v>
      </c>
      <c r="P1594" t="s">
        <v>1308</v>
      </c>
      <c r="S1594" t="s">
        <v>190</v>
      </c>
      <c r="T1594" t="s">
        <v>4229</v>
      </c>
      <c r="U1594" t="s">
        <v>527</v>
      </c>
      <c r="V1594" t="s">
        <v>554</v>
      </c>
      <c r="W1594">
        <v>350</v>
      </c>
      <c r="X1594">
        <v>16.989999999999998</v>
      </c>
      <c r="Y1594">
        <v>49</v>
      </c>
      <c r="Z1594">
        <v>279000</v>
      </c>
      <c r="AA1594">
        <v>31500</v>
      </c>
      <c r="AB1594">
        <v>0</v>
      </c>
      <c r="AD1594" t="s">
        <v>238</v>
      </c>
      <c r="AE1594">
        <v>2</v>
      </c>
      <c r="AF1594">
        <v>0</v>
      </c>
      <c r="AI1594">
        <v>0</v>
      </c>
      <c r="AJ1594">
        <v>40</v>
      </c>
      <c r="AK1594">
        <v>40</v>
      </c>
      <c r="AL1594">
        <v>90</v>
      </c>
      <c r="AM1594">
        <v>0</v>
      </c>
      <c r="AN1594">
        <v>0</v>
      </c>
      <c r="AO1594">
        <v>0</v>
      </c>
      <c r="AP1594" t="s">
        <v>69</v>
      </c>
      <c r="AT1594" t="s">
        <v>261</v>
      </c>
      <c r="AV1594" t="s">
        <v>4440</v>
      </c>
      <c r="AW1594" t="s">
        <v>69</v>
      </c>
      <c r="AY1594" t="s">
        <v>4441</v>
      </c>
      <c r="BD1594" t="s">
        <v>4442</v>
      </c>
      <c r="BE1594" t="s">
        <v>4443</v>
      </c>
      <c r="BH1594" t="str">
        <f>IF(COUNTIF(工作表1!A:A, $C1594)&gt;0, "預購款", "非預購款")</f>
        <v>非預購款</v>
      </c>
    </row>
    <row r="1595" spans="1:60" x14ac:dyDescent="0.25">
      <c r="A1595" t="s">
        <v>4436</v>
      </c>
      <c r="B1595" t="s">
        <v>4380</v>
      </c>
      <c r="C1595" t="s">
        <v>4437</v>
      </c>
      <c r="D1595" t="s">
        <v>4438</v>
      </c>
      <c r="E1595" t="s">
        <v>4439</v>
      </c>
      <c r="F1595" t="s">
        <v>222</v>
      </c>
      <c r="G1595" t="s">
        <v>4258</v>
      </c>
      <c r="H1595" t="s">
        <v>566</v>
      </c>
      <c r="I1595" t="s">
        <v>422</v>
      </c>
      <c r="J1595" t="s">
        <v>423</v>
      </c>
      <c r="K1595" t="s">
        <v>69</v>
      </c>
      <c r="M1595" t="s">
        <v>71</v>
      </c>
      <c r="N1595" t="s">
        <v>198</v>
      </c>
      <c r="O1595" t="s">
        <v>1307</v>
      </c>
      <c r="P1595" t="s">
        <v>1308</v>
      </c>
      <c r="S1595" t="s">
        <v>190</v>
      </c>
      <c r="T1595" t="s">
        <v>4229</v>
      </c>
      <c r="U1595" t="s">
        <v>527</v>
      </c>
      <c r="V1595" t="s">
        <v>554</v>
      </c>
      <c r="W1595">
        <v>350</v>
      </c>
      <c r="X1595">
        <v>16.989999999999998</v>
      </c>
      <c r="Y1595">
        <v>49</v>
      </c>
      <c r="Z1595">
        <v>279000</v>
      </c>
      <c r="AA1595">
        <v>31500</v>
      </c>
      <c r="AB1595">
        <v>0</v>
      </c>
      <c r="AD1595" t="s">
        <v>238</v>
      </c>
      <c r="AE1595">
        <v>2</v>
      </c>
      <c r="AF1595">
        <v>0</v>
      </c>
      <c r="AI1595">
        <v>0</v>
      </c>
      <c r="AJ1595">
        <v>50</v>
      </c>
      <c r="AK1595">
        <v>50</v>
      </c>
      <c r="AL1595">
        <v>90</v>
      </c>
      <c r="AM1595">
        <v>0</v>
      </c>
      <c r="AN1595">
        <v>0</v>
      </c>
      <c r="AO1595">
        <v>0</v>
      </c>
      <c r="AP1595" t="s">
        <v>69</v>
      </c>
      <c r="AT1595" t="s">
        <v>261</v>
      </c>
      <c r="AV1595" t="s">
        <v>4440</v>
      </c>
      <c r="AW1595" t="s">
        <v>69</v>
      </c>
      <c r="AY1595" t="s">
        <v>4441</v>
      </c>
      <c r="BD1595" t="s">
        <v>4444</v>
      </c>
      <c r="BE1595" t="s">
        <v>4443</v>
      </c>
      <c r="BH1595" t="str">
        <f>IF(COUNTIF(工作表1!A:A, $C1595)&gt;0, "預購款", "非預購款")</f>
        <v>非預購款</v>
      </c>
    </row>
    <row r="1596" spans="1:60" x14ac:dyDescent="0.25">
      <c r="A1596" t="s">
        <v>4445</v>
      </c>
      <c r="B1596" t="s">
        <v>315</v>
      </c>
      <c r="C1596" t="s">
        <v>4446</v>
      </c>
      <c r="D1596" t="s">
        <v>4447</v>
      </c>
      <c r="E1596" t="s">
        <v>4448</v>
      </c>
      <c r="F1596" t="s">
        <v>222</v>
      </c>
      <c r="G1596" t="s">
        <v>4449</v>
      </c>
      <c r="H1596" t="s">
        <v>119</v>
      </c>
      <c r="I1596" t="s">
        <v>1552</v>
      </c>
      <c r="J1596" t="s">
        <v>1553</v>
      </c>
      <c r="K1596" t="s">
        <v>69</v>
      </c>
      <c r="L1596" t="s">
        <v>4450</v>
      </c>
      <c r="M1596" t="s">
        <v>71</v>
      </c>
      <c r="N1596" t="s">
        <v>198</v>
      </c>
      <c r="O1596" t="s">
        <v>199</v>
      </c>
      <c r="P1596" t="s">
        <v>200</v>
      </c>
      <c r="R1596" t="s">
        <v>4192</v>
      </c>
      <c r="S1596" t="s">
        <v>223</v>
      </c>
      <c r="T1596" t="s">
        <v>258</v>
      </c>
      <c r="U1596" t="s">
        <v>150</v>
      </c>
      <c r="V1596" t="s">
        <v>1827</v>
      </c>
      <c r="W1596">
        <v>690</v>
      </c>
      <c r="X1596">
        <v>29.99</v>
      </c>
      <c r="Y1596">
        <v>89</v>
      </c>
      <c r="Z1596">
        <v>499000</v>
      </c>
      <c r="AA1596">
        <v>134550</v>
      </c>
      <c r="AB1596">
        <v>160</v>
      </c>
      <c r="AD1596" t="s">
        <v>238</v>
      </c>
      <c r="AE1596">
        <v>1</v>
      </c>
      <c r="AF1596">
        <v>10</v>
      </c>
      <c r="AI1596">
        <v>0</v>
      </c>
      <c r="AJ1596">
        <v>120</v>
      </c>
      <c r="AK1596">
        <v>130</v>
      </c>
      <c r="AL1596">
        <v>195</v>
      </c>
      <c r="AM1596">
        <v>0</v>
      </c>
      <c r="AN1596">
        <v>0</v>
      </c>
      <c r="AO1596">
        <v>0</v>
      </c>
      <c r="AP1596" t="s">
        <v>69</v>
      </c>
      <c r="AR1596" t="s">
        <v>86</v>
      </c>
      <c r="AS1596" t="s">
        <v>261</v>
      </c>
      <c r="AT1596" t="s">
        <v>86</v>
      </c>
      <c r="AU1596" t="s">
        <v>86</v>
      </c>
      <c r="AV1596" t="s">
        <v>3190</v>
      </c>
      <c r="AW1596" t="s">
        <v>69</v>
      </c>
      <c r="AX1596" t="s">
        <v>126</v>
      </c>
      <c r="AY1596" t="s">
        <v>4451</v>
      </c>
      <c r="AZ1596" t="s">
        <v>243</v>
      </c>
      <c r="BA1596" t="s">
        <v>264</v>
      </c>
      <c r="BB1596" t="s">
        <v>244</v>
      </c>
      <c r="BC1596" t="s">
        <v>245</v>
      </c>
      <c r="BD1596" t="s">
        <v>4452</v>
      </c>
      <c r="BE1596" t="s">
        <v>4453</v>
      </c>
      <c r="BF1596" t="s">
        <v>240</v>
      </c>
      <c r="BG1596" t="s">
        <v>87</v>
      </c>
      <c r="BH1596" t="str">
        <f>IF(COUNTIF(工作表1!A:A, $C1596)&gt;0, "預購款", "非預購款")</f>
        <v>非預購款</v>
      </c>
    </row>
    <row r="1597" spans="1:60" x14ac:dyDescent="0.25">
      <c r="A1597" t="s">
        <v>4445</v>
      </c>
      <c r="B1597" t="s">
        <v>315</v>
      </c>
      <c r="C1597" t="s">
        <v>4446</v>
      </c>
      <c r="D1597" t="s">
        <v>4447</v>
      </c>
      <c r="E1597" t="s">
        <v>4448</v>
      </c>
      <c r="F1597" t="s">
        <v>222</v>
      </c>
      <c r="G1597" t="s">
        <v>4449</v>
      </c>
      <c r="H1597" t="s">
        <v>130</v>
      </c>
      <c r="I1597" t="s">
        <v>1552</v>
      </c>
      <c r="J1597" t="s">
        <v>1553</v>
      </c>
      <c r="K1597" t="s">
        <v>69</v>
      </c>
      <c r="L1597" t="s">
        <v>4450</v>
      </c>
      <c r="M1597" t="s">
        <v>71</v>
      </c>
      <c r="N1597" t="s">
        <v>198</v>
      </c>
      <c r="O1597" t="s">
        <v>199</v>
      </c>
      <c r="P1597" t="s">
        <v>200</v>
      </c>
      <c r="R1597" t="s">
        <v>4192</v>
      </c>
      <c r="S1597" t="s">
        <v>223</v>
      </c>
      <c r="T1597" t="s">
        <v>258</v>
      </c>
      <c r="U1597" t="s">
        <v>150</v>
      </c>
      <c r="V1597" t="s">
        <v>1827</v>
      </c>
      <c r="W1597">
        <v>690</v>
      </c>
      <c r="X1597">
        <v>29.99</v>
      </c>
      <c r="Y1597">
        <v>89</v>
      </c>
      <c r="Z1597">
        <v>499000</v>
      </c>
      <c r="AA1597">
        <v>134550</v>
      </c>
      <c r="AB1597">
        <v>160</v>
      </c>
      <c r="AD1597" t="s">
        <v>238</v>
      </c>
      <c r="AE1597">
        <v>1</v>
      </c>
      <c r="AF1597">
        <v>5</v>
      </c>
      <c r="AI1597">
        <v>0</v>
      </c>
      <c r="AJ1597">
        <v>60</v>
      </c>
      <c r="AK1597">
        <v>65</v>
      </c>
      <c r="AL1597">
        <v>195</v>
      </c>
      <c r="AM1597">
        <v>0</v>
      </c>
      <c r="AN1597">
        <v>0</v>
      </c>
      <c r="AO1597">
        <v>0</v>
      </c>
      <c r="AP1597" t="s">
        <v>69</v>
      </c>
      <c r="AR1597" t="s">
        <v>86</v>
      </c>
      <c r="AS1597" t="s">
        <v>261</v>
      </c>
      <c r="AT1597" t="s">
        <v>86</v>
      </c>
      <c r="AU1597" t="s">
        <v>86</v>
      </c>
      <c r="AV1597" t="s">
        <v>3190</v>
      </c>
      <c r="AW1597" t="s">
        <v>69</v>
      </c>
      <c r="AX1597" t="s">
        <v>126</v>
      </c>
      <c r="AY1597" t="s">
        <v>4451</v>
      </c>
      <c r="AZ1597" t="s">
        <v>243</v>
      </c>
      <c r="BA1597" t="s">
        <v>264</v>
      </c>
      <c r="BB1597" t="s">
        <v>244</v>
      </c>
      <c r="BC1597" t="s">
        <v>245</v>
      </c>
      <c r="BD1597" t="s">
        <v>4454</v>
      </c>
      <c r="BE1597" t="s">
        <v>4453</v>
      </c>
      <c r="BF1597" t="s">
        <v>240</v>
      </c>
      <c r="BG1597" t="s">
        <v>87</v>
      </c>
      <c r="BH1597" t="str">
        <f>IF(COUNTIF(工作表1!A:A, $C1597)&gt;0, "預購款", "非預購款")</f>
        <v>非預購款</v>
      </c>
    </row>
    <row r="1598" spans="1:60" x14ac:dyDescent="0.25">
      <c r="B1598" t="s">
        <v>4380</v>
      </c>
      <c r="C1598" t="s">
        <v>4455</v>
      </c>
      <c r="D1598" t="s">
        <v>4456</v>
      </c>
      <c r="E1598" t="s">
        <v>4457</v>
      </c>
      <c r="F1598" t="s">
        <v>222</v>
      </c>
      <c r="G1598" t="s">
        <v>4268</v>
      </c>
      <c r="H1598" t="s">
        <v>566</v>
      </c>
      <c r="I1598" t="s">
        <v>422</v>
      </c>
      <c r="J1598" t="s">
        <v>423</v>
      </c>
      <c r="K1598" t="s">
        <v>69</v>
      </c>
      <c r="M1598" t="s">
        <v>71</v>
      </c>
      <c r="N1598" t="s">
        <v>198</v>
      </c>
      <c r="O1598" t="s">
        <v>1307</v>
      </c>
      <c r="P1598" t="s">
        <v>1308</v>
      </c>
      <c r="S1598" t="s">
        <v>190</v>
      </c>
      <c r="T1598" t="s">
        <v>4229</v>
      </c>
      <c r="U1598" t="s">
        <v>527</v>
      </c>
      <c r="V1598" t="s">
        <v>554</v>
      </c>
      <c r="W1598">
        <v>450</v>
      </c>
      <c r="X1598">
        <v>22.99</v>
      </c>
      <c r="Y1598">
        <v>55</v>
      </c>
      <c r="Z1598">
        <v>339000</v>
      </c>
      <c r="AA1598">
        <v>22500</v>
      </c>
      <c r="AB1598">
        <v>0</v>
      </c>
      <c r="AD1598" t="s">
        <v>238</v>
      </c>
      <c r="AE1598">
        <v>1</v>
      </c>
      <c r="AF1598">
        <v>0</v>
      </c>
      <c r="AI1598">
        <v>0</v>
      </c>
      <c r="AJ1598">
        <v>50</v>
      </c>
      <c r="AK1598">
        <v>50</v>
      </c>
      <c r="AL1598">
        <v>50</v>
      </c>
      <c r="AM1598">
        <v>0</v>
      </c>
      <c r="AN1598">
        <v>0</v>
      </c>
      <c r="AO1598">
        <v>0</v>
      </c>
      <c r="AP1598" t="s">
        <v>69</v>
      </c>
      <c r="AT1598" t="s">
        <v>261</v>
      </c>
      <c r="AV1598" t="s">
        <v>4458</v>
      </c>
      <c r="AW1598" t="s">
        <v>69</v>
      </c>
      <c r="AY1598" t="s">
        <v>4231</v>
      </c>
      <c r="BD1598" t="s">
        <v>4459</v>
      </c>
      <c r="BE1598" t="s">
        <v>4460</v>
      </c>
      <c r="BH1598" t="str">
        <f>IF(COUNTIF(工作表1!A:A, $C1598)&gt;0, "預購款", "非預購款")</f>
        <v>非預購款</v>
      </c>
    </row>
    <row r="1599" spans="1:60" x14ac:dyDescent="0.25">
      <c r="A1599" t="s">
        <v>4461</v>
      </c>
      <c r="B1599" t="s">
        <v>315</v>
      </c>
      <c r="C1599" t="s">
        <v>4462</v>
      </c>
      <c r="D1599" t="s">
        <v>4463</v>
      </c>
      <c r="E1599" t="s">
        <v>4464</v>
      </c>
      <c r="F1599" t="s">
        <v>222</v>
      </c>
      <c r="G1599" t="s">
        <v>4465</v>
      </c>
      <c r="H1599" t="s">
        <v>119</v>
      </c>
      <c r="I1599" t="s">
        <v>1552</v>
      </c>
      <c r="J1599" t="s">
        <v>1553</v>
      </c>
      <c r="K1599" t="s">
        <v>69</v>
      </c>
      <c r="L1599" t="s">
        <v>4466</v>
      </c>
      <c r="M1599" t="s">
        <v>71</v>
      </c>
      <c r="N1599" t="s">
        <v>198</v>
      </c>
      <c r="O1599" t="s">
        <v>199</v>
      </c>
      <c r="P1599" t="s">
        <v>200</v>
      </c>
      <c r="R1599" t="s">
        <v>4192</v>
      </c>
      <c r="S1599" t="s">
        <v>223</v>
      </c>
      <c r="T1599" t="s">
        <v>258</v>
      </c>
      <c r="U1599" t="s">
        <v>146</v>
      </c>
      <c r="V1599" t="s">
        <v>144</v>
      </c>
      <c r="W1599">
        <v>990</v>
      </c>
      <c r="X1599">
        <v>39.99</v>
      </c>
      <c r="Y1599">
        <v>129</v>
      </c>
      <c r="Z1599">
        <v>709000</v>
      </c>
      <c r="AA1599">
        <v>173250</v>
      </c>
      <c r="AB1599">
        <v>450</v>
      </c>
      <c r="AD1599" t="s">
        <v>238</v>
      </c>
      <c r="AE1599">
        <v>1</v>
      </c>
      <c r="AF1599">
        <v>10</v>
      </c>
      <c r="AI1599">
        <v>0</v>
      </c>
      <c r="AJ1599">
        <v>80</v>
      </c>
      <c r="AK1599">
        <v>90</v>
      </c>
      <c r="AL1599">
        <v>175</v>
      </c>
      <c r="AM1599">
        <v>0</v>
      </c>
      <c r="AN1599">
        <v>0</v>
      </c>
      <c r="AO1599">
        <v>0</v>
      </c>
      <c r="AP1599" t="s">
        <v>69</v>
      </c>
      <c r="AR1599" t="s">
        <v>261</v>
      </c>
      <c r="AS1599" t="s">
        <v>261</v>
      </c>
      <c r="AT1599" t="s">
        <v>86</v>
      </c>
      <c r="AU1599" t="s">
        <v>86</v>
      </c>
      <c r="AV1599" t="s">
        <v>4467</v>
      </c>
      <c r="AW1599" t="s">
        <v>69</v>
      </c>
      <c r="AX1599" t="s">
        <v>126</v>
      </c>
      <c r="AY1599" t="s">
        <v>4468</v>
      </c>
      <c r="AZ1599" t="s">
        <v>243</v>
      </c>
      <c r="BA1599" t="s">
        <v>245</v>
      </c>
      <c r="BB1599" t="s">
        <v>244</v>
      </c>
      <c r="BC1599" t="s">
        <v>245</v>
      </c>
      <c r="BD1599" t="s">
        <v>4469</v>
      </c>
      <c r="BE1599" t="s">
        <v>4470</v>
      </c>
      <c r="BF1599" t="s">
        <v>240</v>
      </c>
      <c r="BG1599" t="s">
        <v>87</v>
      </c>
      <c r="BH1599" t="str">
        <f>IF(COUNTIF(工作表1!A:A, $C1599)&gt;0, "預購款", "非預購款")</f>
        <v>非預購款</v>
      </c>
    </row>
    <row r="1600" spans="1:60" x14ac:dyDescent="0.25">
      <c r="A1600" t="s">
        <v>4461</v>
      </c>
      <c r="B1600" t="s">
        <v>315</v>
      </c>
      <c r="C1600" t="s">
        <v>4462</v>
      </c>
      <c r="D1600" t="s">
        <v>4463</v>
      </c>
      <c r="E1600" t="s">
        <v>4464</v>
      </c>
      <c r="F1600" t="s">
        <v>222</v>
      </c>
      <c r="G1600" t="s">
        <v>4465</v>
      </c>
      <c r="H1600" t="s">
        <v>130</v>
      </c>
      <c r="I1600" t="s">
        <v>1552</v>
      </c>
      <c r="J1600" t="s">
        <v>1553</v>
      </c>
      <c r="K1600" t="s">
        <v>69</v>
      </c>
      <c r="L1600" t="s">
        <v>4466</v>
      </c>
      <c r="M1600" t="s">
        <v>71</v>
      </c>
      <c r="N1600" t="s">
        <v>198</v>
      </c>
      <c r="O1600" t="s">
        <v>199</v>
      </c>
      <c r="P1600" t="s">
        <v>200</v>
      </c>
      <c r="R1600" t="s">
        <v>4192</v>
      </c>
      <c r="S1600" t="s">
        <v>223</v>
      </c>
      <c r="T1600" t="s">
        <v>258</v>
      </c>
      <c r="U1600" t="s">
        <v>146</v>
      </c>
      <c r="V1600" t="s">
        <v>144</v>
      </c>
      <c r="W1600">
        <v>990</v>
      </c>
      <c r="X1600">
        <v>39.99</v>
      </c>
      <c r="Y1600">
        <v>129</v>
      </c>
      <c r="Z1600">
        <v>709000</v>
      </c>
      <c r="AA1600">
        <v>173250</v>
      </c>
      <c r="AB1600">
        <v>450</v>
      </c>
      <c r="AD1600" t="s">
        <v>238</v>
      </c>
      <c r="AE1600">
        <v>1</v>
      </c>
      <c r="AF1600">
        <v>5</v>
      </c>
      <c r="AI1600">
        <v>0</v>
      </c>
      <c r="AJ1600">
        <v>80</v>
      </c>
      <c r="AK1600">
        <v>85</v>
      </c>
      <c r="AL1600">
        <v>175</v>
      </c>
      <c r="AM1600">
        <v>0</v>
      </c>
      <c r="AN1600">
        <v>0</v>
      </c>
      <c r="AO1600">
        <v>0</v>
      </c>
      <c r="AP1600" t="s">
        <v>69</v>
      </c>
      <c r="AR1600" t="s">
        <v>261</v>
      </c>
      <c r="AS1600" t="s">
        <v>261</v>
      </c>
      <c r="AT1600" t="s">
        <v>86</v>
      </c>
      <c r="AU1600" t="s">
        <v>86</v>
      </c>
      <c r="AV1600" t="s">
        <v>4467</v>
      </c>
      <c r="AW1600" t="s">
        <v>69</v>
      </c>
      <c r="AX1600" t="s">
        <v>126</v>
      </c>
      <c r="AY1600" t="s">
        <v>4468</v>
      </c>
      <c r="AZ1600" t="s">
        <v>243</v>
      </c>
      <c r="BA1600" t="s">
        <v>245</v>
      </c>
      <c r="BB1600" t="s">
        <v>244</v>
      </c>
      <c r="BC1600" t="s">
        <v>245</v>
      </c>
      <c r="BD1600" t="s">
        <v>4471</v>
      </c>
      <c r="BE1600" t="s">
        <v>4470</v>
      </c>
      <c r="BF1600" t="s">
        <v>240</v>
      </c>
      <c r="BG1600" t="s">
        <v>87</v>
      </c>
      <c r="BH1600" t="str">
        <f>IF(COUNTIF(工作表1!A:A, $C1600)&gt;0, "預購款", "非預購款")</f>
        <v>非預購款</v>
      </c>
    </row>
    <row r="1601" spans="1:60" x14ac:dyDescent="0.25">
      <c r="A1601" t="s">
        <v>4472</v>
      </c>
      <c r="B1601" t="s">
        <v>4380</v>
      </c>
      <c r="C1601" t="s">
        <v>4473</v>
      </c>
      <c r="D1601" t="s">
        <v>4474</v>
      </c>
      <c r="E1601" t="s">
        <v>4475</v>
      </c>
      <c r="F1601" t="s">
        <v>222</v>
      </c>
      <c r="G1601" t="s">
        <v>4277</v>
      </c>
      <c r="H1601" t="s">
        <v>566</v>
      </c>
      <c r="I1601" t="s">
        <v>97</v>
      </c>
      <c r="J1601" t="s">
        <v>98</v>
      </c>
      <c r="K1601" t="s">
        <v>69</v>
      </c>
      <c r="M1601" t="s">
        <v>71</v>
      </c>
      <c r="N1601" t="s">
        <v>198</v>
      </c>
      <c r="O1601" t="s">
        <v>1307</v>
      </c>
      <c r="P1601" t="s">
        <v>1308</v>
      </c>
      <c r="S1601" t="s">
        <v>190</v>
      </c>
      <c r="T1601" t="s">
        <v>4229</v>
      </c>
      <c r="U1601" t="s">
        <v>527</v>
      </c>
      <c r="V1601" t="s">
        <v>554</v>
      </c>
      <c r="W1601">
        <v>450</v>
      </c>
      <c r="X1601">
        <v>22.99</v>
      </c>
      <c r="Y1601">
        <v>55</v>
      </c>
      <c r="Z1601">
        <v>339000</v>
      </c>
      <c r="AA1601">
        <v>22500</v>
      </c>
      <c r="AB1601">
        <v>0</v>
      </c>
      <c r="AD1601" t="s">
        <v>238</v>
      </c>
      <c r="AE1601">
        <v>1</v>
      </c>
      <c r="AF1601">
        <v>0</v>
      </c>
      <c r="AI1601">
        <v>0</v>
      </c>
      <c r="AJ1601">
        <v>50</v>
      </c>
      <c r="AK1601">
        <v>50</v>
      </c>
      <c r="AL1601">
        <v>50</v>
      </c>
      <c r="AM1601">
        <v>0</v>
      </c>
      <c r="AN1601">
        <v>0</v>
      </c>
      <c r="AO1601">
        <v>0</v>
      </c>
      <c r="AP1601" t="s">
        <v>69</v>
      </c>
      <c r="AT1601" t="s">
        <v>261</v>
      </c>
      <c r="AV1601" t="s">
        <v>4458</v>
      </c>
      <c r="AW1601" t="s">
        <v>69</v>
      </c>
      <c r="AY1601" t="s">
        <v>4260</v>
      </c>
      <c r="BD1601" t="s">
        <v>4476</v>
      </c>
      <c r="BE1601" t="s">
        <v>4477</v>
      </c>
      <c r="BH1601" t="str">
        <f>IF(COUNTIF(工作表1!A:A, $C1601)&gt;0, "預購款", "非預購款")</f>
        <v>非預購款</v>
      </c>
    </row>
    <row r="1602" spans="1:60" x14ac:dyDescent="0.25">
      <c r="A1602" t="s">
        <v>4478</v>
      </c>
      <c r="B1602" t="s">
        <v>678</v>
      </c>
      <c r="C1602" t="s">
        <v>4479</v>
      </c>
      <c r="D1602" t="s">
        <v>4480</v>
      </c>
      <c r="E1602" t="s">
        <v>4481</v>
      </c>
      <c r="F1602" t="s">
        <v>222</v>
      </c>
      <c r="G1602" t="s">
        <v>4482</v>
      </c>
      <c r="H1602" t="s">
        <v>119</v>
      </c>
      <c r="I1602" t="s">
        <v>120</v>
      </c>
      <c r="J1602" t="s">
        <v>121</v>
      </c>
      <c r="K1602" t="s">
        <v>69</v>
      </c>
      <c r="L1602" t="s">
        <v>4483</v>
      </c>
      <c r="M1602" t="s">
        <v>71</v>
      </c>
      <c r="N1602" t="s">
        <v>198</v>
      </c>
      <c r="O1602" t="s">
        <v>3966</v>
      </c>
      <c r="P1602" t="s">
        <v>3967</v>
      </c>
      <c r="R1602" t="s">
        <v>1798</v>
      </c>
      <c r="S1602" t="s">
        <v>223</v>
      </c>
      <c r="T1602" t="s">
        <v>258</v>
      </c>
      <c r="U1602" t="s">
        <v>502</v>
      </c>
      <c r="V1602" t="s">
        <v>1512</v>
      </c>
      <c r="W1602">
        <v>1080</v>
      </c>
      <c r="X1602">
        <v>44.99</v>
      </c>
      <c r="Y1602">
        <v>139</v>
      </c>
      <c r="Z1602">
        <v>779000</v>
      </c>
      <c r="AA1602">
        <v>660960</v>
      </c>
      <c r="AB1602">
        <v>390</v>
      </c>
      <c r="AD1602" t="s">
        <v>238</v>
      </c>
      <c r="AE1602">
        <v>2</v>
      </c>
      <c r="AF1602">
        <v>20</v>
      </c>
      <c r="AI1602">
        <v>20</v>
      </c>
      <c r="AJ1602">
        <v>70</v>
      </c>
      <c r="AK1602">
        <v>110</v>
      </c>
      <c r="AL1602">
        <v>612</v>
      </c>
      <c r="AM1602">
        <v>0</v>
      </c>
      <c r="AN1602">
        <v>0</v>
      </c>
      <c r="AO1602">
        <v>0</v>
      </c>
      <c r="AP1602" t="s">
        <v>69</v>
      </c>
      <c r="AR1602" t="s">
        <v>86</v>
      </c>
      <c r="AS1602" t="s">
        <v>240</v>
      </c>
      <c r="AT1602" t="s">
        <v>86</v>
      </c>
      <c r="AU1602" t="s">
        <v>86</v>
      </c>
      <c r="AV1602" t="s">
        <v>4484</v>
      </c>
      <c r="AW1602" t="s">
        <v>80</v>
      </c>
      <c r="AX1602" t="s">
        <v>218</v>
      </c>
      <c r="AY1602" t="s">
        <v>4485</v>
      </c>
      <c r="AZ1602" t="s">
        <v>245</v>
      </c>
      <c r="BA1602" t="s">
        <v>245</v>
      </c>
      <c r="BB1602" t="s">
        <v>244</v>
      </c>
      <c r="BC1602" t="s">
        <v>244</v>
      </c>
      <c r="BD1602" t="s">
        <v>4486</v>
      </c>
      <c r="BE1602" t="s">
        <v>4487</v>
      </c>
      <c r="BF1602" t="s">
        <v>240</v>
      </c>
      <c r="BG1602" t="s">
        <v>150</v>
      </c>
      <c r="BH1602" t="str">
        <f>IF(COUNTIF(工作表1!A:A, $C1602)&gt;0, "預購款", "非預購款")</f>
        <v>非預購款</v>
      </c>
    </row>
    <row r="1603" spans="1:60" x14ac:dyDescent="0.25">
      <c r="A1603" t="s">
        <v>4478</v>
      </c>
      <c r="B1603" t="s">
        <v>678</v>
      </c>
      <c r="C1603" t="s">
        <v>4479</v>
      </c>
      <c r="D1603" t="s">
        <v>4480</v>
      </c>
      <c r="E1603" t="s">
        <v>4481</v>
      </c>
      <c r="F1603" t="s">
        <v>222</v>
      </c>
      <c r="G1603" t="s">
        <v>4482</v>
      </c>
      <c r="H1603" t="s">
        <v>130</v>
      </c>
      <c r="I1603" t="s">
        <v>120</v>
      </c>
      <c r="J1603" t="s">
        <v>121</v>
      </c>
      <c r="K1603" t="s">
        <v>69</v>
      </c>
      <c r="L1603" t="s">
        <v>4483</v>
      </c>
      <c r="M1603" t="s">
        <v>71</v>
      </c>
      <c r="N1603" t="s">
        <v>198</v>
      </c>
      <c r="O1603" t="s">
        <v>3966</v>
      </c>
      <c r="P1603" t="s">
        <v>3967</v>
      </c>
      <c r="R1603" t="s">
        <v>1798</v>
      </c>
      <c r="S1603" t="s">
        <v>223</v>
      </c>
      <c r="T1603" t="s">
        <v>258</v>
      </c>
      <c r="U1603" t="s">
        <v>502</v>
      </c>
      <c r="V1603" t="s">
        <v>1512</v>
      </c>
      <c r="W1603">
        <v>1080</v>
      </c>
      <c r="X1603">
        <v>44.99</v>
      </c>
      <c r="Y1603">
        <v>139</v>
      </c>
      <c r="Z1603">
        <v>779000</v>
      </c>
      <c r="AA1603">
        <v>660960</v>
      </c>
      <c r="AB1603">
        <v>390</v>
      </c>
      <c r="AD1603" t="s">
        <v>238</v>
      </c>
      <c r="AE1603">
        <v>2</v>
      </c>
      <c r="AF1603">
        <v>12</v>
      </c>
      <c r="AI1603">
        <v>50</v>
      </c>
      <c r="AJ1603">
        <v>125</v>
      </c>
      <c r="AK1603">
        <v>187</v>
      </c>
      <c r="AL1603">
        <v>612</v>
      </c>
      <c r="AM1603">
        <v>0</v>
      </c>
      <c r="AN1603">
        <v>0</v>
      </c>
      <c r="AO1603">
        <v>0</v>
      </c>
      <c r="AP1603" t="s">
        <v>69</v>
      </c>
      <c r="AR1603" t="s">
        <v>86</v>
      </c>
      <c r="AS1603" t="s">
        <v>240</v>
      </c>
      <c r="AT1603" t="s">
        <v>86</v>
      </c>
      <c r="AU1603" t="s">
        <v>86</v>
      </c>
      <c r="AV1603" t="s">
        <v>4484</v>
      </c>
      <c r="AW1603" t="s">
        <v>80</v>
      </c>
      <c r="AX1603" t="s">
        <v>218</v>
      </c>
      <c r="AY1603" t="s">
        <v>4485</v>
      </c>
      <c r="AZ1603" t="s">
        <v>245</v>
      </c>
      <c r="BA1603" t="s">
        <v>245</v>
      </c>
      <c r="BB1603" t="s">
        <v>244</v>
      </c>
      <c r="BC1603" t="s">
        <v>244</v>
      </c>
      <c r="BD1603" t="s">
        <v>4488</v>
      </c>
      <c r="BE1603" t="s">
        <v>4487</v>
      </c>
      <c r="BF1603" t="s">
        <v>240</v>
      </c>
      <c r="BG1603" t="s">
        <v>150</v>
      </c>
      <c r="BH1603" t="str">
        <f>IF(COUNTIF(工作表1!A:A, $C1603)&gt;0, "預購款", "非預購款")</f>
        <v>非預購款</v>
      </c>
    </row>
    <row r="1604" spans="1:60" x14ac:dyDescent="0.25">
      <c r="A1604" t="s">
        <v>4478</v>
      </c>
      <c r="B1604" t="s">
        <v>678</v>
      </c>
      <c r="C1604" t="s">
        <v>4479</v>
      </c>
      <c r="D1604" t="s">
        <v>4480</v>
      </c>
      <c r="E1604" t="s">
        <v>4481</v>
      </c>
      <c r="F1604" t="s">
        <v>222</v>
      </c>
      <c r="G1604" t="s">
        <v>4482</v>
      </c>
      <c r="H1604" t="s">
        <v>132</v>
      </c>
      <c r="I1604" t="s">
        <v>120</v>
      </c>
      <c r="J1604" t="s">
        <v>121</v>
      </c>
      <c r="K1604" t="s">
        <v>69</v>
      </c>
      <c r="L1604" t="s">
        <v>4483</v>
      </c>
      <c r="M1604" t="s">
        <v>71</v>
      </c>
      <c r="N1604" t="s">
        <v>198</v>
      </c>
      <c r="O1604" t="s">
        <v>3966</v>
      </c>
      <c r="P1604" t="s">
        <v>3967</v>
      </c>
      <c r="R1604" t="s">
        <v>1798</v>
      </c>
      <c r="S1604" t="s">
        <v>223</v>
      </c>
      <c r="T1604" t="s">
        <v>258</v>
      </c>
      <c r="U1604" t="s">
        <v>502</v>
      </c>
      <c r="V1604" t="s">
        <v>1512</v>
      </c>
      <c r="W1604">
        <v>1080</v>
      </c>
      <c r="X1604">
        <v>44.99</v>
      </c>
      <c r="Y1604">
        <v>139</v>
      </c>
      <c r="Z1604">
        <v>779000</v>
      </c>
      <c r="AA1604">
        <v>660960</v>
      </c>
      <c r="AB1604">
        <v>390</v>
      </c>
      <c r="AD1604" t="s">
        <v>238</v>
      </c>
      <c r="AE1604">
        <v>2</v>
      </c>
      <c r="AF1604">
        <v>5</v>
      </c>
      <c r="AI1604">
        <v>30</v>
      </c>
      <c r="AJ1604">
        <v>35</v>
      </c>
      <c r="AK1604">
        <v>70</v>
      </c>
      <c r="AL1604">
        <v>612</v>
      </c>
      <c r="AM1604">
        <v>0</v>
      </c>
      <c r="AN1604">
        <v>0</v>
      </c>
      <c r="AO1604">
        <v>0</v>
      </c>
      <c r="AP1604" t="s">
        <v>69</v>
      </c>
      <c r="AR1604" t="s">
        <v>86</v>
      </c>
      <c r="AS1604" t="s">
        <v>240</v>
      </c>
      <c r="AT1604" t="s">
        <v>86</v>
      </c>
      <c r="AU1604" t="s">
        <v>86</v>
      </c>
      <c r="AV1604" t="s">
        <v>4484</v>
      </c>
      <c r="AW1604" t="s">
        <v>80</v>
      </c>
      <c r="AX1604" t="s">
        <v>218</v>
      </c>
      <c r="AY1604" t="s">
        <v>4485</v>
      </c>
      <c r="AZ1604" t="s">
        <v>245</v>
      </c>
      <c r="BA1604" t="s">
        <v>245</v>
      </c>
      <c r="BB1604" t="s">
        <v>244</v>
      </c>
      <c r="BC1604" t="s">
        <v>244</v>
      </c>
      <c r="BD1604" t="s">
        <v>4489</v>
      </c>
      <c r="BE1604" t="s">
        <v>4487</v>
      </c>
      <c r="BF1604" t="s">
        <v>240</v>
      </c>
      <c r="BG1604" t="s">
        <v>150</v>
      </c>
      <c r="BH1604" t="str">
        <f>IF(COUNTIF(工作表1!A:A, $C1604)&gt;0, "預購款", "非預購款")</f>
        <v>非預購款</v>
      </c>
    </row>
    <row r="1605" spans="1:60" x14ac:dyDescent="0.25">
      <c r="A1605" t="s">
        <v>4478</v>
      </c>
      <c r="B1605" t="s">
        <v>678</v>
      </c>
      <c r="C1605" t="s">
        <v>4479</v>
      </c>
      <c r="D1605" t="s">
        <v>4480</v>
      </c>
      <c r="E1605" t="s">
        <v>4481</v>
      </c>
      <c r="F1605" t="s">
        <v>222</v>
      </c>
      <c r="G1605" t="s">
        <v>4482</v>
      </c>
      <c r="H1605" t="s">
        <v>119</v>
      </c>
      <c r="I1605" t="s">
        <v>97</v>
      </c>
      <c r="J1605" t="s">
        <v>98</v>
      </c>
      <c r="K1605" t="s">
        <v>69</v>
      </c>
      <c r="L1605" t="s">
        <v>4483</v>
      </c>
      <c r="M1605" t="s">
        <v>71</v>
      </c>
      <c r="N1605" t="s">
        <v>198</v>
      </c>
      <c r="O1605" t="s">
        <v>3966</v>
      </c>
      <c r="P1605" t="s">
        <v>3967</v>
      </c>
      <c r="R1605" t="s">
        <v>1798</v>
      </c>
      <c r="S1605" t="s">
        <v>223</v>
      </c>
      <c r="T1605" t="s">
        <v>258</v>
      </c>
      <c r="U1605" t="s">
        <v>502</v>
      </c>
      <c r="V1605" t="s">
        <v>1512</v>
      </c>
      <c r="W1605">
        <v>1080</v>
      </c>
      <c r="X1605">
        <v>44.99</v>
      </c>
      <c r="Y1605">
        <v>139</v>
      </c>
      <c r="Z1605">
        <v>779000</v>
      </c>
      <c r="AA1605">
        <v>660960</v>
      </c>
      <c r="AB1605">
        <v>390</v>
      </c>
      <c r="AD1605" t="s">
        <v>238</v>
      </c>
      <c r="AE1605">
        <v>2</v>
      </c>
      <c r="AF1605">
        <v>15</v>
      </c>
      <c r="AI1605">
        <v>50</v>
      </c>
      <c r="AJ1605">
        <v>70</v>
      </c>
      <c r="AK1605">
        <v>135</v>
      </c>
      <c r="AL1605">
        <v>612</v>
      </c>
      <c r="AM1605">
        <v>0</v>
      </c>
      <c r="AN1605">
        <v>0</v>
      </c>
      <c r="AO1605">
        <v>0</v>
      </c>
      <c r="AP1605" t="s">
        <v>69</v>
      </c>
      <c r="AR1605" t="s">
        <v>86</v>
      </c>
      <c r="AS1605" t="s">
        <v>240</v>
      </c>
      <c r="AT1605" t="s">
        <v>86</v>
      </c>
      <c r="AU1605" t="s">
        <v>86</v>
      </c>
      <c r="AV1605" t="s">
        <v>4484</v>
      </c>
      <c r="AW1605" t="s">
        <v>80</v>
      </c>
      <c r="AX1605" t="s">
        <v>218</v>
      </c>
      <c r="AY1605" t="s">
        <v>4485</v>
      </c>
      <c r="AZ1605" t="s">
        <v>245</v>
      </c>
      <c r="BA1605" t="s">
        <v>245</v>
      </c>
      <c r="BB1605" t="s">
        <v>244</v>
      </c>
      <c r="BC1605" t="s">
        <v>244</v>
      </c>
      <c r="BD1605" t="s">
        <v>4490</v>
      </c>
      <c r="BE1605" t="s">
        <v>4487</v>
      </c>
      <c r="BF1605" t="s">
        <v>240</v>
      </c>
      <c r="BG1605" t="s">
        <v>150</v>
      </c>
      <c r="BH1605" t="str">
        <f>IF(COUNTIF(工作表1!A:A, $C1605)&gt;0, "預購款", "非預購款")</f>
        <v>非預購款</v>
      </c>
    </row>
    <row r="1606" spans="1:60" x14ac:dyDescent="0.25">
      <c r="A1606" t="s">
        <v>4478</v>
      </c>
      <c r="B1606" t="s">
        <v>678</v>
      </c>
      <c r="C1606" t="s">
        <v>4479</v>
      </c>
      <c r="D1606" t="s">
        <v>4480</v>
      </c>
      <c r="E1606" t="s">
        <v>4481</v>
      </c>
      <c r="F1606" t="s">
        <v>222</v>
      </c>
      <c r="G1606" t="s">
        <v>4482</v>
      </c>
      <c r="H1606" t="s">
        <v>130</v>
      </c>
      <c r="I1606" t="s">
        <v>97</v>
      </c>
      <c r="J1606" t="s">
        <v>98</v>
      </c>
      <c r="K1606" t="s">
        <v>69</v>
      </c>
      <c r="L1606" t="s">
        <v>4483</v>
      </c>
      <c r="M1606" t="s">
        <v>71</v>
      </c>
      <c r="N1606" t="s">
        <v>198</v>
      </c>
      <c r="O1606" t="s">
        <v>3966</v>
      </c>
      <c r="P1606" t="s">
        <v>3967</v>
      </c>
      <c r="R1606" t="s">
        <v>1798</v>
      </c>
      <c r="S1606" t="s">
        <v>223</v>
      </c>
      <c r="T1606" t="s">
        <v>258</v>
      </c>
      <c r="U1606" t="s">
        <v>502</v>
      </c>
      <c r="V1606" t="s">
        <v>1512</v>
      </c>
      <c r="W1606">
        <v>1080</v>
      </c>
      <c r="X1606">
        <v>44.99</v>
      </c>
      <c r="Y1606">
        <v>139</v>
      </c>
      <c r="Z1606">
        <v>779000</v>
      </c>
      <c r="AA1606">
        <v>660960</v>
      </c>
      <c r="AB1606">
        <v>390</v>
      </c>
      <c r="AD1606" t="s">
        <v>238</v>
      </c>
      <c r="AE1606">
        <v>2</v>
      </c>
      <c r="AF1606">
        <v>10</v>
      </c>
      <c r="AI1606">
        <v>20</v>
      </c>
      <c r="AJ1606">
        <v>40</v>
      </c>
      <c r="AK1606">
        <v>70</v>
      </c>
      <c r="AL1606">
        <v>612</v>
      </c>
      <c r="AM1606">
        <v>0</v>
      </c>
      <c r="AN1606">
        <v>0</v>
      </c>
      <c r="AO1606">
        <v>0</v>
      </c>
      <c r="AP1606" t="s">
        <v>69</v>
      </c>
      <c r="AR1606" t="s">
        <v>86</v>
      </c>
      <c r="AS1606" t="s">
        <v>240</v>
      </c>
      <c r="AT1606" t="s">
        <v>86</v>
      </c>
      <c r="AU1606" t="s">
        <v>86</v>
      </c>
      <c r="AV1606" t="s">
        <v>4484</v>
      </c>
      <c r="AW1606" t="s">
        <v>80</v>
      </c>
      <c r="AX1606" t="s">
        <v>218</v>
      </c>
      <c r="AY1606" t="s">
        <v>4485</v>
      </c>
      <c r="AZ1606" t="s">
        <v>245</v>
      </c>
      <c r="BA1606" t="s">
        <v>245</v>
      </c>
      <c r="BB1606" t="s">
        <v>244</v>
      </c>
      <c r="BC1606" t="s">
        <v>244</v>
      </c>
      <c r="BD1606" t="s">
        <v>4491</v>
      </c>
      <c r="BE1606" t="s">
        <v>4487</v>
      </c>
      <c r="BF1606" t="s">
        <v>240</v>
      </c>
      <c r="BG1606" t="s">
        <v>150</v>
      </c>
      <c r="BH1606" t="str">
        <f>IF(COUNTIF(工作表1!A:A, $C1606)&gt;0, "預購款", "非預購款")</f>
        <v>非預購款</v>
      </c>
    </row>
    <row r="1607" spans="1:60" x14ac:dyDescent="0.25">
      <c r="A1607" t="s">
        <v>4478</v>
      </c>
      <c r="B1607" t="s">
        <v>678</v>
      </c>
      <c r="C1607" t="s">
        <v>4479</v>
      </c>
      <c r="D1607" t="s">
        <v>4480</v>
      </c>
      <c r="E1607" t="s">
        <v>4481</v>
      </c>
      <c r="F1607" t="s">
        <v>222</v>
      </c>
      <c r="G1607" t="s">
        <v>4482</v>
      </c>
      <c r="H1607" t="s">
        <v>132</v>
      </c>
      <c r="I1607" t="s">
        <v>97</v>
      </c>
      <c r="J1607" t="s">
        <v>98</v>
      </c>
      <c r="K1607" t="s">
        <v>69</v>
      </c>
      <c r="L1607" t="s">
        <v>4483</v>
      </c>
      <c r="M1607" t="s">
        <v>71</v>
      </c>
      <c r="N1607" t="s">
        <v>198</v>
      </c>
      <c r="O1607" t="s">
        <v>3966</v>
      </c>
      <c r="P1607" t="s">
        <v>3967</v>
      </c>
      <c r="R1607" t="s">
        <v>1798</v>
      </c>
      <c r="S1607" t="s">
        <v>223</v>
      </c>
      <c r="T1607" t="s">
        <v>258</v>
      </c>
      <c r="U1607" t="s">
        <v>502</v>
      </c>
      <c r="V1607" t="s">
        <v>1512</v>
      </c>
      <c r="W1607">
        <v>1080</v>
      </c>
      <c r="X1607">
        <v>44.99</v>
      </c>
      <c r="Y1607">
        <v>139</v>
      </c>
      <c r="Z1607">
        <v>779000</v>
      </c>
      <c r="AA1607">
        <v>660960</v>
      </c>
      <c r="AB1607">
        <v>390</v>
      </c>
      <c r="AD1607" t="s">
        <v>238</v>
      </c>
      <c r="AE1607">
        <v>2</v>
      </c>
      <c r="AF1607">
        <v>0</v>
      </c>
      <c r="AI1607">
        <v>15</v>
      </c>
      <c r="AJ1607">
        <v>25</v>
      </c>
      <c r="AK1607">
        <v>40</v>
      </c>
      <c r="AL1607">
        <v>612</v>
      </c>
      <c r="AM1607">
        <v>0</v>
      </c>
      <c r="AN1607">
        <v>0</v>
      </c>
      <c r="AO1607">
        <v>0</v>
      </c>
      <c r="AP1607" t="s">
        <v>69</v>
      </c>
      <c r="AR1607" t="s">
        <v>86</v>
      </c>
      <c r="AS1607" t="s">
        <v>240</v>
      </c>
      <c r="AT1607" t="s">
        <v>86</v>
      </c>
      <c r="AU1607" t="s">
        <v>86</v>
      </c>
      <c r="AV1607" t="s">
        <v>4484</v>
      </c>
      <c r="AW1607" t="s">
        <v>80</v>
      </c>
      <c r="AX1607" t="s">
        <v>218</v>
      </c>
      <c r="AY1607" t="s">
        <v>4485</v>
      </c>
      <c r="AZ1607" t="s">
        <v>245</v>
      </c>
      <c r="BA1607" t="s">
        <v>245</v>
      </c>
      <c r="BB1607" t="s">
        <v>244</v>
      </c>
      <c r="BC1607" t="s">
        <v>244</v>
      </c>
      <c r="BD1607" t="s">
        <v>4492</v>
      </c>
      <c r="BE1607" t="s">
        <v>4487</v>
      </c>
      <c r="BF1607" t="s">
        <v>240</v>
      </c>
      <c r="BG1607" t="s">
        <v>150</v>
      </c>
      <c r="BH1607" t="str">
        <f>IF(COUNTIF(工作表1!A:A, $C1607)&gt;0, "預購款", "非預購款")</f>
        <v>非預購款</v>
      </c>
    </row>
    <row r="1608" spans="1:60" x14ac:dyDescent="0.25">
      <c r="A1608" t="s">
        <v>4493</v>
      </c>
      <c r="B1608" t="s">
        <v>535</v>
      </c>
      <c r="C1608" t="s">
        <v>4494</v>
      </c>
      <c r="D1608" t="s">
        <v>4495</v>
      </c>
      <c r="E1608" t="s">
        <v>4496</v>
      </c>
      <c r="F1608" t="s">
        <v>222</v>
      </c>
      <c r="G1608" t="s">
        <v>4497</v>
      </c>
      <c r="H1608" t="s">
        <v>66</v>
      </c>
      <c r="I1608" t="s">
        <v>97</v>
      </c>
      <c r="J1608" t="s">
        <v>98</v>
      </c>
      <c r="K1608" t="s">
        <v>69</v>
      </c>
      <c r="L1608" t="s">
        <v>4498</v>
      </c>
      <c r="M1608" t="s">
        <v>71</v>
      </c>
      <c r="N1608" t="s">
        <v>198</v>
      </c>
      <c r="O1608" t="s">
        <v>199</v>
      </c>
      <c r="P1608" t="s">
        <v>200</v>
      </c>
      <c r="R1608" t="s">
        <v>4192</v>
      </c>
      <c r="S1608" t="s">
        <v>223</v>
      </c>
      <c r="T1608" t="s">
        <v>258</v>
      </c>
      <c r="U1608" t="s">
        <v>104</v>
      </c>
      <c r="V1608" t="s">
        <v>593</v>
      </c>
      <c r="W1608">
        <v>399</v>
      </c>
      <c r="X1608">
        <v>16.989999999999998</v>
      </c>
      <c r="Y1608">
        <v>49</v>
      </c>
      <c r="Z1608">
        <v>299000</v>
      </c>
      <c r="AA1608">
        <v>215460</v>
      </c>
      <c r="AB1608">
        <v>180</v>
      </c>
      <c r="AD1608" t="s">
        <v>238</v>
      </c>
      <c r="AE1608">
        <v>2</v>
      </c>
      <c r="AF1608">
        <v>30</v>
      </c>
      <c r="AI1608">
        <v>0</v>
      </c>
      <c r="AJ1608">
        <v>190</v>
      </c>
      <c r="AK1608">
        <v>220</v>
      </c>
      <c r="AL1608">
        <v>540</v>
      </c>
      <c r="AM1608">
        <v>0</v>
      </c>
      <c r="AN1608">
        <v>0</v>
      </c>
      <c r="AO1608">
        <v>0</v>
      </c>
      <c r="AP1608" t="s">
        <v>69</v>
      </c>
      <c r="AR1608" t="s">
        <v>86</v>
      </c>
      <c r="AS1608" t="s">
        <v>240</v>
      </c>
      <c r="AT1608" t="s">
        <v>86</v>
      </c>
      <c r="AU1608" t="s">
        <v>86</v>
      </c>
      <c r="AV1608" t="s">
        <v>4499</v>
      </c>
      <c r="AW1608" t="s">
        <v>69</v>
      </c>
      <c r="AX1608" t="s">
        <v>218</v>
      </c>
      <c r="AY1608" t="s">
        <v>219</v>
      </c>
      <c r="AZ1608" t="s">
        <v>243</v>
      </c>
      <c r="BA1608" t="s">
        <v>244</v>
      </c>
      <c r="BB1608" t="s">
        <v>244</v>
      </c>
      <c r="BC1608" t="s">
        <v>264</v>
      </c>
      <c r="BD1608" t="s">
        <v>4500</v>
      </c>
      <c r="BE1608" t="s">
        <v>4501</v>
      </c>
      <c r="BF1608" t="s">
        <v>240</v>
      </c>
      <c r="BG1608" t="s">
        <v>150</v>
      </c>
      <c r="BH1608" t="str">
        <f>IF(COUNTIF(工作表1!A:A, $C1608)&gt;0, "預購款", "非預購款")</f>
        <v>非預購款</v>
      </c>
    </row>
    <row r="1609" spans="1:60" x14ac:dyDescent="0.25">
      <c r="A1609" t="s">
        <v>4493</v>
      </c>
      <c r="B1609" t="s">
        <v>535</v>
      </c>
      <c r="C1609" t="s">
        <v>4494</v>
      </c>
      <c r="D1609" t="s">
        <v>4495</v>
      </c>
      <c r="E1609" t="s">
        <v>4496</v>
      </c>
      <c r="F1609" t="s">
        <v>222</v>
      </c>
      <c r="G1609" t="s">
        <v>4497</v>
      </c>
      <c r="H1609" t="s">
        <v>66</v>
      </c>
      <c r="I1609" t="s">
        <v>4502</v>
      </c>
      <c r="J1609" t="s">
        <v>4503</v>
      </c>
      <c r="K1609" t="s">
        <v>69</v>
      </c>
      <c r="L1609" t="s">
        <v>4498</v>
      </c>
      <c r="M1609" t="s">
        <v>71</v>
      </c>
      <c r="N1609" t="s">
        <v>198</v>
      </c>
      <c r="O1609" t="s">
        <v>199</v>
      </c>
      <c r="P1609" t="s">
        <v>200</v>
      </c>
      <c r="R1609" t="s">
        <v>4192</v>
      </c>
      <c r="S1609" t="s">
        <v>223</v>
      </c>
      <c r="T1609" t="s">
        <v>258</v>
      </c>
      <c r="U1609" t="s">
        <v>104</v>
      </c>
      <c r="V1609" t="s">
        <v>593</v>
      </c>
      <c r="W1609">
        <v>399</v>
      </c>
      <c r="X1609">
        <v>16.989999999999998</v>
      </c>
      <c r="Y1609">
        <v>49</v>
      </c>
      <c r="Z1609">
        <v>299000</v>
      </c>
      <c r="AA1609">
        <v>215460</v>
      </c>
      <c r="AB1609">
        <v>180</v>
      </c>
      <c r="AD1609" t="s">
        <v>238</v>
      </c>
      <c r="AE1609">
        <v>2</v>
      </c>
      <c r="AF1609">
        <v>50</v>
      </c>
      <c r="AI1609">
        <v>0</v>
      </c>
      <c r="AJ1609">
        <v>270</v>
      </c>
      <c r="AK1609">
        <v>320</v>
      </c>
      <c r="AL1609">
        <v>540</v>
      </c>
      <c r="AM1609">
        <v>0</v>
      </c>
      <c r="AN1609">
        <v>0</v>
      </c>
      <c r="AO1609">
        <v>0</v>
      </c>
      <c r="AP1609" t="s">
        <v>69</v>
      </c>
      <c r="AR1609" t="s">
        <v>86</v>
      </c>
      <c r="AS1609" t="s">
        <v>240</v>
      </c>
      <c r="AT1609" t="s">
        <v>86</v>
      </c>
      <c r="AU1609" t="s">
        <v>86</v>
      </c>
      <c r="AV1609" t="s">
        <v>4499</v>
      </c>
      <c r="AW1609" t="s">
        <v>69</v>
      </c>
      <c r="AX1609" t="s">
        <v>218</v>
      </c>
      <c r="AY1609" t="s">
        <v>219</v>
      </c>
      <c r="AZ1609" t="s">
        <v>243</v>
      </c>
      <c r="BA1609" t="s">
        <v>244</v>
      </c>
      <c r="BB1609" t="s">
        <v>244</v>
      </c>
      <c r="BC1609" t="s">
        <v>264</v>
      </c>
      <c r="BD1609" t="s">
        <v>4504</v>
      </c>
      <c r="BE1609" t="s">
        <v>4501</v>
      </c>
      <c r="BF1609" t="s">
        <v>240</v>
      </c>
      <c r="BG1609" t="s">
        <v>150</v>
      </c>
      <c r="BH1609" t="str">
        <f>IF(COUNTIF(工作表1!A:A, $C1609)&gt;0, "預購款", "非預購款")</f>
        <v>非預購款</v>
      </c>
    </row>
    <row r="1610" spans="1:60" x14ac:dyDescent="0.25">
      <c r="A1610" t="s">
        <v>3396</v>
      </c>
      <c r="B1610" t="s">
        <v>1875</v>
      </c>
      <c r="C1610" t="s">
        <v>3397</v>
      </c>
      <c r="D1610" t="s">
        <v>3398</v>
      </c>
      <c r="E1610" t="s">
        <v>3399</v>
      </c>
      <c r="F1610" t="s">
        <v>222</v>
      </c>
      <c r="G1610" t="s">
        <v>3398</v>
      </c>
      <c r="H1610" t="s">
        <v>273</v>
      </c>
      <c r="I1610" t="s">
        <v>162</v>
      </c>
      <c r="J1610" t="s">
        <v>163</v>
      </c>
      <c r="K1610" t="s">
        <v>69</v>
      </c>
      <c r="L1610" t="s">
        <v>3400</v>
      </c>
      <c r="M1610" t="s">
        <v>71</v>
      </c>
      <c r="N1610" t="s">
        <v>198</v>
      </c>
      <c r="O1610" t="s">
        <v>2893</v>
      </c>
      <c r="P1610" t="s">
        <v>2894</v>
      </c>
      <c r="R1610" t="s">
        <v>3401</v>
      </c>
      <c r="S1610" t="s">
        <v>223</v>
      </c>
      <c r="T1610" t="s">
        <v>258</v>
      </c>
      <c r="U1610" t="s">
        <v>1876</v>
      </c>
      <c r="V1610" t="s">
        <v>2862</v>
      </c>
      <c r="W1610">
        <v>790</v>
      </c>
      <c r="X1610">
        <v>34.99</v>
      </c>
      <c r="Y1610">
        <v>99</v>
      </c>
      <c r="Z1610">
        <v>569000</v>
      </c>
      <c r="AA1610">
        <v>118500</v>
      </c>
      <c r="AB1610">
        <v>150</v>
      </c>
      <c r="AD1610" t="s">
        <v>238</v>
      </c>
      <c r="AE1610">
        <v>1</v>
      </c>
      <c r="AF1610">
        <v>0</v>
      </c>
      <c r="AI1610">
        <v>15</v>
      </c>
      <c r="AJ1610">
        <v>15</v>
      </c>
      <c r="AK1610">
        <v>30</v>
      </c>
      <c r="AL1610">
        <v>150</v>
      </c>
      <c r="AM1610">
        <v>0</v>
      </c>
      <c r="AN1610">
        <v>0</v>
      </c>
      <c r="AO1610">
        <v>0</v>
      </c>
      <c r="AP1610" t="s">
        <v>69</v>
      </c>
      <c r="AS1610" t="s">
        <v>86</v>
      </c>
      <c r="AT1610" t="s">
        <v>86</v>
      </c>
      <c r="AU1610" t="s">
        <v>86</v>
      </c>
      <c r="AW1610" t="s">
        <v>69</v>
      </c>
      <c r="AX1610" t="s">
        <v>3402</v>
      </c>
      <c r="AY1610" t="s">
        <v>3403</v>
      </c>
      <c r="BD1610" t="s">
        <v>4505</v>
      </c>
      <c r="BE1610" t="s">
        <v>4506</v>
      </c>
      <c r="BH1610" t="str">
        <f>IF(COUNTIF(工作表1!A:A, $C1610)&gt;0, "預購款", "非預購款")</f>
        <v>非預購款</v>
      </c>
    </row>
    <row r="1611" spans="1:60" x14ac:dyDescent="0.25">
      <c r="A1611" t="s">
        <v>3396</v>
      </c>
      <c r="B1611" t="s">
        <v>1875</v>
      </c>
      <c r="C1611" t="s">
        <v>3397</v>
      </c>
      <c r="D1611" t="s">
        <v>3398</v>
      </c>
      <c r="E1611" t="s">
        <v>3399</v>
      </c>
      <c r="F1611" t="s">
        <v>222</v>
      </c>
      <c r="G1611" t="s">
        <v>3398</v>
      </c>
      <c r="H1611" t="s">
        <v>119</v>
      </c>
      <c r="I1611" t="s">
        <v>162</v>
      </c>
      <c r="J1611" t="s">
        <v>163</v>
      </c>
      <c r="K1611" t="s">
        <v>69</v>
      </c>
      <c r="L1611" t="s">
        <v>3400</v>
      </c>
      <c r="M1611" t="s">
        <v>71</v>
      </c>
      <c r="N1611" t="s">
        <v>198</v>
      </c>
      <c r="O1611" t="s">
        <v>2893</v>
      </c>
      <c r="P1611" t="s">
        <v>2894</v>
      </c>
      <c r="R1611" t="s">
        <v>3401</v>
      </c>
      <c r="S1611" t="s">
        <v>223</v>
      </c>
      <c r="T1611" t="s">
        <v>258</v>
      </c>
      <c r="U1611" t="s">
        <v>1876</v>
      </c>
      <c r="V1611" t="s">
        <v>2862</v>
      </c>
      <c r="W1611">
        <v>790</v>
      </c>
      <c r="X1611">
        <v>34.99</v>
      </c>
      <c r="Y1611">
        <v>99</v>
      </c>
      <c r="Z1611">
        <v>569000</v>
      </c>
      <c r="AA1611">
        <v>118500</v>
      </c>
      <c r="AB1611">
        <v>150</v>
      </c>
      <c r="AD1611" t="s">
        <v>238</v>
      </c>
      <c r="AE1611">
        <v>1</v>
      </c>
      <c r="AF1611">
        <v>0</v>
      </c>
      <c r="AI1611">
        <v>0</v>
      </c>
      <c r="AJ1611">
        <v>30</v>
      </c>
      <c r="AK1611">
        <v>30</v>
      </c>
      <c r="AL1611">
        <v>150</v>
      </c>
      <c r="AM1611">
        <v>0</v>
      </c>
      <c r="AN1611">
        <v>0</v>
      </c>
      <c r="AO1611">
        <v>0</v>
      </c>
      <c r="AP1611" t="s">
        <v>69</v>
      </c>
      <c r="AS1611" t="s">
        <v>86</v>
      </c>
      <c r="AT1611" t="s">
        <v>86</v>
      </c>
      <c r="AU1611" t="s">
        <v>86</v>
      </c>
      <c r="AW1611" t="s">
        <v>69</v>
      </c>
      <c r="AX1611" t="s">
        <v>3402</v>
      </c>
      <c r="AY1611" t="s">
        <v>3403</v>
      </c>
      <c r="BD1611" t="s">
        <v>3404</v>
      </c>
      <c r="BE1611" t="s">
        <v>4506</v>
      </c>
      <c r="BH1611" t="str">
        <f>IF(COUNTIF(工作表1!A:A, $C1611)&gt;0, "預購款", "非預購款")</f>
        <v>非預購款</v>
      </c>
    </row>
    <row r="1612" spans="1:60" x14ac:dyDescent="0.25">
      <c r="A1612" t="s">
        <v>3396</v>
      </c>
      <c r="B1612" t="s">
        <v>1875</v>
      </c>
      <c r="C1612" t="s">
        <v>3397</v>
      </c>
      <c r="D1612" t="s">
        <v>3398</v>
      </c>
      <c r="E1612" t="s">
        <v>3399</v>
      </c>
      <c r="F1612" t="s">
        <v>222</v>
      </c>
      <c r="G1612" t="s">
        <v>3398</v>
      </c>
      <c r="H1612" t="s">
        <v>130</v>
      </c>
      <c r="I1612" t="s">
        <v>162</v>
      </c>
      <c r="J1612" t="s">
        <v>163</v>
      </c>
      <c r="K1612" t="s">
        <v>69</v>
      </c>
      <c r="L1612" t="s">
        <v>3400</v>
      </c>
      <c r="M1612" t="s">
        <v>71</v>
      </c>
      <c r="N1612" t="s">
        <v>198</v>
      </c>
      <c r="O1612" t="s">
        <v>2893</v>
      </c>
      <c r="P1612" t="s">
        <v>2894</v>
      </c>
      <c r="R1612" t="s">
        <v>3401</v>
      </c>
      <c r="S1612" t="s">
        <v>223</v>
      </c>
      <c r="T1612" t="s">
        <v>258</v>
      </c>
      <c r="U1612" t="s">
        <v>1876</v>
      </c>
      <c r="V1612" t="s">
        <v>2862</v>
      </c>
      <c r="W1612">
        <v>790</v>
      </c>
      <c r="X1612">
        <v>34.99</v>
      </c>
      <c r="Y1612">
        <v>99</v>
      </c>
      <c r="Z1612">
        <v>569000</v>
      </c>
      <c r="AA1612">
        <v>118500</v>
      </c>
      <c r="AB1612">
        <v>150</v>
      </c>
      <c r="AD1612" t="s">
        <v>238</v>
      </c>
      <c r="AE1612">
        <v>1</v>
      </c>
      <c r="AF1612">
        <v>0</v>
      </c>
      <c r="AI1612">
        <v>30</v>
      </c>
      <c r="AJ1612">
        <v>30</v>
      </c>
      <c r="AK1612">
        <v>60</v>
      </c>
      <c r="AL1612">
        <v>150</v>
      </c>
      <c r="AM1612">
        <v>0</v>
      </c>
      <c r="AN1612">
        <v>0</v>
      </c>
      <c r="AO1612">
        <v>0</v>
      </c>
      <c r="AP1612" t="s">
        <v>69</v>
      </c>
      <c r="AS1612" t="s">
        <v>86</v>
      </c>
      <c r="AT1612" t="s">
        <v>86</v>
      </c>
      <c r="AU1612" t="s">
        <v>86</v>
      </c>
      <c r="AW1612" t="s">
        <v>69</v>
      </c>
      <c r="AX1612" t="s">
        <v>3402</v>
      </c>
      <c r="AY1612" t="s">
        <v>3403</v>
      </c>
      <c r="BD1612" t="s">
        <v>3405</v>
      </c>
      <c r="BE1612" t="s">
        <v>4506</v>
      </c>
      <c r="BH1612" t="str">
        <f>IF(COUNTIF(工作表1!A:A, $C1612)&gt;0, "預購款", "非預購款")</f>
        <v>非預購款</v>
      </c>
    </row>
    <row r="1613" spans="1:60" x14ac:dyDescent="0.25">
      <c r="A1613" t="s">
        <v>3396</v>
      </c>
      <c r="B1613" t="s">
        <v>1875</v>
      </c>
      <c r="C1613" t="s">
        <v>3397</v>
      </c>
      <c r="D1613" t="s">
        <v>3398</v>
      </c>
      <c r="E1613" t="s">
        <v>3399</v>
      </c>
      <c r="F1613" t="s">
        <v>222</v>
      </c>
      <c r="G1613" t="s">
        <v>3398</v>
      </c>
      <c r="H1613" t="s">
        <v>132</v>
      </c>
      <c r="I1613" t="s">
        <v>162</v>
      </c>
      <c r="J1613" t="s">
        <v>163</v>
      </c>
      <c r="K1613" t="s">
        <v>69</v>
      </c>
      <c r="L1613" t="s">
        <v>3400</v>
      </c>
      <c r="M1613" t="s">
        <v>71</v>
      </c>
      <c r="N1613" t="s">
        <v>198</v>
      </c>
      <c r="O1613" t="s">
        <v>2893</v>
      </c>
      <c r="P1613" t="s">
        <v>2894</v>
      </c>
      <c r="R1613" t="s">
        <v>3401</v>
      </c>
      <c r="S1613" t="s">
        <v>223</v>
      </c>
      <c r="T1613" t="s">
        <v>258</v>
      </c>
      <c r="U1613" t="s">
        <v>1876</v>
      </c>
      <c r="V1613" t="s">
        <v>2862</v>
      </c>
      <c r="W1613">
        <v>790</v>
      </c>
      <c r="X1613">
        <v>34.99</v>
      </c>
      <c r="Y1613">
        <v>99</v>
      </c>
      <c r="Z1613">
        <v>569000</v>
      </c>
      <c r="AA1613">
        <v>118500</v>
      </c>
      <c r="AB1613">
        <v>150</v>
      </c>
      <c r="AD1613" t="s">
        <v>238</v>
      </c>
      <c r="AE1613">
        <v>1</v>
      </c>
      <c r="AF1613">
        <v>0</v>
      </c>
      <c r="AI1613">
        <v>0</v>
      </c>
      <c r="AJ1613">
        <v>30</v>
      </c>
      <c r="AK1613">
        <v>30</v>
      </c>
      <c r="AL1613">
        <v>150</v>
      </c>
      <c r="AM1613">
        <v>0</v>
      </c>
      <c r="AN1613">
        <v>0</v>
      </c>
      <c r="AO1613">
        <v>0</v>
      </c>
      <c r="AP1613" t="s">
        <v>69</v>
      </c>
      <c r="AS1613" t="s">
        <v>86</v>
      </c>
      <c r="AT1613" t="s">
        <v>86</v>
      </c>
      <c r="AU1613" t="s">
        <v>86</v>
      </c>
      <c r="AW1613" t="s">
        <v>69</v>
      </c>
      <c r="AX1613" t="s">
        <v>3402</v>
      </c>
      <c r="AY1613" t="s">
        <v>3403</v>
      </c>
      <c r="BD1613" t="s">
        <v>4507</v>
      </c>
      <c r="BE1613" t="s">
        <v>4506</v>
      </c>
      <c r="BH1613" t="str">
        <f>IF(COUNTIF(工作表1!A:A, $C1613)&gt;0, "預購款", "非預購款")</f>
        <v>非預購款</v>
      </c>
    </row>
    <row r="1614" spans="1:60" x14ac:dyDescent="0.25">
      <c r="A1614" t="s">
        <v>739</v>
      </c>
      <c r="B1614" t="s">
        <v>488</v>
      </c>
      <c r="C1614" t="s">
        <v>740</v>
      </c>
      <c r="D1614" t="s">
        <v>741</v>
      </c>
      <c r="E1614" t="s">
        <v>742</v>
      </c>
      <c r="F1614" t="s">
        <v>184</v>
      </c>
      <c r="G1614" t="s">
        <v>743</v>
      </c>
      <c r="H1614" t="s">
        <v>132</v>
      </c>
      <c r="I1614" t="s">
        <v>120</v>
      </c>
      <c r="J1614" t="s">
        <v>121</v>
      </c>
      <c r="K1614" t="s">
        <v>69</v>
      </c>
      <c r="L1614" t="s">
        <v>744</v>
      </c>
      <c r="M1614" t="s">
        <v>71</v>
      </c>
      <c r="N1614" t="s">
        <v>100</v>
      </c>
      <c r="O1614" t="s">
        <v>101</v>
      </c>
      <c r="P1614" t="s">
        <v>102</v>
      </c>
      <c r="R1614" t="s">
        <v>734</v>
      </c>
      <c r="S1614" t="s">
        <v>222</v>
      </c>
      <c r="T1614" t="s">
        <v>76</v>
      </c>
      <c r="U1614" t="s">
        <v>104</v>
      </c>
      <c r="V1614" t="s">
        <v>292</v>
      </c>
      <c r="W1614">
        <v>390</v>
      </c>
      <c r="X1614">
        <v>16.989999999999998</v>
      </c>
      <c r="Y1614">
        <v>49</v>
      </c>
      <c r="Z1614">
        <v>279000</v>
      </c>
      <c r="AA1614">
        <v>780</v>
      </c>
      <c r="AB1614">
        <v>150</v>
      </c>
      <c r="AD1614" t="s">
        <v>238</v>
      </c>
      <c r="AE1614">
        <v>2</v>
      </c>
      <c r="AF1614">
        <v>0</v>
      </c>
      <c r="AI1614">
        <v>0</v>
      </c>
      <c r="AJ1614">
        <v>1</v>
      </c>
      <c r="AK1614">
        <v>1</v>
      </c>
      <c r="AL1614">
        <v>2</v>
      </c>
      <c r="AM1614">
        <v>1</v>
      </c>
      <c r="AN1614">
        <v>0</v>
      </c>
      <c r="AO1614">
        <v>1</v>
      </c>
      <c r="AP1614" t="s">
        <v>69</v>
      </c>
      <c r="AS1614" t="s">
        <v>240</v>
      </c>
      <c r="AT1614" t="s">
        <v>86</v>
      </c>
      <c r="AU1614" t="s">
        <v>86</v>
      </c>
      <c r="AV1614" t="s">
        <v>745</v>
      </c>
      <c r="AW1614" t="s">
        <v>69</v>
      </c>
      <c r="AX1614" t="s">
        <v>746</v>
      </c>
      <c r="AY1614" t="s">
        <v>747</v>
      </c>
      <c r="AZ1614" t="s">
        <v>243</v>
      </c>
      <c r="BA1614" t="s">
        <v>244</v>
      </c>
      <c r="BB1614" t="s">
        <v>264</v>
      </c>
      <c r="BC1614" t="s">
        <v>244</v>
      </c>
      <c r="BD1614" t="s">
        <v>751</v>
      </c>
      <c r="BE1614" t="s">
        <v>4508</v>
      </c>
      <c r="BF1614" t="s">
        <v>86</v>
      </c>
      <c r="BG1614" t="s">
        <v>150</v>
      </c>
      <c r="BH1614" t="str">
        <f>IF(COUNTIF(工作表1!A:A, $C1614)&gt;0, "預購款", "非預購款")</f>
        <v>非預購款</v>
      </c>
    </row>
    <row r="1615" spans="1:60" x14ac:dyDescent="0.25">
      <c r="A1615" t="s">
        <v>739</v>
      </c>
      <c r="B1615" t="s">
        <v>488</v>
      </c>
      <c r="C1615" t="s">
        <v>740</v>
      </c>
      <c r="D1615" t="s">
        <v>741</v>
      </c>
      <c r="E1615" t="s">
        <v>742</v>
      </c>
      <c r="F1615" t="s">
        <v>184</v>
      </c>
      <c r="G1615" t="s">
        <v>743</v>
      </c>
      <c r="H1615" t="s">
        <v>130</v>
      </c>
      <c r="I1615" t="s">
        <v>214</v>
      </c>
      <c r="J1615" t="s">
        <v>215</v>
      </c>
      <c r="K1615" t="s">
        <v>69</v>
      </c>
      <c r="L1615" t="s">
        <v>744</v>
      </c>
      <c r="M1615" t="s">
        <v>71</v>
      </c>
      <c r="N1615" t="s">
        <v>100</v>
      </c>
      <c r="O1615" t="s">
        <v>101</v>
      </c>
      <c r="P1615" t="s">
        <v>102</v>
      </c>
      <c r="R1615" t="s">
        <v>734</v>
      </c>
      <c r="S1615" t="s">
        <v>222</v>
      </c>
      <c r="T1615" t="s">
        <v>76</v>
      </c>
      <c r="U1615" t="s">
        <v>104</v>
      </c>
      <c r="V1615" t="s">
        <v>292</v>
      </c>
      <c r="W1615">
        <v>390</v>
      </c>
      <c r="X1615">
        <v>16.989999999999998</v>
      </c>
      <c r="Y1615">
        <v>49</v>
      </c>
      <c r="Z1615">
        <v>279000</v>
      </c>
      <c r="AA1615">
        <v>780</v>
      </c>
      <c r="AB1615">
        <v>150</v>
      </c>
      <c r="AD1615" t="s">
        <v>238</v>
      </c>
      <c r="AE1615">
        <v>2</v>
      </c>
      <c r="AF1615">
        <v>0</v>
      </c>
      <c r="AI1615">
        <v>0</v>
      </c>
      <c r="AJ1615">
        <v>1</v>
      </c>
      <c r="AK1615">
        <v>1</v>
      </c>
      <c r="AL1615">
        <v>2</v>
      </c>
      <c r="AM1615">
        <v>1</v>
      </c>
      <c r="AN1615">
        <v>0</v>
      </c>
      <c r="AO1615">
        <v>1</v>
      </c>
      <c r="AP1615" t="s">
        <v>69</v>
      </c>
      <c r="AS1615" t="s">
        <v>240</v>
      </c>
      <c r="AT1615" t="s">
        <v>86</v>
      </c>
      <c r="AU1615" t="s">
        <v>86</v>
      </c>
      <c r="AV1615" t="s">
        <v>745</v>
      </c>
      <c r="AW1615" t="s">
        <v>69</v>
      </c>
      <c r="AX1615" t="s">
        <v>746</v>
      </c>
      <c r="AY1615" t="s">
        <v>747</v>
      </c>
      <c r="AZ1615" t="s">
        <v>243</v>
      </c>
      <c r="BA1615" t="s">
        <v>244</v>
      </c>
      <c r="BB1615" t="s">
        <v>264</v>
      </c>
      <c r="BC1615" t="s">
        <v>244</v>
      </c>
      <c r="BD1615" t="s">
        <v>756</v>
      </c>
      <c r="BE1615" t="s">
        <v>4508</v>
      </c>
      <c r="BF1615" t="s">
        <v>86</v>
      </c>
      <c r="BG1615" t="s">
        <v>150</v>
      </c>
      <c r="BH1615" t="str">
        <f>IF(COUNTIF(工作表1!A:A, $C1615)&gt;0, "預購款", "非預購款")</f>
        <v>非預購款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 activeCell="H21" sqref="H21"/>
    </sheetView>
  </sheetViews>
  <sheetFormatPr defaultRowHeight="15.75" x14ac:dyDescent="0.25"/>
  <cols>
    <col min="1" max="1" width="11.85546875" bestFit="1" customWidth="1"/>
    <col min="2" max="2" width="12.710937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2537</v>
      </c>
      <c r="B2" t="s">
        <v>2538</v>
      </c>
    </row>
    <row r="3" spans="1:2" x14ac:dyDescent="0.25">
      <c r="A3" t="s">
        <v>2552</v>
      </c>
      <c r="B3" t="s">
        <v>2553</v>
      </c>
    </row>
    <row r="4" spans="1:2" x14ac:dyDescent="0.25">
      <c r="A4" t="s">
        <v>2566</v>
      </c>
      <c r="B4" t="s">
        <v>2567</v>
      </c>
    </row>
    <row r="5" spans="1:2" x14ac:dyDescent="0.25">
      <c r="A5" t="s">
        <v>2581</v>
      </c>
      <c r="B5" t="s">
        <v>2582</v>
      </c>
    </row>
    <row r="6" spans="1:2" x14ac:dyDescent="0.25">
      <c r="A6" t="s">
        <v>3634</v>
      </c>
      <c r="B6" t="s">
        <v>3635</v>
      </c>
    </row>
    <row r="7" spans="1:2" x14ac:dyDescent="0.25">
      <c r="A7" t="s">
        <v>3645</v>
      </c>
      <c r="B7" t="s">
        <v>3646</v>
      </c>
    </row>
    <row r="8" spans="1:2" x14ac:dyDescent="0.25">
      <c r="A8" t="s">
        <v>3667</v>
      </c>
      <c r="B8" t="s">
        <v>3668</v>
      </c>
    </row>
    <row r="9" spans="1:2" x14ac:dyDescent="0.25">
      <c r="A9" t="s">
        <v>3683</v>
      </c>
      <c r="B9" t="s">
        <v>3684</v>
      </c>
    </row>
    <row r="10" spans="1:2" x14ac:dyDescent="0.25">
      <c r="A10" t="s">
        <v>3695</v>
      </c>
      <c r="B10" t="s">
        <v>3696</v>
      </c>
    </row>
    <row r="11" spans="1:2" x14ac:dyDescent="0.25">
      <c r="A11" t="s">
        <v>3706</v>
      </c>
      <c r="B11" t="s">
        <v>3707</v>
      </c>
    </row>
    <row r="12" spans="1:2" x14ac:dyDescent="0.25">
      <c r="A12" t="s">
        <v>1302</v>
      </c>
      <c r="B12" t="s">
        <v>1303</v>
      </c>
    </row>
    <row r="13" spans="1:2" x14ac:dyDescent="0.25">
      <c r="A13" t="s">
        <v>3719</v>
      </c>
      <c r="B13" t="s">
        <v>3720</v>
      </c>
    </row>
    <row r="14" spans="1:2" x14ac:dyDescent="0.25">
      <c r="A14" t="s">
        <v>1333</v>
      </c>
      <c r="B14" t="s">
        <v>1334</v>
      </c>
    </row>
    <row r="15" spans="1:2" x14ac:dyDescent="0.25">
      <c r="A15" t="s">
        <v>1355</v>
      </c>
      <c r="B15" t="s">
        <v>1356</v>
      </c>
    </row>
    <row r="16" spans="1:2" x14ac:dyDescent="0.25">
      <c r="A16" t="s">
        <v>3732</v>
      </c>
      <c r="B16" t="s">
        <v>3733</v>
      </c>
    </row>
    <row r="17" spans="1:2" x14ac:dyDescent="0.25">
      <c r="A17" t="s">
        <v>3742</v>
      </c>
      <c r="B17" t="s">
        <v>3743</v>
      </c>
    </row>
    <row r="18" spans="1:2" x14ac:dyDescent="0.25">
      <c r="A18" t="s">
        <v>3779</v>
      </c>
      <c r="B18" t="s">
        <v>3780</v>
      </c>
    </row>
    <row r="19" spans="1:2" x14ac:dyDescent="0.25">
      <c r="A19" t="s">
        <v>3676</v>
      </c>
      <c r="B19" t="s">
        <v>3677</v>
      </c>
    </row>
    <row r="20" spans="1:2" x14ac:dyDescent="0.25">
      <c r="A20" t="s">
        <v>3921</v>
      </c>
      <c r="B20" t="s">
        <v>3922</v>
      </c>
    </row>
    <row r="21" spans="1:2" x14ac:dyDescent="0.25">
      <c r="A21" t="s">
        <v>3624</v>
      </c>
      <c r="B21" t="s">
        <v>3625</v>
      </c>
    </row>
    <row r="22" spans="1:2" x14ac:dyDescent="0.25">
      <c r="A22" t="s">
        <v>3792</v>
      </c>
      <c r="B22" t="s">
        <v>3793</v>
      </c>
    </row>
    <row r="23" spans="1:2" x14ac:dyDescent="0.25">
      <c r="A23" t="s">
        <v>3656</v>
      </c>
      <c r="B23" t="s">
        <v>3657</v>
      </c>
    </row>
    <row r="24" spans="1:2" x14ac:dyDescent="0.25">
      <c r="A24" t="s">
        <v>1344</v>
      </c>
      <c r="B24" t="s">
        <v>1345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莊孟竺</cp:lastModifiedBy>
  <dcterms:created xsi:type="dcterms:W3CDTF">2026-06-10T10:06:11Z</dcterms:created>
  <dcterms:modified xsi:type="dcterms:W3CDTF">2026-06-11T10:13:54Z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